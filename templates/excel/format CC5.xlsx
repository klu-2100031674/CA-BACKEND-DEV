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A-DEV\CA-BACKEND-DEV\templates\excel\"/>
    </mc:Choice>
  </mc:AlternateContent>
  <xr:revisionPtr revIDLastSave="0" documentId="13_ncr:1_{B95BB1EB-8AD7-49AD-8322-32F2FA1A866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ssumptions.1" sheetId="26" r:id="rId1"/>
    <sheet name="wp" sheetId="1" r:id="rId2"/>
    <sheet name="FinalWorkings" sheetId="31" r:id="rId3"/>
    <sheet name="coverpage" sheetId="25" r:id="rId4"/>
    <sheet name="PLBS" sheetId="32" r:id="rId5"/>
    <sheet name="RATIO" sheetId="2" r:id="rId6"/>
    <sheet name="MPBF " sheetId="20" r:id="rId7"/>
    <sheet name="nayak" sheetId="24" r:id="rId8"/>
    <sheet name="Depsch" sheetId="27" r:id="rId9"/>
  </sheets>
  <definedNames>
    <definedName name="_xlnm.Print_Area" localSheetId="3">coverpage!$A$1:$M$39</definedName>
    <definedName name="_xlnm.Print_Area" localSheetId="2">FinalWorkings!$A$1:$E$41</definedName>
    <definedName name="_xlnm.Print_Area" localSheetId="6">'MPBF '!$A$1:$D$58</definedName>
    <definedName name="_xlnm.Print_Area" localSheetId="5">RATIO!$A$1:$F$112</definedName>
    <definedName name="_xlnm.Print_Area" localSheetId="1">wp!$A$1:$F$115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9" i="26" l="1"/>
  <c r="F109" i="26"/>
  <c r="C16" i="27" s="1"/>
  <c r="C18" i="27" s="1"/>
  <c r="M17" i="27"/>
  <c r="M21" i="27"/>
  <c r="M22" i="27"/>
  <c r="M24" i="27"/>
  <c r="M28" i="27"/>
  <c r="M29" i="27"/>
  <c r="M31" i="27"/>
  <c r="L16" i="27"/>
  <c r="L18" i="27" s="1"/>
  <c r="K16" i="27"/>
  <c r="K18" i="27" s="1"/>
  <c r="F16" i="27"/>
  <c r="F18" i="27" s="1"/>
  <c r="B16" i="27"/>
  <c r="K12" i="27"/>
  <c r="L12" i="27"/>
  <c r="J12" i="27"/>
  <c r="I12" i="27"/>
  <c r="H12" i="27"/>
  <c r="G12" i="27"/>
  <c r="F12" i="27"/>
  <c r="E12" i="27"/>
  <c r="D12" i="27"/>
  <c r="C12" i="27"/>
  <c r="B12" i="27"/>
  <c r="L9" i="27"/>
  <c r="K9" i="27"/>
  <c r="J9" i="27"/>
  <c r="I9" i="27"/>
  <c r="H9" i="27"/>
  <c r="G9" i="27"/>
  <c r="F9" i="27"/>
  <c r="E9" i="27"/>
  <c r="D9" i="27"/>
  <c r="C9" i="27"/>
  <c r="B9" i="27"/>
  <c r="F190" i="26"/>
  <c r="F180" i="26"/>
  <c r="F171" i="26"/>
  <c r="J16" i="27" s="1"/>
  <c r="J18" i="27" s="1"/>
  <c r="F161" i="26"/>
  <c r="I16" i="27" s="1"/>
  <c r="I18" i="27" s="1"/>
  <c r="F151" i="26"/>
  <c r="H16" i="27" s="1"/>
  <c r="H18" i="27" s="1"/>
  <c r="F141" i="26"/>
  <c r="G16" i="27" s="1"/>
  <c r="G18" i="27" s="1"/>
  <c r="F132" i="26"/>
  <c r="F129" i="26"/>
  <c r="E16" i="27" s="1"/>
  <c r="E18" i="27" s="1"/>
  <c r="F119" i="26"/>
  <c r="D16" i="27" s="1"/>
  <c r="D18" i="27" s="1"/>
  <c r="F109" i="1"/>
  <c r="E109" i="1"/>
  <c r="D109" i="1"/>
  <c r="C109" i="1"/>
  <c r="A33" i="20"/>
  <c r="C29" i="1"/>
  <c r="I16" i="26"/>
  <c r="I15" i="26"/>
  <c r="I14" i="26"/>
  <c r="J19" i="27" l="1"/>
  <c r="J20" i="27" s="1"/>
  <c r="J23" i="27" s="1"/>
  <c r="J25" i="27" s="1"/>
  <c r="M16" i="27"/>
  <c r="F19" i="27"/>
  <c r="F20" i="27" s="1"/>
  <c r="F23" i="27" s="1"/>
  <c r="F25" i="27" s="1"/>
  <c r="K19" i="27"/>
  <c r="K20" i="27" s="1"/>
  <c r="K23" i="27" s="1"/>
  <c r="K25" i="27" s="1"/>
  <c r="L19" i="27"/>
  <c r="L20" i="27"/>
  <c r="L23" i="27" s="1"/>
  <c r="L25" i="27" s="1"/>
  <c r="C19" i="27"/>
  <c r="C20" i="27" s="1"/>
  <c r="C23" i="27" s="1"/>
  <c r="C25" i="27" s="1"/>
  <c r="D20" i="27"/>
  <c r="D23" i="27" s="1"/>
  <c r="D25" i="27" s="1"/>
  <c r="D19" i="27"/>
  <c r="E20" i="27"/>
  <c r="E23" i="27" s="1"/>
  <c r="E25" i="27" s="1"/>
  <c r="E19" i="27"/>
  <c r="G19" i="27"/>
  <c r="G20" i="27" s="1"/>
  <c r="G23" i="27" s="1"/>
  <c r="G25" i="27" s="1"/>
  <c r="H19" i="27"/>
  <c r="H20" i="27" s="1"/>
  <c r="H23" i="27" s="1"/>
  <c r="H25" i="27" s="1"/>
  <c r="I19" i="27"/>
  <c r="I20" i="27" s="1"/>
  <c r="I23" i="27" s="1"/>
  <c r="I25" i="27" s="1"/>
  <c r="F200" i="26"/>
  <c r="I41" i="26" s="1"/>
  <c r="C22" i="26"/>
  <c r="I62" i="26"/>
  <c r="I65" i="26"/>
  <c r="I67" i="26" s="1"/>
  <c r="I42" i="26"/>
  <c r="D18" i="25"/>
  <c r="A29" i="27"/>
  <c r="A22" i="27"/>
  <c r="A15" i="27"/>
  <c r="C21" i="24"/>
  <c r="D21" i="24" s="1"/>
  <c r="E21" i="24" s="1"/>
  <c r="A2" i="20"/>
  <c r="A3" i="20"/>
  <c r="A1" i="20"/>
  <c r="A2" i="2"/>
  <c r="A3" i="2"/>
  <c r="A1" i="2"/>
  <c r="A2" i="32"/>
  <c r="A39" i="32" s="1"/>
  <c r="A3" i="32"/>
  <c r="A40" i="32" s="1"/>
  <c r="A1" i="32"/>
  <c r="A38" i="32" s="1"/>
  <c r="F6" i="1"/>
  <c r="F45" i="1" s="1"/>
  <c r="E6" i="31" s="1"/>
  <c r="F6" i="32" s="1"/>
  <c r="F44" i="32" s="1"/>
  <c r="F74" i="32" s="1"/>
  <c r="F88" i="32" s="1"/>
  <c r="E6" i="1"/>
  <c r="C9" i="20" s="1"/>
  <c r="D11" i="24" s="1"/>
  <c r="D6" i="1"/>
  <c r="D45" i="1" s="1"/>
  <c r="C6" i="1"/>
  <c r="C45" i="1" s="1"/>
  <c r="F5" i="1"/>
  <c r="F44" i="1" s="1"/>
  <c r="E5" i="31" s="1"/>
  <c r="F5" i="32" s="1"/>
  <c r="F43" i="32" s="1"/>
  <c r="E5" i="1"/>
  <c r="D5" i="1"/>
  <c r="B8" i="20" s="1"/>
  <c r="C5" i="1"/>
  <c r="C44" i="1" s="1"/>
  <c r="B5" i="31" s="1"/>
  <c r="C5" i="32" s="1"/>
  <c r="C43" i="32" s="1"/>
  <c r="C82" i="26"/>
  <c r="C87" i="26" s="1"/>
  <c r="C92" i="26" s="1"/>
  <c r="C83" i="26"/>
  <c r="C88" i="26" s="1"/>
  <c r="C93" i="26" s="1"/>
  <c r="C84" i="26"/>
  <c r="C89" i="26" s="1"/>
  <c r="C94" i="26" s="1"/>
  <c r="C81" i="26"/>
  <c r="C86" i="26" s="1"/>
  <c r="C91" i="26" s="1"/>
  <c r="C71" i="1"/>
  <c r="C69" i="1"/>
  <c r="B26" i="31" s="1"/>
  <c r="C66" i="1"/>
  <c r="B25" i="31" s="1"/>
  <c r="C55" i="1"/>
  <c r="C53" i="32" s="1"/>
  <c r="C51" i="1"/>
  <c r="B22" i="31" s="1"/>
  <c r="C48" i="1"/>
  <c r="C47" i="32" s="1"/>
  <c r="C99" i="1"/>
  <c r="C98" i="1"/>
  <c r="B17" i="31" s="1"/>
  <c r="C86" i="1"/>
  <c r="C80" i="32" s="1"/>
  <c r="C85" i="1"/>
  <c r="B15" i="31" s="1"/>
  <c r="C23" i="1"/>
  <c r="C23" i="32" s="1"/>
  <c r="C18" i="1"/>
  <c r="D16" i="1" s="1"/>
  <c r="D16" i="32" s="1"/>
  <c r="C17" i="1"/>
  <c r="B10" i="31" s="1"/>
  <c r="C16" i="1"/>
  <c r="C16" i="32" s="1"/>
  <c r="C72" i="1"/>
  <c r="C56" i="1"/>
  <c r="C84" i="1"/>
  <c r="B14" i="31" s="1"/>
  <c r="C83" i="1"/>
  <c r="I57" i="26"/>
  <c r="I58" i="26" s="1"/>
  <c r="A66" i="32"/>
  <c r="C29" i="32"/>
  <c r="C26" i="31"/>
  <c r="D65" i="32" s="1"/>
  <c r="D26" i="31"/>
  <c r="E65" i="32" s="1"/>
  <c r="E26" i="31"/>
  <c r="F65" i="32" s="1"/>
  <c r="C24" i="31"/>
  <c r="D54" i="32" s="1"/>
  <c r="D24" i="31"/>
  <c r="E54" i="32" s="1"/>
  <c r="E24" i="31"/>
  <c r="F54" i="32" s="1"/>
  <c r="A3" i="24"/>
  <c r="I61" i="26"/>
  <c r="I56" i="26"/>
  <c r="A70" i="1"/>
  <c r="C13" i="20"/>
  <c r="C41" i="20" s="1"/>
  <c r="B13" i="20"/>
  <c r="B41" i="20" s="1"/>
  <c r="A3" i="27"/>
  <c r="A2" i="27"/>
  <c r="A1" i="27"/>
  <c r="D86" i="1"/>
  <c r="D80" i="32" s="1"/>
  <c r="I49" i="26"/>
  <c r="H26" i="25"/>
  <c r="D22" i="25"/>
  <c r="D13" i="25"/>
  <c r="D10" i="25"/>
  <c r="A41" i="1"/>
  <c r="A78" i="1" s="1"/>
  <c r="A94" i="1" s="1"/>
  <c r="D13" i="20"/>
  <c r="D41" i="20" s="1"/>
  <c r="C64" i="1"/>
  <c r="C60" i="32" s="1"/>
  <c r="C79" i="32" l="1"/>
  <c r="I26" i="27"/>
  <c r="I27" i="27"/>
  <c r="I30" i="27" s="1"/>
  <c r="I32" i="27" s="1"/>
  <c r="K26" i="27"/>
  <c r="K27" i="27"/>
  <c r="K30" i="27" s="1"/>
  <c r="K32" i="27" s="1"/>
  <c r="F26" i="27"/>
  <c r="F27" i="27" s="1"/>
  <c r="F30" i="27" s="1"/>
  <c r="F32" i="27" s="1"/>
  <c r="G26" i="27"/>
  <c r="G27" i="27" s="1"/>
  <c r="G30" i="27" s="1"/>
  <c r="G32" i="27" s="1"/>
  <c r="J27" i="27"/>
  <c r="J30" i="27" s="1"/>
  <c r="J32" i="27" s="1"/>
  <c r="J26" i="27"/>
  <c r="C26" i="27"/>
  <c r="C27" i="27" s="1"/>
  <c r="C30" i="27" s="1"/>
  <c r="C32" i="27" s="1"/>
  <c r="L26" i="27"/>
  <c r="L27" i="27" s="1"/>
  <c r="L30" i="27" s="1"/>
  <c r="L32" i="27" s="1"/>
  <c r="I43" i="26"/>
  <c r="H26" i="27"/>
  <c r="H27" i="27"/>
  <c r="H30" i="27" s="1"/>
  <c r="H32" i="27" s="1"/>
  <c r="D27" i="27"/>
  <c r="D30" i="27" s="1"/>
  <c r="D32" i="27" s="1"/>
  <c r="D26" i="27"/>
  <c r="E26" i="27"/>
  <c r="E27" i="27" s="1"/>
  <c r="E30" i="27" s="1"/>
  <c r="E32" i="27" s="1"/>
  <c r="E63" i="2"/>
  <c r="E20" i="2" s="1"/>
  <c r="E28" i="2" s="1"/>
  <c r="E76" i="2" s="1"/>
  <c r="E86" i="2" s="1"/>
  <c r="E38" i="2" s="1"/>
  <c r="E98" i="2" s="1"/>
  <c r="E9" i="2" s="1"/>
  <c r="E54" i="2" s="1"/>
  <c r="E107" i="2" s="1"/>
  <c r="C70" i="1"/>
  <c r="C111" i="1" s="1"/>
  <c r="I63" i="26"/>
  <c r="D18" i="1" s="1"/>
  <c r="D70" i="1" s="1"/>
  <c r="D111" i="1" s="1"/>
  <c r="F63" i="2"/>
  <c r="F20" i="2" s="1"/>
  <c r="F28" i="2" s="1"/>
  <c r="F76" i="2" s="1"/>
  <c r="F86" i="2" s="1"/>
  <c r="F38" i="2" s="1"/>
  <c r="F98" i="2" s="1"/>
  <c r="F9" i="2" s="1"/>
  <c r="F54" i="2" s="1"/>
  <c r="F107" i="2" s="1"/>
  <c r="D9" i="20"/>
  <c r="D37" i="20" s="1"/>
  <c r="B13" i="31"/>
  <c r="C77" i="32"/>
  <c r="C17" i="32"/>
  <c r="C63" i="2"/>
  <c r="C20" i="2" s="1"/>
  <c r="C28" i="2" s="1"/>
  <c r="C76" i="2" s="1"/>
  <c r="C86" i="2" s="1"/>
  <c r="C38" i="2" s="1"/>
  <c r="C98" i="2" s="1"/>
  <c r="C9" i="2" s="1"/>
  <c r="C54" i="2" s="1"/>
  <c r="C107" i="2" s="1"/>
  <c r="C10" i="1"/>
  <c r="C12" i="1" s="1"/>
  <c r="C65" i="32"/>
  <c r="B6" i="31"/>
  <c r="C6" i="32" s="1"/>
  <c r="C44" i="32" s="1"/>
  <c r="C74" i="32" s="1"/>
  <c r="C88" i="32" s="1"/>
  <c r="C80" i="1"/>
  <c r="C96" i="1" s="1"/>
  <c r="D8" i="20"/>
  <c r="C78" i="32"/>
  <c r="I36" i="26"/>
  <c r="C87" i="1" s="1"/>
  <c r="C91" i="1" s="1"/>
  <c r="C25" i="1" s="1"/>
  <c r="E45" i="1"/>
  <c r="C67" i="32"/>
  <c r="C112" i="1"/>
  <c r="I59" i="26"/>
  <c r="D10" i="1" s="1"/>
  <c r="C9" i="31" s="1"/>
  <c r="D83" i="1"/>
  <c r="C13" i="31" s="1"/>
  <c r="D77" i="32" s="1"/>
  <c r="D51" i="1"/>
  <c r="E51" i="1" s="1"/>
  <c r="F51" i="1" s="1"/>
  <c r="E22" i="31" s="1"/>
  <c r="C37" i="20"/>
  <c r="C90" i="32"/>
  <c r="C102" i="1"/>
  <c r="C33" i="1" s="1"/>
  <c r="B18" i="31"/>
  <c r="C91" i="32" s="1"/>
  <c r="C50" i="32"/>
  <c r="F80" i="1"/>
  <c r="F96" i="1" s="1"/>
  <c r="B23" i="31"/>
  <c r="B18" i="27"/>
  <c r="M18" i="27" s="1"/>
  <c r="B27" i="31"/>
  <c r="E86" i="1"/>
  <c r="C10" i="24"/>
  <c r="B36" i="20"/>
  <c r="E44" i="1"/>
  <c r="D5" i="31" s="1"/>
  <c r="E5" i="32" s="1"/>
  <c r="E43" i="32" s="1"/>
  <c r="C8" i="20"/>
  <c r="C6" i="31"/>
  <c r="D6" i="32" s="1"/>
  <c r="D44" i="32" s="1"/>
  <c r="D74" i="32" s="1"/>
  <c r="D88" i="32" s="1"/>
  <c r="D80" i="1"/>
  <c r="D96" i="1" s="1"/>
  <c r="D63" i="2"/>
  <c r="D20" i="2" s="1"/>
  <c r="D28" i="2" s="1"/>
  <c r="D76" i="2" s="1"/>
  <c r="D86" i="2" s="1"/>
  <c r="D38" i="2" s="1"/>
  <c r="D98" i="2" s="1"/>
  <c r="D9" i="2" s="1"/>
  <c r="D54" i="2" s="1"/>
  <c r="D107" i="2" s="1"/>
  <c r="B9" i="20"/>
  <c r="B24" i="31"/>
  <c r="C54" i="32"/>
  <c r="C68" i="32"/>
  <c r="B28" i="31"/>
  <c r="D23" i="1"/>
  <c r="B12" i="31"/>
  <c r="C59" i="1"/>
  <c r="B11" i="31"/>
  <c r="C18" i="32"/>
  <c r="C66" i="32" s="1"/>
  <c r="C62" i="32"/>
  <c r="C19" i="1"/>
  <c r="D44" i="1"/>
  <c r="C5" i="31" s="1"/>
  <c r="D5" i="32" s="1"/>
  <c r="D43" i="32" s="1"/>
  <c r="D66" i="1"/>
  <c r="B19" i="27" l="1"/>
  <c r="M19" i="27" s="1"/>
  <c r="C11" i="31"/>
  <c r="D18" i="32" s="1"/>
  <c r="D66" i="32" s="1"/>
  <c r="E18" i="1"/>
  <c r="E16" i="1"/>
  <c r="E16" i="32" s="1"/>
  <c r="G33" i="27"/>
  <c r="G34" i="27"/>
  <c r="F33" i="27"/>
  <c r="F34" i="27"/>
  <c r="C33" i="27"/>
  <c r="C34" i="27" s="1"/>
  <c r="L33" i="27"/>
  <c r="L34" i="27" s="1"/>
  <c r="E33" i="27"/>
  <c r="E34" i="27"/>
  <c r="E11" i="24"/>
  <c r="J34" i="27"/>
  <c r="J33" i="27"/>
  <c r="C74" i="1"/>
  <c r="C75" i="1" s="1"/>
  <c r="D29" i="1"/>
  <c r="D29" i="32" s="1"/>
  <c r="D33" i="27"/>
  <c r="D34" i="27"/>
  <c r="H33" i="27"/>
  <c r="H34" i="27"/>
  <c r="K33" i="27"/>
  <c r="K34" i="27" s="1"/>
  <c r="I33" i="27"/>
  <c r="I34" i="27" s="1"/>
  <c r="C114" i="1"/>
  <c r="E83" i="1"/>
  <c r="D13" i="31" s="1"/>
  <c r="E77" i="32" s="1"/>
  <c r="B20" i="27"/>
  <c r="D84" i="1"/>
  <c r="C14" i="31" s="1"/>
  <c r="D78" i="32" s="1"/>
  <c r="D85" i="1"/>
  <c r="C15" i="31" s="1"/>
  <c r="D79" i="32" s="1"/>
  <c r="C13" i="2"/>
  <c r="C21" i="1"/>
  <c r="C27" i="1" s="1"/>
  <c r="C31" i="1" s="1"/>
  <c r="D12" i="1"/>
  <c r="B9" i="31"/>
  <c r="C10" i="32"/>
  <c r="D6" i="31"/>
  <c r="E6" i="32" s="1"/>
  <c r="E44" i="32" s="1"/>
  <c r="E74" i="32" s="1"/>
  <c r="E88" i="32" s="1"/>
  <c r="E80" i="1"/>
  <c r="E96" i="1" s="1"/>
  <c r="D87" i="1"/>
  <c r="E10" i="1"/>
  <c r="E12" i="1" s="1"/>
  <c r="D71" i="1"/>
  <c r="D112" i="1" s="1"/>
  <c r="D114" i="1" s="1"/>
  <c r="D55" i="1" s="1"/>
  <c r="D72" i="1" s="1"/>
  <c r="C28" i="31" s="1"/>
  <c r="D68" i="32" s="1"/>
  <c r="D98" i="1"/>
  <c r="C81" i="32"/>
  <c r="C85" i="32" s="1"/>
  <c r="C25" i="32" s="1"/>
  <c r="B16" i="31"/>
  <c r="E10" i="24"/>
  <c r="D36" i="20"/>
  <c r="D10" i="32"/>
  <c r="D12" i="32" s="1"/>
  <c r="C22" i="31"/>
  <c r="E98" i="1"/>
  <c r="F98" i="1" s="1"/>
  <c r="D22" i="31"/>
  <c r="E50" i="32" s="1"/>
  <c r="C19" i="32"/>
  <c r="C70" i="32"/>
  <c r="D89" i="2"/>
  <c r="C94" i="32"/>
  <c r="E80" i="32"/>
  <c r="F86" i="1"/>
  <c r="F80" i="32" s="1"/>
  <c r="F50" i="32"/>
  <c r="C12" i="31"/>
  <c r="D23" i="32" s="1"/>
  <c r="E23" i="1"/>
  <c r="C25" i="31"/>
  <c r="D62" i="32" s="1"/>
  <c r="E66" i="1"/>
  <c r="B37" i="20"/>
  <c r="C11" i="24"/>
  <c r="C89" i="2"/>
  <c r="D10" i="24"/>
  <c r="C36" i="20"/>
  <c r="B23" i="27"/>
  <c r="M23" i="27" s="1"/>
  <c r="F16" i="1"/>
  <c r="F16" i="32" s="1"/>
  <c r="E70" i="1"/>
  <c r="E111" i="1" s="1"/>
  <c r="F18" i="1"/>
  <c r="D11" i="31"/>
  <c r="E18" i="32" s="1"/>
  <c r="E66" i="32" s="1"/>
  <c r="C14" i="2"/>
  <c r="C78" i="2" s="1"/>
  <c r="C80" i="2" s="1"/>
  <c r="C56" i="2"/>
  <c r="B35" i="31" s="1"/>
  <c r="C56" i="32"/>
  <c r="F83" i="1"/>
  <c r="C71" i="32" l="1"/>
  <c r="D99" i="1"/>
  <c r="C18" i="31" s="1"/>
  <c r="D91" i="32" s="1"/>
  <c r="C13" i="24"/>
  <c r="C15" i="24" s="1"/>
  <c r="C18" i="24" s="1"/>
  <c r="C23" i="24" s="1"/>
  <c r="C40" i="31" s="1"/>
  <c r="M20" i="27"/>
  <c r="D64" i="1" s="1"/>
  <c r="E84" i="1"/>
  <c r="D14" i="31" s="1"/>
  <c r="E78" i="32" s="1"/>
  <c r="E71" i="1"/>
  <c r="E112" i="1" s="1"/>
  <c r="D91" i="1"/>
  <c r="D25" i="1" s="1"/>
  <c r="E85" i="1"/>
  <c r="D15" i="31" s="1"/>
  <c r="E79" i="32" s="1"/>
  <c r="I86" i="26"/>
  <c r="I87" i="26" s="1"/>
  <c r="I88" i="26" s="1"/>
  <c r="I89" i="26" s="1"/>
  <c r="F10" i="1"/>
  <c r="F71" i="1" s="1"/>
  <c r="F112" i="1" s="1"/>
  <c r="D9" i="31"/>
  <c r="E10" i="32" s="1"/>
  <c r="E12" i="32" s="1"/>
  <c r="E87" i="1"/>
  <c r="F87" i="1" s="1"/>
  <c r="E16" i="31" s="1"/>
  <c r="F81" i="32" s="1"/>
  <c r="D53" i="32"/>
  <c r="D14" i="2" s="1"/>
  <c r="C12" i="32"/>
  <c r="C21" i="32" s="1"/>
  <c r="C40" i="2"/>
  <c r="C46" i="2" s="1"/>
  <c r="B33" i="31" s="1"/>
  <c r="C100" i="2"/>
  <c r="C16" i="31"/>
  <c r="D81" i="32" s="1"/>
  <c r="D85" i="32" s="1"/>
  <c r="D25" i="32" s="1"/>
  <c r="E114" i="1"/>
  <c r="E55" i="1" s="1"/>
  <c r="D23" i="31" s="1"/>
  <c r="C27" i="31"/>
  <c r="D67" i="32" s="1"/>
  <c r="C23" i="31"/>
  <c r="C17" i="31"/>
  <c r="D50" i="32"/>
  <c r="C33" i="32"/>
  <c r="C68" i="2"/>
  <c r="C88" i="2"/>
  <c r="C90" i="2" s="1"/>
  <c r="E89" i="2"/>
  <c r="C11" i="2"/>
  <c r="B34" i="31" s="1"/>
  <c r="E13" i="31"/>
  <c r="F77" i="32" s="1"/>
  <c r="E11" i="31"/>
  <c r="F18" i="32" s="1"/>
  <c r="F66" i="32" s="1"/>
  <c r="F70" i="1"/>
  <c r="F111" i="1" s="1"/>
  <c r="B25" i="27"/>
  <c r="M25" i="27" s="1"/>
  <c r="E9" i="31"/>
  <c r="F10" i="32" s="1"/>
  <c r="C35" i="1"/>
  <c r="D25" i="31"/>
  <c r="E62" i="32" s="1"/>
  <c r="F66" i="1"/>
  <c r="E25" i="31" s="1"/>
  <c r="F62" i="32" s="1"/>
  <c r="F23" i="1"/>
  <c r="E12" i="31" s="1"/>
  <c r="F23" i="32" s="1"/>
  <c r="D12" i="31"/>
  <c r="E23" i="32" s="1"/>
  <c r="E99" i="1" l="1"/>
  <c r="D102" i="1"/>
  <c r="D33" i="1" s="1"/>
  <c r="F114" i="1"/>
  <c r="F55" i="1" s="1"/>
  <c r="F72" i="1" s="1"/>
  <c r="E28" i="31" s="1"/>
  <c r="F68" i="32" s="1"/>
  <c r="F84" i="1"/>
  <c r="E14" i="31" s="1"/>
  <c r="F78" i="32" s="1"/>
  <c r="D60" i="32"/>
  <c r="D70" i="32" s="1"/>
  <c r="D56" i="32" s="1"/>
  <c r="D71" i="32" s="1"/>
  <c r="D74" i="1"/>
  <c r="D59" i="1" s="1"/>
  <c r="D48" i="1" s="1"/>
  <c r="F85" i="1"/>
  <c r="E15" i="31" s="1"/>
  <c r="F79" i="32" s="1"/>
  <c r="F85" i="32" s="1"/>
  <c r="F25" i="32" s="1"/>
  <c r="F12" i="1"/>
  <c r="D27" i="31"/>
  <c r="E67" i="32" s="1"/>
  <c r="D16" i="31"/>
  <c r="E81" i="32" s="1"/>
  <c r="E85" i="32" s="1"/>
  <c r="E25" i="32" s="1"/>
  <c r="D21" i="1"/>
  <c r="D27" i="1" s="1"/>
  <c r="D31" i="1" s="1"/>
  <c r="D13" i="24"/>
  <c r="D15" i="24" s="1"/>
  <c r="D18" i="24" s="1"/>
  <c r="D23" i="24" s="1"/>
  <c r="D40" i="31" s="1"/>
  <c r="B11" i="20"/>
  <c r="D13" i="2"/>
  <c r="B22" i="20" s="1"/>
  <c r="B49" i="20" s="1"/>
  <c r="E91" i="1"/>
  <c r="E25" i="1" s="1"/>
  <c r="E53" i="32"/>
  <c r="E14" i="2" s="1"/>
  <c r="E72" i="1"/>
  <c r="D28" i="31" s="1"/>
  <c r="E68" i="32" s="1"/>
  <c r="D40" i="2"/>
  <c r="D46" i="2" s="1"/>
  <c r="C33" i="31" s="1"/>
  <c r="F99" i="1"/>
  <c r="D18" i="31"/>
  <c r="E91" i="32" s="1"/>
  <c r="E102" i="1"/>
  <c r="E33" i="1" s="1"/>
  <c r="D17" i="31"/>
  <c r="D90" i="32"/>
  <c r="D94" i="32" s="1"/>
  <c r="C22" i="2"/>
  <c r="B31" i="31" s="1"/>
  <c r="C27" i="32"/>
  <c r="C31" i="32" s="1"/>
  <c r="E27" i="31"/>
  <c r="E13" i="24"/>
  <c r="F12" i="32"/>
  <c r="B26" i="27"/>
  <c r="F21" i="1"/>
  <c r="E21" i="1"/>
  <c r="F89" i="2"/>
  <c r="D75" i="1" l="1"/>
  <c r="F53" i="32"/>
  <c r="F14" i="2" s="1"/>
  <c r="E23" i="31"/>
  <c r="F91" i="1"/>
  <c r="F25" i="1" s="1"/>
  <c r="F27" i="1" s="1"/>
  <c r="D19" i="1"/>
  <c r="D17" i="1" s="1"/>
  <c r="C10" i="31" s="1"/>
  <c r="D17" i="32" s="1"/>
  <c r="D19" i="32" s="1"/>
  <c r="D47" i="32"/>
  <c r="D100" i="2" s="1"/>
  <c r="M26" i="27"/>
  <c r="E29" i="1" s="1"/>
  <c r="E29" i="32" s="1"/>
  <c r="E13" i="2"/>
  <c r="E78" i="2" s="1"/>
  <c r="E80" i="2" s="1"/>
  <c r="D11" i="2"/>
  <c r="C34" i="31" s="1"/>
  <c r="D78" i="2"/>
  <c r="D80" i="2" s="1"/>
  <c r="C11" i="20"/>
  <c r="C39" i="20" s="1"/>
  <c r="C47" i="20" s="1"/>
  <c r="E17" i="31"/>
  <c r="F90" i="32" s="1"/>
  <c r="E90" i="32"/>
  <c r="E94" i="32" s="1"/>
  <c r="F67" i="32"/>
  <c r="D11" i="20" s="1"/>
  <c r="D33" i="32"/>
  <c r="D68" i="2"/>
  <c r="E18" i="31"/>
  <c r="F91" i="32" s="1"/>
  <c r="F102" i="1"/>
  <c r="F33" i="1" s="1"/>
  <c r="E40" i="2"/>
  <c r="E46" i="2" s="1"/>
  <c r="D33" i="31" s="1"/>
  <c r="B16" i="20"/>
  <c r="B39" i="20"/>
  <c r="C67" i="2"/>
  <c r="C65" i="2" s="1"/>
  <c r="C35" i="32"/>
  <c r="C22" i="20"/>
  <c r="C49" i="20" s="1"/>
  <c r="E15" i="24"/>
  <c r="E18" i="24" s="1"/>
  <c r="E23" i="24" s="1"/>
  <c r="E40" i="31" s="1"/>
  <c r="D35" i="1"/>
  <c r="E27" i="1"/>
  <c r="E19" i="1"/>
  <c r="E17" i="1" s="1"/>
  <c r="D10" i="31" s="1"/>
  <c r="B27" i="27"/>
  <c r="M27" i="27" s="1"/>
  <c r="F19" i="1"/>
  <c r="F17" i="1" s="1"/>
  <c r="E10" i="31" s="1"/>
  <c r="D56" i="2" l="1"/>
  <c r="C35" i="31" s="1"/>
  <c r="E31" i="1"/>
  <c r="E35" i="1" s="1"/>
  <c r="C16" i="20"/>
  <c r="F40" i="2"/>
  <c r="F46" i="2" s="1"/>
  <c r="E33" i="31" s="1"/>
  <c r="E11" i="2"/>
  <c r="D34" i="31" s="1"/>
  <c r="D21" i="32"/>
  <c r="D22" i="2" s="1"/>
  <c r="C31" i="31" s="1"/>
  <c r="D88" i="2"/>
  <c r="D90" i="2" s="1"/>
  <c r="F13" i="2"/>
  <c r="F17" i="32"/>
  <c r="F19" i="32" s="1"/>
  <c r="E17" i="32"/>
  <c r="E19" i="32" s="1"/>
  <c r="E33" i="32"/>
  <c r="E68" i="2"/>
  <c r="F94" i="32"/>
  <c r="B19" i="20"/>
  <c r="B24" i="20" s="1"/>
  <c r="B26" i="20"/>
  <c r="C30" i="2"/>
  <c r="B32" i="31" s="1"/>
  <c r="B19" i="31"/>
  <c r="C109" i="2"/>
  <c r="B47" i="20"/>
  <c r="B44" i="20"/>
  <c r="C44" i="20"/>
  <c r="C26" i="20"/>
  <c r="C19" i="20"/>
  <c r="C24" i="20" s="1"/>
  <c r="B30" i="27"/>
  <c r="M30" i="27" s="1"/>
  <c r="E64" i="1"/>
  <c r="D39" i="20"/>
  <c r="D47" i="20" s="1"/>
  <c r="D16" i="20"/>
  <c r="D27" i="32" l="1"/>
  <c r="D31" i="32" s="1"/>
  <c r="D35" i="32" s="1"/>
  <c r="D22" i="20"/>
  <c r="D49" i="20" s="1"/>
  <c r="F11" i="2"/>
  <c r="E34" i="31" s="1"/>
  <c r="F78" i="2"/>
  <c r="F80" i="2" s="1"/>
  <c r="E88" i="2"/>
  <c r="E90" i="2" s="1"/>
  <c r="E21" i="32"/>
  <c r="E22" i="2" s="1"/>
  <c r="D31" i="31" s="1"/>
  <c r="F88" i="2"/>
  <c r="F90" i="2" s="1"/>
  <c r="F21" i="32"/>
  <c r="F27" i="32" s="1"/>
  <c r="F68" i="2"/>
  <c r="F33" i="32"/>
  <c r="B28" i="20"/>
  <c r="C38" i="31" s="1"/>
  <c r="C28" i="20"/>
  <c r="D38" i="31" s="1"/>
  <c r="B53" i="20"/>
  <c r="B51" i="20"/>
  <c r="E60" i="32"/>
  <c r="E70" i="32" s="1"/>
  <c r="E56" i="32" s="1"/>
  <c r="E74" i="1"/>
  <c r="E59" i="1" s="1"/>
  <c r="B32" i="27"/>
  <c r="M32" i="27" s="1"/>
  <c r="D19" i="20"/>
  <c r="D24" i="20" s="1"/>
  <c r="C51" i="20"/>
  <c r="C53" i="20"/>
  <c r="D44" i="20"/>
  <c r="D67" i="2" l="1"/>
  <c r="D65" i="2" s="1"/>
  <c r="F22" i="2"/>
  <c r="E31" i="31" s="1"/>
  <c r="E27" i="32"/>
  <c r="E31" i="32" s="1"/>
  <c r="E35" i="32" s="1"/>
  <c r="D26" i="20"/>
  <c r="B55" i="20"/>
  <c r="C39" i="31" s="1"/>
  <c r="D28" i="20"/>
  <c r="E38" i="31" s="1"/>
  <c r="C55" i="20"/>
  <c r="D39" i="31" s="1"/>
  <c r="B33" i="27"/>
  <c r="C19" i="31"/>
  <c r="D109" i="2"/>
  <c r="D30" i="2"/>
  <c r="C32" i="31" s="1"/>
  <c r="D51" i="20"/>
  <c r="D53" i="20"/>
  <c r="E75" i="1"/>
  <c r="E48" i="1"/>
  <c r="E71" i="32"/>
  <c r="E47" i="32"/>
  <c r="M33" i="27" l="1"/>
  <c r="F29" i="1" s="1"/>
  <c r="E67" i="2"/>
  <c r="E65" i="2" s="1"/>
  <c r="E56" i="2"/>
  <c r="D35" i="31" s="1"/>
  <c r="E100" i="2"/>
  <c r="D19" i="31"/>
  <c r="E109" i="2"/>
  <c r="E30" i="2"/>
  <c r="D32" i="31" s="1"/>
  <c r="B34" i="27"/>
  <c r="D55" i="20"/>
  <c r="E39" i="31" s="1"/>
  <c r="F31" i="1" l="1"/>
  <c r="F35" i="1" s="1"/>
  <c r="F29" i="32"/>
  <c r="F31" i="32" s="1"/>
  <c r="F67" i="2" s="1"/>
  <c r="F65" i="2" s="1"/>
  <c r="M34" i="27"/>
  <c r="F64" i="1" s="1"/>
  <c r="F60" i="32" s="1"/>
  <c r="F70" i="32" s="1"/>
  <c r="F56" i="32" s="1"/>
  <c r="F74" i="1" l="1"/>
  <c r="F59" i="1" s="1"/>
  <c r="F75" i="1" s="1"/>
  <c r="F35" i="32"/>
  <c r="F30" i="2" s="1"/>
  <c r="E32" i="31" s="1"/>
  <c r="F47" i="32"/>
  <c r="F71" i="32"/>
  <c r="F48" i="1" l="1"/>
  <c r="E19" i="31"/>
  <c r="F109" i="2"/>
  <c r="F56" i="2"/>
  <c r="E35" i="31" s="1"/>
  <c r="F100" i="2"/>
  <c r="L48" i="26" a="1"/>
  <c r="L48" i="2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<sst xmlns="http://schemas.openxmlformats.org/spreadsheetml/2006/main" count="495" uniqueCount="307">
  <si>
    <t>PARTICULARS</t>
  </si>
  <si>
    <t>Opening Stock</t>
  </si>
  <si>
    <t>Closing Stock</t>
  </si>
  <si>
    <t>Current Liabilities</t>
  </si>
  <si>
    <t>Debtors</t>
  </si>
  <si>
    <t>Interest</t>
  </si>
  <si>
    <t>Cost of Goods Sold:</t>
  </si>
  <si>
    <t>TRADING, PROFIT &amp; LOSS ACCOUNT FOR YEAR ENDED</t>
  </si>
  <si>
    <t>SOURCES OF FUNDS:</t>
  </si>
  <si>
    <t>APPLICATION OF FUNDS:</t>
  </si>
  <si>
    <t>BALANCE SHEET AS ON</t>
  </si>
  <si>
    <t>COGS</t>
  </si>
  <si>
    <t>AVERAGE STOCK</t>
  </si>
  <si>
    <t>Higher the ratio indicates good performance of the company. Lower ratio indicates poor performance.</t>
  </si>
  <si>
    <t xml:space="preserve">* No. of  Days  Assumed  as </t>
  </si>
  <si>
    <t>(No of days/debtor turnover ratio)</t>
  </si>
  <si>
    <t>It Indicates Inventory Management . It shows how offten company sells it inventory.</t>
  </si>
  <si>
    <t>collection.</t>
  </si>
  <si>
    <t>Credit sales / Average debtors</t>
  </si>
  <si>
    <t>*Sales assumed as credit sales</t>
  </si>
  <si>
    <t>RATIO ANALYSIS</t>
  </si>
  <si>
    <t>Gross profit / Sales * 100</t>
  </si>
  <si>
    <t>Netprofit / Sales * 100</t>
  </si>
  <si>
    <t>Particulars</t>
  </si>
  <si>
    <t>Partiiculars</t>
  </si>
  <si>
    <t>Sales / Networking Capital</t>
  </si>
  <si>
    <t>Current Assets / Current Liabilities</t>
  </si>
  <si>
    <t>Current Assets</t>
  </si>
  <si>
    <t>Networking capital (CA - CL)</t>
  </si>
  <si>
    <t>IDEAL RATIO   -   &gt;  1</t>
  </si>
  <si>
    <t>Sales / (Capital+Long Term  Loan)</t>
  </si>
  <si>
    <t>STR = (COGS / AVRG STOCK)</t>
  </si>
  <si>
    <t>PAT / (Capital+Long Term loan)</t>
  </si>
  <si>
    <t>Depreciation</t>
  </si>
  <si>
    <t>EBI</t>
  </si>
  <si>
    <t>E B I   / Interest</t>
  </si>
  <si>
    <t>Schedules</t>
  </si>
  <si>
    <t>Schedule 1  -  Explanation for Administrative &amp; Selling Expenses</t>
  </si>
  <si>
    <t>Schedule 2  - Interest Statement</t>
  </si>
  <si>
    <t>Sch 2</t>
  </si>
  <si>
    <t>Turnover</t>
  </si>
  <si>
    <t xml:space="preserve"> 1. Total current assets</t>
  </si>
  <si>
    <t xml:space="preserve"> 2. Other  current liabilities</t>
  </si>
  <si>
    <t xml:space="preserve">    (Other than bank borrowings )</t>
  </si>
  <si>
    <t xml:space="preserve"> 3. Working capital gap</t>
  </si>
  <si>
    <t xml:space="preserve"> 5. Actual/projected net working capital</t>
  </si>
  <si>
    <t xml:space="preserve"> 6.Item 3 minus item 4</t>
  </si>
  <si>
    <t xml:space="preserve"> 7.Item 3 minus item 5</t>
  </si>
  <si>
    <t xml:space="preserve"> 8. Maximum permissible bank</t>
  </si>
  <si>
    <t xml:space="preserve">    finance(lower of 6 or 7 )</t>
  </si>
  <si>
    <t>CALCULATION OF MAXIMUM PERMISSIBLE BANK FINANCE</t>
  </si>
  <si>
    <t xml:space="preserve"> 4. Min. stipulated Networking capital</t>
  </si>
  <si>
    <t xml:space="preserve">    (25% of WCG excluding export</t>
  </si>
  <si>
    <t xml:space="preserve">     receivables)</t>
  </si>
  <si>
    <r>
      <rPr>
        <b/>
        <sz val="10"/>
        <rFont val="Trebuchet MS"/>
        <family val="2"/>
      </rPr>
      <t>NOTE</t>
    </r>
    <r>
      <rPr>
        <sz val="10"/>
        <rFont val="Trebuchet MS"/>
        <family val="2"/>
      </rPr>
      <t xml:space="preserve"> : Ability to generate Sales per Rupee of Long term Investment</t>
    </r>
  </si>
  <si>
    <r>
      <t xml:space="preserve">NOTE : </t>
    </r>
    <r>
      <rPr>
        <sz val="10"/>
        <rFont val="Trebuchet MS"/>
        <family val="2"/>
      </rPr>
      <t>Ability to generate sales per Rupee of Working Capital</t>
    </r>
  </si>
  <si>
    <r>
      <rPr>
        <b/>
        <sz val="10"/>
        <rFont val="Trebuchet MS"/>
        <family val="2"/>
      </rPr>
      <t xml:space="preserve">NOTES </t>
    </r>
    <r>
      <rPr>
        <sz val="10"/>
        <rFont val="Trebuchet MS"/>
        <family val="2"/>
      </rPr>
      <t xml:space="preserve">: Stock turn over ratio anaysis helps us to understand business performance of the company. </t>
    </r>
  </si>
  <si>
    <r>
      <t>NOTES :</t>
    </r>
    <r>
      <rPr>
        <sz val="10"/>
        <rFont val="Trebuchet MS"/>
        <family val="2"/>
      </rPr>
      <t xml:space="preserve"> Indicates Basic Profitability of the Business.</t>
    </r>
  </si>
  <si>
    <r>
      <t>NOTES :</t>
    </r>
    <r>
      <rPr>
        <sz val="10"/>
        <rFont val="Trebuchet MS"/>
        <family val="2"/>
      </rPr>
      <t xml:space="preserve"> Indicates overall Profitability of the Business.</t>
    </r>
  </si>
  <si>
    <r>
      <rPr>
        <b/>
        <sz val="10"/>
        <rFont val="Trebuchet MS"/>
        <family val="2"/>
      </rPr>
      <t xml:space="preserve">NOTES : </t>
    </r>
    <r>
      <rPr>
        <sz val="10"/>
        <rFont val="Trebuchet MS"/>
        <family val="2"/>
      </rPr>
      <t>Indicates Ability to repay short term commitments promptly .</t>
    </r>
  </si>
  <si>
    <r>
      <rPr>
        <b/>
        <sz val="10"/>
        <rFont val="Trebuchet MS"/>
        <family val="2"/>
      </rPr>
      <t>NOTES :</t>
    </r>
    <r>
      <rPr>
        <sz val="10"/>
        <rFont val="Trebuchet MS"/>
        <family val="2"/>
      </rPr>
      <t xml:space="preserve"> Indicates Extent of own funds used in business.</t>
    </r>
  </si>
  <si>
    <r>
      <rPr>
        <b/>
        <sz val="10"/>
        <rFont val="Trebuchet MS"/>
        <family val="2"/>
      </rPr>
      <t>NOTE :</t>
    </r>
    <r>
      <rPr>
        <sz val="10"/>
        <rFont val="Trebuchet MS"/>
        <family val="2"/>
      </rPr>
      <t xml:space="preserve"> Indicates overall profitability of Business for capital employed .</t>
    </r>
  </si>
  <si>
    <r>
      <rPr>
        <b/>
        <sz val="10"/>
        <rFont val="Trebuchet MS"/>
        <family val="2"/>
      </rPr>
      <t>NOTE :</t>
    </r>
    <r>
      <rPr>
        <sz val="10"/>
        <rFont val="Trebuchet MS"/>
        <family val="2"/>
      </rPr>
      <t xml:space="preserve"> Indicates ability to meet Interest Obligation of the current year .</t>
    </r>
  </si>
  <si>
    <r>
      <rPr>
        <b/>
        <sz val="10"/>
        <color indexed="8"/>
        <rFont val="Trebuchet MS"/>
        <family val="2"/>
      </rPr>
      <t xml:space="preserve">NOTES : </t>
    </r>
    <r>
      <rPr>
        <sz val="10"/>
        <color indexed="8"/>
        <rFont val="Trebuchet MS"/>
        <family val="2"/>
      </rPr>
      <t xml:space="preserve">It indicates velocity of debt collection. Higer the DTR indicates good vellocity of debt </t>
    </r>
  </si>
  <si>
    <t>DEBTORS COLLECTION PERIOD :</t>
  </si>
  <si>
    <t>Cash and Cash Equivalents</t>
  </si>
  <si>
    <t>Operating Expenses</t>
  </si>
  <si>
    <t>TOL / TW</t>
  </si>
  <si>
    <t>MEDICAID LABS LLP</t>
  </si>
  <si>
    <t>Electricity</t>
  </si>
  <si>
    <t>Salaries &amp; Wages</t>
  </si>
  <si>
    <t>AUTONAGAR , VIJAYAWADA - 520 007</t>
  </si>
  <si>
    <t xml:space="preserve">    (25% of Current Assets)</t>
  </si>
  <si>
    <t>MPBF - Method 1 - 25%(Working Capital Gap)</t>
  </si>
  <si>
    <t>MPBF - Method 2 - 25%(Current Assets)</t>
  </si>
  <si>
    <t>Interest on CC/OD</t>
  </si>
  <si>
    <t>Processing Charges</t>
  </si>
  <si>
    <t>TERM LOANS:</t>
  </si>
  <si>
    <t>Net Capital</t>
  </si>
  <si>
    <t>(Opening capital + Net profit -Drawings)</t>
  </si>
  <si>
    <t>FIXED ASSETS:</t>
  </si>
  <si>
    <t>CURRENT ASSETS:</t>
  </si>
  <si>
    <t>B . GROSS PROFIT RATIO</t>
  </si>
  <si>
    <t>C . NETPROFIT RATIO</t>
  </si>
  <si>
    <t>CURRENT LIABILITIES:</t>
  </si>
  <si>
    <t>WORKING CAPITAL ASSESSMENT - TURNOVER METHOD</t>
  </si>
  <si>
    <t>NAYAK COMMITTEE RECOMONDATIONS</t>
  </si>
  <si>
    <t>(25% of Turnover)</t>
  </si>
  <si>
    <t>Drawing Power</t>
  </si>
  <si>
    <t>Maximum Bank CC Loan</t>
  </si>
  <si>
    <t>Notes :</t>
  </si>
  <si>
    <t>1. Maximum Working capital Limit Must not exceed Drawing power .</t>
  </si>
  <si>
    <t>2. Four Operating cycles per Annum is Assumed.</t>
  </si>
  <si>
    <t>OF</t>
  </si>
  <si>
    <t>PREPARED BY</t>
  </si>
  <si>
    <t>Designated Partner</t>
  </si>
  <si>
    <t>Direct Material &amp; Expenses</t>
  </si>
  <si>
    <t>Stock growth every year</t>
  </si>
  <si>
    <t>Projected</t>
  </si>
  <si>
    <t>Sales growth</t>
  </si>
  <si>
    <t>Working capital loan interest</t>
  </si>
  <si>
    <t>Furniture and Fittings</t>
  </si>
  <si>
    <t>Plant and Machinery</t>
  </si>
  <si>
    <t>Stock value</t>
  </si>
  <si>
    <t>Name of Firm</t>
  </si>
  <si>
    <t>Proprietor / MP / MD Name</t>
  </si>
  <si>
    <t>Firm address</t>
  </si>
  <si>
    <t>Estimated</t>
  </si>
  <si>
    <t>times of Working capital</t>
  </si>
  <si>
    <t>Working capital (% on Turnover)</t>
  </si>
  <si>
    <t>Other Assets</t>
  </si>
  <si>
    <t>Vehicle</t>
  </si>
  <si>
    <t>of working capital limit</t>
  </si>
  <si>
    <t>of previous year stock</t>
  </si>
  <si>
    <t>Yes</t>
  </si>
  <si>
    <t>CALCULATION OF DEPRECIATION AS PER INCOME TAX  ACT</t>
  </si>
  <si>
    <t>Rs in lacs</t>
  </si>
  <si>
    <t>Total</t>
  </si>
  <si>
    <t xml:space="preserve">WDV </t>
  </si>
  <si>
    <t>Add Additions</t>
  </si>
  <si>
    <t>WDVat the end of 1st Year</t>
  </si>
  <si>
    <t>WDVat the end of 2nd Year</t>
  </si>
  <si>
    <t>WDVat the end of 3rd Year</t>
  </si>
  <si>
    <t>Depreciation rates</t>
  </si>
  <si>
    <t>Manual entry</t>
  </si>
  <si>
    <t>No</t>
  </si>
  <si>
    <t>Options to be provided</t>
  </si>
  <si>
    <t>compared to previous year</t>
  </si>
  <si>
    <t>of loan amount</t>
  </si>
  <si>
    <t>per annum</t>
  </si>
  <si>
    <t>Loan amount</t>
  </si>
  <si>
    <t>on Sales</t>
  </si>
  <si>
    <t>Nature of Business</t>
  </si>
  <si>
    <r>
      <t xml:space="preserve">Arrived sale for Estimated year </t>
    </r>
    <r>
      <rPr>
        <b/>
        <sz val="10"/>
        <color indexed="10"/>
        <rFont val="Arial"/>
        <family val="2"/>
      </rPr>
      <t>(Higher of A / B)</t>
    </r>
  </si>
  <si>
    <r>
      <t xml:space="preserve">Turnover as per Working Capital to sales Ideal ratio </t>
    </r>
    <r>
      <rPr>
        <b/>
        <sz val="10"/>
        <color indexed="10"/>
        <rFont val="Arial"/>
        <family val="2"/>
      </rPr>
      <t>(A)</t>
    </r>
  </si>
  <si>
    <t>Yearly pricipal deduction</t>
  </si>
  <si>
    <t>Interest on Other loans</t>
  </si>
  <si>
    <t>Secured and Unsecured Loans</t>
  </si>
  <si>
    <r>
      <t xml:space="preserve">Stock as per WC Loan </t>
    </r>
    <r>
      <rPr>
        <b/>
        <sz val="10"/>
        <color indexed="10"/>
        <rFont val="Arial"/>
        <family val="2"/>
      </rPr>
      <t>(A)</t>
    </r>
  </si>
  <si>
    <t>Other current liabilities</t>
  </si>
  <si>
    <t>INVESTMENTS:</t>
  </si>
  <si>
    <t>Other current Assets</t>
  </si>
  <si>
    <r>
      <t xml:space="preserve">Arrived stock in estimated </t>
    </r>
    <r>
      <rPr>
        <b/>
        <sz val="10"/>
        <color indexed="10"/>
        <rFont val="Arial"/>
        <family val="2"/>
      </rPr>
      <t>(A) or (B)</t>
    </r>
    <r>
      <rPr>
        <b/>
        <sz val="10"/>
        <rFont val="Arial"/>
        <family val="2"/>
      </rPr>
      <t xml:space="preserve"> Which ever is higher</t>
    </r>
  </si>
  <si>
    <t>Loan repayment term period</t>
  </si>
  <si>
    <t>Bank CC/OD loan</t>
  </si>
  <si>
    <t>Gross Reciepts:</t>
  </si>
  <si>
    <t>Section</t>
  </si>
  <si>
    <t>Question</t>
  </si>
  <si>
    <t>Question Type</t>
  </si>
  <si>
    <t>Editable</t>
  </si>
  <si>
    <t>Options</t>
  </si>
  <si>
    <t>Min - Max</t>
  </si>
  <si>
    <t>Details which are required to be given by Customer</t>
  </si>
  <si>
    <t>Answer</t>
  </si>
  <si>
    <t>Sector</t>
  </si>
  <si>
    <t>1st Financial year</t>
  </si>
  <si>
    <t>2nd Financial year</t>
  </si>
  <si>
    <t>3rd Financial year</t>
  </si>
  <si>
    <t>4th Financial year</t>
  </si>
  <si>
    <t>Means of Finance details</t>
  </si>
  <si>
    <t>General Information</t>
  </si>
  <si>
    <t>If Non Operating income exists in Provisional , then growth of it to be</t>
  </si>
  <si>
    <t>Off Admin and Marketing Expenses</t>
  </si>
  <si>
    <t>Rent</t>
  </si>
  <si>
    <t>When ever editing is done , this totally must be calculated automatically</t>
  </si>
  <si>
    <t>Non Operating Income (E)</t>
  </si>
  <si>
    <t>Adm &amp; Selling Expenses(F)</t>
  </si>
  <si>
    <t>Less: Interest (J)</t>
  </si>
  <si>
    <t>EBIT( I = G - H )</t>
  </si>
  <si>
    <t>EBT(K = I - J)</t>
  </si>
  <si>
    <t>Service Equipment</t>
  </si>
  <si>
    <t>Yes,No</t>
  </si>
  <si>
    <t xml:space="preserve">Do you have existing working capital limit ? </t>
  </si>
  <si>
    <t>WDV (31.03.2025)</t>
  </si>
  <si>
    <t>Audited period sale</t>
  </si>
  <si>
    <r>
      <t xml:space="preserve">Stock as per Audited financial statements </t>
    </r>
    <r>
      <rPr>
        <b/>
        <sz val="10"/>
        <color indexed="10"/>
        <rFont val="Arial"/>
        <family val="2"/>
      </rPr>
      <t>(B)</t>
    </r>
  </si>
  <si>
    <t>Are there any Other Term loans as per Audited financial statements?</t>
  </si>
  <si>
    <r>
      <t xml:space="preserve">Estimated period sale based on Audited performance at 20% growth </t>
    </r>
    <r>
      <rPr>
        <b/>
        <sz val="10"/>
        <color indexed="10"/>
        <rFont val="Arial"/>
        <family val="2"/>
      </rPr>
      <t>(B)</t>
    </r>
  </si>
  <si>
    <r>
      <t xml:space="preserve">Turnover </t>
    </r>
    <r>
      <rPr>
        <b/>
        <sz val="20"/>
        <rFont val="Trebuchet MS"/>
        <family val="2"/>
      </rPr>
      <t>(A1)</t>
    </r>
  </si>
  <si>
    <t>Gross Profit ( D = A1- A- B+ C)</t>
  </si>
  <si>
    <t>EBDIT(G = D+ E- F)</t>
  </si>
  <si>
    <r>
      <t xml:space="preserve">Less : Depreciation  </t>
    </r>
    <r>
      <rPr>
        <b/>
        <sz val="20"/>
        <rFont val="Trebuchet MS"/>
        <family val="2"/>
      </rPr>
      <t>(H)</t>
    </r>
  </si>
  <si>
    <t>Working capital Loan requirement (Existing)</t>
  </si>
  <si>
    <t>Working capital Loan requirement (Top up)</t>
  </si>
  <si>
    <t>Are you going for Working capital limit Topup from present limit?</t>
  </si>
  <si>
    <t>Processing fees (Inclusing GST)</t>
  </si>
  <si>
    <t xml:space="preserve">Turnover </t>
  </si>
  <si>
    <t xml:space="preserve">Gross Profit </t>
  </si>
  <si>
    <t xml:space="preserve">Non Operating Income </t>
  </si>
  <si>
    <t>EBDIT</t>
  </si>
  <si>
    <t xml:space="preserve">Less : Depreciation  </t>
  </si>
  <si>
    <t>EBIT</t>
  </si>
  <si>
    <t xml:space="preserve">Less: Interest </t>
  </si>
  <si>
    <t>EBT</t>
  </si>
  <si>
    <t>Financial Year</t>
  </si>
  <si>
    <t>Dropdown options to be provided</t>
  </si>
  <si>
    <t xml:space="preserve">Audited </t>
  </si>
  <si>
    <t>Interest on CC / OD Loan</t>
  </si>
  <si>
    <t>Net Capital (Opening capital +Net Profit -Drawings)</t>
  </si>
  <si>
    <t>Term Loans (Secured and Unsecured Loans Total)</t>
  </si>
  <si>
    <t>CC Loan Outstanding</t>
  </si>
  <si>
    <t xml:space="preserve">Other Current Liabilities </t>
  </si>
  <si>
    <t>Gross Total Fixed Assets</t>
  </si>
  <si>
    <t>Net Total Fixed Assets</t>
  </si>
  <si>
    <t>Investments</t>
  </si>
  <si>
    <t>Other Current Assets if any</t>
  </si>
  <si>
    <t>CASH AND CASH EQUIVALENTS</t>
  </si>
  <si>
    <t>GROSS PROFIT RATIO</t>
  </si>
  <si>
    <t>DEBTORS RATIO</t>
  </si>
  <si>
    <t>As per Audited/Provisional figures</t>
  </si>
  <si>
    <t>Audited / Provisional financial statements figures</t>
  </si>
  <si>
    <t>Audited or Provisional</t>
  </si>
  <si>
    <t>Current Ratio</t>
  </si>
  <si>
    <t>Total outside Liabilities to Total Networth</t>
  </si>
  <si>
    <t>FINANCIAL(In Brief) and Ratios at a Glance</t>
  </si>
  <si>
    <t>STEP 3 : DISPLAY TO CUSTOMER FOR MAKING EDITING</t>
  </si>
  <si>
    <t>WORKINGS FOR PROFIT AND LOSS ACCOUNT</t>
  </si>
  <si>
    <t>STEP 2 : BACK GROUND CALCULATION . NOT TO BE VISIBLE TO CUSTOMER</t>
  </si>
  <si>
    <t>WORKINGS FOR BALANCESHEET</t>
  </si>
  <si>
    <t>WORKINGS FOR EXPENDITURE</t>
  </si>
  <si>
    <t>WORKINGS FOR INTEREST</t>
  </si>
  <si>
    <t>STEP 1</t>
  </si>
  <si>
    <t>Gross profit ratio (%)</t>
  </si>
  <si>
    <t>Net Profit Ratio (%)</t>
  </si>
  <si>
    <t>Debtors Turonver Ratio (Days)</t>
  </si>
  <si>
    <t>15% or more than 15%</t>
  </si>
  <si>
    <t>Manufacturing sector / Service sector (with stock) / Trading sector</t>
  </si>
  <si>
    <t>2024 - 25 to provide 10 years with Start Month to End Month</t>
  </si>
  <si>
    <t>Profit and Loss Items at a Glance :</t>
  </si>
  <si>
    <t>Balancesheet Items at a Glance:</t>
  </si>
  <si>
    <t>Term Loans(Secured and Unsecured)</t>
  </si>
  <si>
    <t>Audited, Hence Not editable</t>
  </si>
  <si>
    <t>All Items Editable</t>
  </si>
  <si>
    <t>RATIO ANALYSIS at a Glance: (Not Editable but displayed)</t>
  </si>
  <si>
    <t>MSME &amp; DPR Consultants</t>
  </si>
  <si>
    <t>FINVOIS OPEN BUSINESS SOLUTIONS LLP</t>
  </si>
  <si>
    <t>Contact : 9618221011</t>
  </si>
  <si>
    <t>Sch 1</t>
  </si>
  <si>
    <t>Less :Admintrative &amp; Selling Expenses</t>
  </si>
  <si>
    <t>Net Profit Before Tax</t>
  </si>
  <si>
    <t>Depreciation schedule</t>
  </si>
  <si>
    <t>Sales (Times of Working capital)</t>
  </si>
  <si>
    <t>Growth of Working Capital interest</t>
  </si>
  <si>
    <t>Autogenerated</t>
  </si>
  <si>
    <t>Office Admin, Marketing and Miscelleneous Expenses</t>
  </si>
  <si>
    <t>NA</t>
  </si>
  <si>
    <t>Auto Generated and Predefined , hence cannot be Edited (Only Admin to be given right to Edit these)</t>
  </si>
  <si>
    <t>Assumptions</t>
  </si>
  <si>
    <t>Status of Concern</t>
  </si>
  <si>
    <t>Soleproprietorship,Partnership,LLP,Company</t>
  </si>
  <si>
    <t>LLP</t>
  </si>
  <si>
    <t>Please use "IF" function in following cases</t>
  </si>
  <si>
    <t xml:space="preserve">In case of </t>
  </si>
  <si>
    <t>Designation</t>
  </si>
  <si>
    <t>Companies</t>
  </si>
  <si>
    <t>Managing Director</t>
  </si>
  <si>
    <t>Soleproprietor</t>
  </si>
  <si>
    <t>Proprietor</t>
  </si>
  <si>
    <t>Partnership firm</t>
  </si>
  <si>
    <t>Managing Partner</t>
  </si>
  <si>
    <t xml:space="preserve">A . CURRENT RATIO </t>
  </si>
  <si>
    <t>D  . DEBTORS TURNOVER RATIO</t>
  </si>
  <si>
    <t>E .  TOTAL OUTSIDE LIABILITIES TO TOTAL NETWORTH RATIO :</t>
  </si>
  <si>
    <t>F . INTEREST COVERAGE RATIO</t>
  </si>
  <si>
    <t>G . WORKING CAPITAL TURNOVER RATIO :</t>
  </si>
  <si>
    <t>H . STOCK TURNOVER RATIO</t>
  </si>
  <si>
    <t>I . CAPITAL TURNOVER RATIO</t>
  </si>
  <si>
    <t>J . RETURN ON CAPITAL EMPLOYED</t>
  </si>
  <si>
    <t>WORKING CAPITAL CALCULATION:</t>
  </si>
  <si>
    <t>Required WC Limit</t>
  </si>
  <si>
    <t>Closing stock</t>
  </si>
  <si>
    <t>Eligible Working capital limit</t>
  </si>
  <si>
    <t>PROJECTIONS AND ESTIMATIONS</t>
  </si>
  <si>
    <t>Working Capital Requirement</t>
  </si>
  <si>
    <t>Minimum Working Capital Limit</t>
  </si>
  <si>
    <t>(80% of Working Capital Requirment)</t>
  </si>
  <si>
    <t>IDEAL RATIO  &gt; 1.33</t>
  </si>
  <si>
    <t>SCHEDULE FOR ASSETS: (31.03.2025)</t>
  </si>
  <si>
    <t>Asset Category</t>
  </si>
  <si>
    <t>Sl.No</t>
  </si>
  <si>
    <t>Component</t>
  </si>
  <si>
    <t>Gross Amount                  (Rs in Lacs)</t>
  </si>
  <si>
    <t>Net Amount                (Rs in Lacs)</t>
  </si>
  <si>
    <t>Shed and Civil works</t>
  </si>
  <si>
    <t>Land</t>
  </si>
  <si>
    <t>Electrical Items</t>
  </si>
  <si>
    <t>Electronic items</t>
  </si>
  <si>
    <t xml:space="preserve">Furniture and Fittings </t>
  </si>
  <si>
    <t>Vehicles</t>
  </si>
  <si>
    <t>Live stock</t>
  </si>
  <si>
    <t>Other Assets (Nil Depreciation)</t>
  </si>
  <si>
    <t>TOTAL</t>
  </si>
  <si>
    <t>Working(CC) capital Loan</t>
  </si>
  <si>
    <t>MAXIMUM PERMISSABLE BANK FINANCE:</t>
  </si>
  <si>
    <t>Method 1 : Working capital Method</t>
  </si>
  <si>
    <t>Method 1 : Current Assets Method</t>
  </si>
  <si>
    <t>Method 3 : Nayak Committee</t>
  </si>
  <si>
    <r>
      <t xml:space="preserve">Earnings Before Tax </t>
    </r>
    <r>
      <rPr>
        <b/>
        <sz val="20"/>
        <color indexed="17"/>
        <rFont val="Trebuchet MS"/>
        <family val="2"/>
      </rPr>
      <t>(Not Editable)</t>
    </r>
  </si>
  <si>
    <t>Closing Stock / WIP</t>
  </si>
  <si>
    <t>Electronic Items</t>
  </si>
  <si>
    <t>Office Admin and Marketing Expenses</t>
  </si>
  <si>
    <t>Autogenerated from Schedule for FIXED ASSETS</t>
  </si>
  <si>
    <t>Gross Revenue / Turnover</t>
  </si>
  <si>
    <t>Gross Revenue / Turnover:</t>
  </si>
  <si>
    <t>Revenue</t>
  </si>
  <si>
    <t>Net Capital Including Net Reserves &amp; Surplus</t>
  </si>
  <si>
    <t>Interest on CC/OD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</si>
</sst>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20"/>
      <name val="Trebuchet MS"/>
      <family val="2"/>
    </font>
    <font>
      <sz val="20"/>
      <name val="Trebuchet MS"/>
      <family val="2"/>
    </font>
    <font>
      <b/>
      <i/>
      <sz val="20"/>
      <name val="Trebuchet MS"/>
      <family val="2"/>
    </font>
    <font>
      <i/>
      <sz val="20"/>
      <name val="Trebuchet MS"/>
      <family val="2"/>
    </font>
    <font>
      <b/>
      <u/>
      <sz val="10"/>
      <name val="Trebuchet MS"/>
      <family val="2"/>
    </font>
    <font>
      <sz val="10"/>
      <name val="Trebuchet MS"/>
      <family val="2"/>
    </font>
    <font>
      <b/>
      <sz val="10"/>
      <name val="Trebuchet MS"/>
      <family val="2"/>
    </font>
    <font>
      <b/>
      <sz val="11"/>
      <color indexed="8"/>
      <name val="Trebuchet MS"/>
      <family val="2"/>
    </font>
    <font>
      <sz val="11"/>
      <color indexed="8"/>
      <name val="Trebuchet MS"/>
      <family val="2"/>
    </font>
    <font>
      <b/>
      <i/>
      <sz val="10"/>
      <name val="Trebuchet MS"/>
      <family val="2"/>
    </font>
    <font>
      <b/>
      <sz val="11"/>
      <name val="Trebuchet MS"/>
      <family val="2"/>
    </font>
    <font>
      <sz val="11"/>
      <name val="Trebuchet MS"/>
      <family val="2"/>
    </font>
    <font>
      <b/>
      <u/>
      <sz val="11"/>
      <name val="Trebuchet MS"/>
      <family val="2"/>
    </font>
    <font>
      <b/>
      <i/>
      <u/>
      <sz val="20"/>
      <name val="Trebuchet MS"/>
      <family val="2"/>
    </font>
    <font>
      <b/>
      <sz val="10"/>
      <color indexed="8"/>
      <name val="Trebuchet MS"/>
      <family val="2"/>
    </font>
    <font>
      <b/>
      <i/>
      <sz val="10"/>
      <color indexed="8"/>
      <name val="Trebuchet MS"/>
      <family val="2"/>
    </font>
    <font>
      <sz val="10"/>
      <color indexed="8"/>
      <name val="Trebuchet MS"/>
      <family val="2"/>
    </font>
    <font>
      <b/>
      <i/>
      <sz val="11"/>
      <name val="Trebuchet MS"/>
      <family val="2"/>
    </font>
    <font>
      <b/>
      <sz val="18"/>
      <name val="Trebuchet MS"/>
      <family val="2"/>
    </font>
    <font>
      <sz val="18"/>
      <name val="Trebuchet MS"/>
      <family val="2"/>
    </font>
    <font>
      <b/>
      <u/>
      <sz val="18"/>
      <name val="Trebuchet MS"/>
      <family val="2"/>
    </font>
    <font>
      <b/>
      <i/>
      <sz val="16"/>
      <name val="Trebuchet MS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name val="Arial"/>
      <family val="2"/>
    </font>
    <font>
      <b/>
      <sz val="12"/>
      <name val="Trebuchet MS"/>
      <family val="2"/>
    </font>
    <font>
      <b/>
      <sz val="24"/>
      <name val="Trebuchet MS"/>
      <family val="2"/>
    </font>
    <font>
      <b/>
      <sz val="11"/>
      <name val="Arial"/>
      <family val="2"/>
    </font>
    <font>
      <b/>
      <u/>
      <sz val="20"/>
      <name val="Trebuchet MS"/>
      <family val="2"/>
    </font>
    <font>
      <sz val="12"/>
      <color rgb="FF000000"/>
      <name val="Trebuchet MS"/>
      <family val="2"/>
    </font>
    <font>
      <b/>
      <i/>
      <sz val="10"/>
      <color theme="9" tint="-0.499984740745262"/>
      <name val="Trebuchet MS"/>
      <family val="2"/>
    </font>
    <font>
      <b/>
      <sz val="10"/>
      <color theme="9" tint="-0.499984740745262"/>
      <name val="Trebuchet MS"/>
      <family val="2"/>
    </font>
    <font>
      <sz val="20"/>
      <color theme="1"/>
      <name val="Trebuchet MS"/>
      <family val="2"/>
    </font>
    <font>
      <b/>
      <i/>
      <sz val="18"/>
      <color rgb="FFFF0000"/>
      <name val="Trebuchet MS"/>
      <family val="2"/>
    </font>
    <font>
      <b/>
      <sz val="20"/>
      <color theme="0"/>
      <name val="Trebuchet MS"/>
      <family val="2"/>
    </font>
    <font>
      <sz val="20"/>
      <color theme="0"/>
      <name val="Trebuchet MS"/>
      <family val="2"/>
    </font>
    <font>
      <i/>
      <sz val="20"/>
      <color theme="0"/>
      <name val="Trebuchet MS"/>
      <family val="2"/>
    </font>
    <font>
      <b/>
      <sz val="28"/>
      <color rgb="FFFFFF00"/>
      <name val="Trebuchet MS"/>
      <family val="2"/>
    </font>
    <font>
      <b/>
      <sz val="36"/>
      <color rgb="FFFFFF00"/>
      <name val="Trebuchet MS"/>
      <family val="2"/>
    </font>
    <font>
      <b/>
      <sz val="24"/>
      <color rgb="FFFFFF00"/>
      <name val="Trebuchet MS"/>
      <family val="2"/>
    </font>
    <font>
      <sz val="20"/>
      <color rgb="FFFFFF00"/>
      <name val="Trebuchet MS"/>
      <family val="2"/>
    </font>
    <font>
      <sz val="20"/>
      <color rgb="FFFF0000"/>
      <name val="Trebuchet MS"/>
      <family val="2"/>
    </font>
    <font>
      <b/>
      <sz val="14"/>
      <color rgb="FFFF0000"/>
      <name val="Trebuchet MS"/>
      <family val="2"/>
    </font>
    <font>
      <sz val="10"/>
      <color theme="0"/>
      <name val="Arial"/>
      <family val="2"/>
    </font>
    <font>
      <b/>
      <sz val="22"/>
      <color rgb="FFFF0000"/>
      <name val="Trebuchet MS"/>
      <family val="2"/>
    </font>
    <font>
      <b/>
      <sz val="20"/>
      <color rgb="FFFF0000"/>
      <name val="Trebuchet MS"/>
      <family val="2"/>
    </font>
    <font>
      <b/>
      <sz val="10"/>
      <color theme="0"/>
      <name val="Arial"/>
      <family val="2"/>
    </font>
    <font>
      <b/>
      <i/>
      <u/>
      <sz val="10"/>
      <name val="Trebuchet MS"/>
      <family val="2"/>
    </font>
    <font>
      <b/>
      <sz val="18"/>
      <name val="Arial"/>
      <family val="2"/>
    </font>
    <font>
      <b/>
      <sz val="20"/>
      <color indexed="17"/>
      <name val="Trebuchet MS"/>
      <family val="2"/>
    </font>
    <font>
      <b/>
      <sz val="24"/>
      <color theme="0"/>
      <name val="Trebuchet MS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18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6" fillId="0" borderId="0" xfId="0" applyFont="1"/>
    <xf numFmtId="1" fontId="5" fillId="0" borderId="0" xfId="0" applyNumberFormat="1" applyFont="1"/>
    <xf numFmtId="1" fontId="4" fillId="0" borderId="0" xfId="0" applyNumberFormat="1" applyFont="1"/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5" fillId="0" borderId="1" xfId="0" applyFont="1" applyBorder="1"/>
    <xf numFmtId="1" fontId="4" fillId="0" borderId="2" xfId="0" applyNumberFormat="1" applyFont="1" applyBorder="1"/>
    <xf numFmtId="1" fontId="4" fillId="0" borderId="0" xfId="0" applyNumberFormat="1" applyFont="1" applyAlignment="1">
      <alignment vertical="center"/>
    </xf>
    <xf numFmtId="1" fontId="6" fillId="0" borderId="0" xfId="0" applyNumberFormat="1" applyFont="1"/>
    <xf numFmtId="0" fontId="7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1" fillId="0" borderId="0" xfId="0" applyFont="1"/>
    <xf numFmtId="0" fontId="10" fillId="0" borderId="0" xfId="0" applyFont="1" applyAlignment="1">
      <alignment horizontal="right"/>
    </xf>
    <xf numFmtId="2" fontId="9" fillId="0" borderId="0" xfId="0" applyNumberFormat="1" applyFont="1"/>
    <xf numFmtId="0" fontId="10" fillId="0" borderId="0" xfId="0" applyFont="1"/>
    <xf numFmtId="1" fontId="10" fillId="0" borderId="0" xfId="0" applyNumberFormat="1" applyFont="1"/>
    <xf numFmtId="0" fontId="13" fillId="0" borderId="1" xfId="0" applyFont="1" applyBorder="1"/>
    <xf numFmtId="0" fontId="13" fillId="0" borderId="1" xfId="0" applyFont="1" applyBorder="1" applyAlignment="1">
      <alignment horizontal="left"/>
    </xf>
    <xf numFmtId="0" fontId="13" fillId="0" borderId="0" xfId="0" applyFont="1"/>
    <xf numFmtId="1" fontId="9" fillId="0" borderId="0" xfId="0" applyNumberFormat="1" applyFont="1"/>
    <xf numFmtId="0" fontId="10" fillId="0" borderId="1" xfId="0" applyFont="1" applyBorder="1"/>
    <xf numFmtId="0" fontId="33" fillId="0" borderId="0" xfId="0" applyFont="1" applyAlignment="1">
      <alignment horizontal="right"/>
    </xf>
    <xf numFmtId="0" fontId="33" fillId="0" borderId="1" xfId="0" applyFont="1" applyBorder="1" applyAlignment="1">
      <alignment horizontal="right"/>
    </xf>
    <xf numFmtId="0" fontId="34" fillId="0" borderId="0" xfId="0" applyFont="1"/>
    <xf numFmtId="0" fontId="15" fillId="0" borderId="0" xfId="0" applyFont="1"/>
    <xf numFmtId="2" fontId="15" fillId="0" borderId="0" xfId="0" applyNumberFormat="1" applyFont="1"/>
    <xf numFmtId="0" fontId="14" fillId="0" borderId="0" xfId="0" applyFont="1"/>
    <xf numFmtId="0" fontId="10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1" fontId="15" fillId="0" borderId="0" xfId="0" applyNumberFormat="1" applyFont="1"/>
    <xf numFmtId="0" fontId="17" fillId="0" borderId="0" xfId="0" applyFont="1"/>
    <xf numFmtId="0" fontId="35" fillId="0" borderId="0" xfId="0" applyFont="1"/>
    <xf numFmtId="0" fontId="34" fillId="2" borderId="0" xfId="0" applyFont="1" applyFill="1"/>
    <xf numFmtId="0" fontId="18" fillId="0" borderId="3" xfId="0" applyFont="1" applyBorder="1"/>
    <xf numFmtId="0" fontId="20" fillId="0" borderId="0" xfId="0" applyFont="1"/>
    <xf numFmtId="1" fontId="5" fillId="0" borderId="0" xfId="0" applyNumberFormat="1" applyFont="1" applyAlignment="1">
      <alignment horizontal="right"/>
    </xf>
    <xf numFmtId="1" fontId="9" fillId="0" borderId="0" xfId="0" applyNumberFormat="1" applyFont="1" applyAlignment="1">
      <alignment horizontal="center"/>
    </xf>
    <xf numFmtId="0" fontId="5" fillId="0" borderId="0" xfId="0" applyFont="1" applyAlignment="1">
      <alignment horizontal="right"/>
    </xf>
    <xf numFmtId="1" fontId="4" fillId="0" borderId="4" xfId="0" applyNumberFormat="1" applyFont="1" applyBorder="1"/>
    <xf numFmtId="1" fontId="5" fillId="0" borderId="0" xfId="0" applyNumberFormat="1" applyFont="1" applyAlignment="1">
      <alignment horizontal="center"/>
    </xf>
    <xf numFmtId="1" fontId="36" fillId="0" borderId="0" xfId="0" applyNumberFormat="1" applyFont="1"/>
    <xf numFmtId="0" fontId="5" fillId="0" borderId="0" xfId="0" applyFont="1" applyAlignment="1">
      <alignment horizontal="center"/>
    </xf>
    <xf numFmtId="0" fontId="15" fillId="0" borderId="1" xfId="0" applyFont="1" applyBorder="1"/>
    <xf numFmtId="0" fontId="37" fillId="0" borderId="0" xfId="0" applyFont="1" applyAlignment="1">
      <alignment vertical="top"/>
    </xf>
    <xf numFmtId="0" fontId="5" fillId="4" borderId="2" xfId="0" applyFont="1" applyFill="1" applyBorder="1"/>
    <xf numFmtId="0" fontId="4" fillId="4" borderId="2" xfId="0" applyFont="1" applyFill="1" applyBorder="1" applyAlignment="1">
      <alignment horizontal="right"/>
    </xf>
    <xf numFmtId="0" fontId="10" fillId="4" borderId="7" xfId="0" applyFont="1" applyFill="1" applyBorder="1" applyAlignment="1">
      <alignment horizontal="center"/>
    </xf>
    <xf numFmtId="0" fontId="10" fillId="4" borderId="7" xfId="0" applyFont="1" applyFill="1" applyBorder="1"/>
    <xf numFmtId="0" fontId="10" fillId="4" borderId="7" xfId="0" applyFont="1" applyFill="1" applyBorder="1" applyAlignment="1">
      <alignment horizontal="right"/>
    </xf>
    <xf numFmtId="0" fontId="12" fillId="4" borderId="7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9" fillId="4" borderId="7" xfId="0" applyFont="1" applyFill="1" applyBorder="1"/>
    <xf numFmtId="1" fontId="21" fillId="0" borderId="0" xfId="0" applyNumberFormat="1" applyFont="1"/>
    <xf numFmtId="0" fontId="22" fillId="0" borderId="0" xfId="0" applyFont="1" applyAlignment="1">
      <alignment horizontal="center"/>
    </xf>
    <xf numFmtId="0" fontId="22" fillId="0" borderId="0" xfId="0" applyFont="1"/>
    <xf numFmtId="0" fontId="23" fillId="0" borderId="0" xfId="0" applyFont="1"/>
    <xf numFmtId="0" fontId="23" fillId="0" borderId="1" xfId="0" applyFont="1" applyBorder="1"/>
    <xf numFmtId="0" fontId="24" fillId="0" borderId="0" xfId="0" applyFont="1" applyAlignment="1">
      <alignment horizontal="center"/>
    </xf>
    <xf numFmtId="0" fontId="23" fillId="4" borderId="8" xfId="0" applyFont="1" applyFill="1" applyBorder="1"/>
    <xf numFmtId="0" fontId="23" fillId="4" borderId="9" xfId="0" applyFont="1" applyFill="1" applyBorder="1"/>
    <xf numFmtId="0" fontId="23" fillId="4" borderId="10" xfId="0" applyFont="1" applyFill="1" applyBorder="1"/>
    <xf numFmtId="0" fontId="23" fillId="4" borderId="3" xfId="0" applyFont="1" applyFill="1" applyBorder="1"/>
    <xf numFmtId="0" fontId="23" fillId="4" borderId="0" xfId="0" applyFont="1" applyFill="1"/>
    <xf numFmtId="0" fontId="23" fillId="4" borderId="11" xfId="0" applyFont="1" applyFill="1" applyBorder="1"/>
    <xf numFmtId="0" fontId="23" fillId="4" borderId="12" xfId="0" applyFont="1" applyFill="1" applyBorder="1"/>
    <xf numFmtId="0" fontId="22" fillId="4" borderId="11" xfId="0" applyFont="1" applyFill="1" applyBorder="1" applyAlignment="1">
      <alignment wrapText="1"/>
    </xf>
    <xf numFmtId="0" fontId="23" fillId="4" borderId="13" xfId="0" applyFont="1" applyFill="1" applyBorder="1"/>
    <xf numFmtId="0" fontId="23" fillId="4" borderId="1" xfId="0" applyFont="1" applyFill="1" applyBorder="1"/>
    <xf numFmtId="0" fontId="3" fillId="0" borderId="0" xfId="0" applyFont="1"/>
    <xf numFmtId="2" fontId="38" fillId="0" borderId="0" xfId="0" applyNumberFormat="1" applyFont="1"/>
    <xf numFmtId="0" fontId="39" fillId="0" borderId="0" xfId="0" applyFont="1"/>
    <xf numFmtId="0" fontId="40" fillId="0" borderId="0" xfId="0" applyFont="1"/>
    <xf numFmtId="2" fontId="38" fillId="0" borderId="0" xfId="0" applyNumberFormat="1" applyFont="1" applyAlignment="1">
      <alignment vertical="center"/>
    </xf>
    <xf numFmtId="2" fontId="39" fillId="0" borderId="0" xfId="0" applyNumberFormat="1" applyFont="1"/>
    <xf numFmtId="2" fontId="5" fillId="0" borderId="0" xfId="0" applyNumberFormat="1" applyFont="1"/>
    <xf numFmtId="0" fontId="10" fillId="0" borderId="0" xfId="0" applyFont="1" applyAlignment="1">
      <alignment vertical="top" wrapText="1"/>
    </xf>
    <xf numFmtId="17" fontId="4" fillId="4" borderId="5" xfId="0" applyNumberFormat="1" applyFont="1" applyFill="1" applyBorder="1" applyAlignment="1">
      <alignment horizontal="center" vertical="center"/>
    </xf>
    <xf numFmtId="0" fontId="26" fillId="0" borderId="0" xfId="0" applyFont="1"/>
    <xf numFmtId="0" fontId="9" fillId="4" borderId="5" xfId="0" applyFont="1" applyFill="1" applyBorder="1"/>
    <xf numFmtId="0" fontId="10" fillId="4" borderId="5" xfId="0" applyFont="1" applyFill="1" applyBorder="1" applyAlignment="1">
      <alignment horizontal="center"/>
    </xf>
    <xf numFmtId="0" fontId="9" fillId="4" borderId="0" xfId="0" applyFont="1" applyFill="1"/>
    <xf numFmtId="0" fontId="10" fillId="4" borderId="0" xfId="0" applyFont="1" applyFill="1" applyAlignment="1">
      <alignment horizontal="center"/>
    </xf>
    <xf numFmtId="0" fontId="10" fillId="4" borderId="0" xfId="0" applyFont="1" applyFill="1" applyAlignment="1">
      <alignment horizontal="center" wrapText="1"/>
    </xf>
    <xf numFmtId="0" fontId="9" fillId="4" borderId="6" xfId="0" applyFont="1" applyFill="1" applyBorder="1"/>
    <xf numFmtId="10" fontId="10" fillId="4" borderId="6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/>
    </xf>
    <xf numFmtId="2" fontId="9" fillId="0" borderId="0" xfId="0" applyNumberFormat="1" applyFont="1" applyAlignment="1">
      <alignment horizontal="right"/>
    </xf>
    <xf numFmtId="1" fontId="9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 vertical="top" wrapText="1"/>
    </xf>
    <xf numFmtId="0" fontId="10" fillId="4" borderId="0" xfId="0" applyFont="1" applyFill="1" applyAlignment="1">
      <alignment vertical="center" wrapText="1"/>
    </xf>
    <xf numFmtId="0" fontId="9" fillId="0" borderId="14" xfId="0" applyFont="1" applyBorder="1"/>
    <xf numFmtId="17" fontId="13" fillId="0" borderId="0" xfId="0" applyNumberFormat="1" applyFont="1"/>
    <xf numFmtId="0" fontId="3" fillId="0" borderId="15" xfId="0" applyFont="1" applyBorder="1"/>
    <xf numFmtId="0" fontId="41" fillId="0" borderId="0" xfId="0" applyFont="1"/>
    <xf numFmtId="0" fontId="3" fillId="0" borderId="15" xfId="0" applyFont="1" applyBorder="1" applyAlignment="1">
      <alignment horizontal="center"/>
    </xf>
    <xf numFmtId="0" fontId="3" fillId="0" borderId="15" xfId="0" applyFont="1" applyBorder="1" applyAlignment="1">
      <alignment vertical="top"/>
    </xf>
    <xf numFmtId="0" fontId="0" fillId="7" borderId="15" xfId="0" applyFill="1" applyBorder="1"/>
    <xf numFmtId="0" fontId="3" fillId="0" borderId="20" xfId="0" applyFont="1" applyBorder="1" applyAlignment="1">
      <alignment horizontal="center"/>
    </xf>
    <xf numFmtId="0" fontId="0" fillId="7" borderId="20" xfId="0" applyFill="1" applyBorder="1"/>
    <xf numFmtId="0" fontId="26" fillId="3" borderId="15" xfId="0" applyFont="1" applyFill="1" applyBorder="1"/>
    <xf numFmtId="0" fontId="0" fillId="3" borderId="15" xfId="0" applyFill="1" applyBorder="1" applyAlignment="1">
      <alignment horizontal="center"/>
    </xf>
    <xf numFmtId="0" fontId="0" fillId="3" borderId="15" xfId="0" applyFill="1" applyBorder="1"/>
    <xf numFmtId="0" fontId="10" fillId="3" borderId="15" xfId="0" applyFont="1" applyFill="1" applyBorder="1" applyAlignment="1">
      <alignment horizontal="center" vertical="top" wrapText="1"/>
    </xf>
    <xf numFmtId="0" fontId="10" fillId="3" borderId="15" xfId="0" applyFont="1" applyFill="1" applyBorder="1" applyAlignment="1">
      <alignment vertical="top" wrapText="1"/>
    </xf>
    <xf numFmtId="0" fontId="0" fillId="3" borderId="19" xfId="0" applyFill="1" applyBorder="1"/>
    <xf numFmtId="0" fontId="10" fillId="3" borderId="19" xfId="0" applyFont="1" applyFill="1" applyBorder="1" applyAlignment="1">
      <alignment vertical="top" wrapText="1"/>
    </xf>
    <xf numFmtId="0" fontId="23" fillId="0" borderId="0" xfId="0" applyFont="1" applyAlignment="1">
      <alignment horizontal="center"/>
    </xf>
    <xf numFmtId="0" fontId="14" fillId="4" borderId="5" xfId="0" applyFont="1" applyFill="1" applyBorder="1"/>
    <xf numFmtId="17" fontId="14" fillId="4" borderId="5" xfId="0" applyNumberFormat="1" applyFont="1" applyFill="1" applyBorder="1" applyAlignment="1">
      <alignment horizontal="right"/>
    </xf>
    <xf numFmtId="0" fontId="14" fillId="4" borderId="6" xfId="0" applyFont="1" applyFill="1" applyBorder="1"/>
    <xf numFmtId="0" fontId="14" fillId="4" borderId="6" xfId="0" applyFont="1" applyFill="1" applyBorder="1" applyAlignment="1">
      <alignment horizontal="right"/>
    </xf>
    <xf numFmtId="0" fontId="14" fillId="4" borderId="5" xfId="0" applyFont="1" applyFill="1" applyBorder="1" applyAlignment="1">
      <alignment horizontal="right"/>
    </xf>
    <xf numFmtId="0" fontId="42" fillId="0" borderId="0" xfId="0" applyFont="1"/>
    <xf numFmtId="1" fontId="10" fillId="0" borderId="0" xfId="0" applyNumberFormat="1" applyFont="1" applyAlignment="1">
      <alignment horizontal="right"/>
    </xf>
    <xf numFmtId="0" fontId="26" fillId="3" borderId="21" xfId="0" applyFont="1" applyFill="1" applyBorder="1"/>
    <xf numFmtId="0" fontId="0" fillId="3" borderId="21" xfId="0" applyFill="1" applyBorder="1" applyAlignment="1">
      <alignment horizontal="center"/>
    </xf>
    <xf numFmtId="0" fontId="10" fillId="3" borderId="21" xfId="0" applyFont="1" applyFill="1" applyBorder="1" applyAlignment="1">
      <alignment horizontal="center" vertical="top" wrapText="1"/>
    </xf>
    <xf numFmtId="0" fontId="26" fillId="3" borderId="15" xfId="0" applyFont="1" applyFill="1" applyBorder="1" applyAlignment="1">
      <alignment horizontal="center" wrapText="1"/>
    </xf>
    <xf numFmtId="0" fontId="43" fillId="8" borderId="0" xfId="0" applyFont="1" applyFill="1"/>
    <xf numFmtId="0" fontId="44" fillId="8" borderId="0" xfId="0" applyFont="1" applyFill="1"/>
    <xf numFmtId="0" fontId="29" fillId="0" borderId="0" xfId="0" applyFont="1" applyAlignment="1">
      <alignment horizontal="left"/>
    </xf>
    <xf numFmtId="2" fontId="4" fillId="0" borderId="0" xfId="0" applyNumberFormat="1" applyFont="1"/>
    <xf numFmtId="0" fontId="3" fillId="0" borderId="23" xfId="0" applyFont="1" applyBorder="1" applyAlignment="1">
      <alignment horizontal="center"/>
    </xf>
    <xf numFmtId="0" fontId="0" fillId="7" borderId="23" xfId="0" applyFill="1" applyBorder="1"/>
    <xf numFmtId="0" fontId="4" fillId="4" borderId="6" xfId="0" applyFont="1" applyFill="1" applyBorder="1" applyAlignment="1">
      <alignment horizontal="center" vertical="center"/>
    </xf>
    <xf numFmtId="0" fontId="43" fillId="0" borderId="0" xfId="0" applyFont="1"/>
    <xf numFmtId="0" fontId="44" fillId="0" borderId="0" xfId="0" applyFont="1"/>
    <xf numFmtId="0" fontId="30" fillId="0" borderId="0" xfId="0" applyFont="1"/>
    <xf numFmtId="1" fontId="4" fillId="0" borderId="1" xfId="0" applyNumberFormat="1" applyFont="1" applyBorder="1"/>
    <xf numFmtId="0" fontId="3" fillId="0" borderId="24" xfId="0" applyFont="1" applyBorder="1" applyAlignment="1">
      <alignment horizontal="center"/>
    </xf>
    <xf numFmtId="0" fontId="0" fillId="7" borderId="24" xfId="0" applyFill="1" applyBorder="1"/>
    <xf numFmtId="0" fontId="3" fillId="0" borderId="20" xfId="0" applyFont="1" applyBorder="1"/>
    <xf numFmtId="0" fontId="26" fillId="9" borderId="7" xfId="0" applyFont="1" applyFill="1" applyBorder="1"/>
    <xf numFmtId="0" fontId="26" fillId="9" borderId="7" xfId="0" applyFont="1" applyFill="1" applyBorder="1" applyAlignment="1">
      <alignment horizontal="center"/>
    </xf>
    <xf numFmtId="0" fontId="26" fillId="9" borderId="7" xfId="0" applyFont="1" applyFill="1" applyBorder="1" applyAlignment="1">
      <alignment horizontal="center" wrapText="1"/>
    </xf>
    <xf numFmtId="0" fontId="3" fillId="0" borderId="25" xfId="0" applyFont="1" applyBorder="1" applyAlignment="1">
      <alignment horizontal="center"/>
    </xf>
    <xf numFmtId="0" fontId="3" fillId="0" borderId="23" xfId="0" applyFont="1" applyBorder="1"/>
    <xf numFmtId="0" fontId="3" fillId="0" borderId="24" xfId="0" applyFont="1" applyBorder="1" applyAlignment="1">
      <alignment vertical="top"/>
    </xf>
    <xf numFmtId="0" fontId="3" fillId="0" borderId="26" xfId="0" applyFont="1" applyBorder="1" applyAlignment="1">
      <alignment horizontal="center"/>
    </xf>
    <xf numFmtId="0" fontId="26" fillId="9" borderId="27" xfId="0" applyFont="1" applyFill="1" applyBorder="1"/>
    <xf numFmtId="0" fontId="26" fillId="9" borderId="28" xfId="0" applyFont="1" applyFill="1" applyBorder="1" applyAlignment="1">
      <alignment horizontal="center"/>
    </xf>
    <xf numFmtId="0" fontId="26" fillId="9" borderId="28" xfId="0" applyFont="1" applyFill="1" applyBorder="1" applyAlignment="1">
      <alignment horizontal="center" wrapText="1"/>
    </xf>
    <xf numFmtId="0" fontId="26" fillId="9" borderId="29" xfId="0" applyFont="1" applyFill="1" applyBorder="1" applyAlignment="1">
      <alignment horizontal="center"/>
    </xf>
    <xf numFmtId="0" fontId="26" fillId="9" borderId="30" xfId="0" applyFont="1" applyFill="1" applyBorder="1"/>
    <xf numFmtId="0" fontId="3" fillId="0" borderId="24" xfId="0" applyFont="1" applyBorder="1"/>
    <xf numFmtId="0" fontId="3" fillId="0" borderId="31" xfId="0" applyFont="1" applyBorder="1" applyAlignment="1">
      <alignment horizontal="center"/>
    </xf>
    <xf numFmtId="0" fontId="26" fillId="3" borderId="28" xfId="0" applyFont="1" applyFill="1" applyBorder="1"/>
    <xf numFmtId="0" fontId="0" fillId="3" borderId="28" xfId="0" applyFill="1" applyBorder="1" applyAlignment="1">
      <alignment horizontal="center"/>
    </xf>
    <xf numFmtId="0" fontId="0" fillId="3" borderId="28" xfId="0" applyFill="1" applyBorder="1"/>
    <xf numFmtId="0" fontId="0" fillId="3" borderId="29" xfId="0" applyFill="1" applyBorder="1"/>
    <xf numFmtId="0" fontId="3" fillId="0" borderId="0" xfId="0" applyFont="1" applyAlignment="1">
      <alignment horizontal="center"/>
    </xf>
    <xf numFmtId="0" fontId="26" fillId="0" borderId="0" xfId="0" applyFont="1" applyAlignment="1">
      <alignment horizontal="center" wrapText="1"/>
    </xf>
    <xf numFmtId="0" fontId="26" fillId="0" borderId="0" xfId="0" applyFont="1" applyAlignment="1">
      <alignment horizontal="center"/>
    </xf>
    <xf numFmtId="1" fontId="26" fillId="0" borderId="0" xfId="0" applyNumberFormat="1" applyFont="1"/>
    <xf numFmtId="17" fontId="26" fillId="0" borderId="0" xfId="0" applyNumberFormat="1" applyFont="1" applyAlignment="1">
      <alignment horizontal="center"/>
    </xf>
    <xf numFmtId="17" fontId="26" fillId="0" borderId="0" xfId="0" applyNumberFormat="1" applyFont="1"/>
    <xf numFmtId="0" fontId="26" fillId="10" borderId="21" xfId="0" applyFont="1" applyFill="1" applyBorder="1"/>
    <xf numFmtId="0" fontId="26" fillId="10" borderId="26" xfId="0" applyFont="1" applyFill="1" applyBorder="1"/>
    <xf numFmtId="0" fontId="26" fillId="10" borderId="15" xfId="0" applyFont="1" applyFill="1" applyBorder="1"/>
    <xf numFmtId="0" fontId="26" fillId="10" borderId="24" xfId="0" applyFont="1" applyFill="1" applyBorder="1"/>
    <xf numFmtId="0" fontId="3" fillId="10" borderId="15" xfId="0" applyFont="1" applyFill="1" applyBorder="1"/>
    <xf numFmtId="0" fontId="3" fillId="10" borderId="21" xfId="0" applyFont="1" applyFill="1" applyBorder="1" applyAlignment="1">
      <alignment horizontal="center"/>
    </xf>
    <xf numFmtId="0" fontId="3" fillId="10" borderId="15" xfId="0" applyFont="1" applyFill="1" applyBorder="1" applyAlignment="1">
      <alignment horizontal="center"/>
    </xf>
    <xf numFmtId="0" fontId="0" fillId="10" borderId="15" xfId="0" applyFill="1" applyBorder="1"/>
    <xf numFmtId="0" fontId="3" fillId="10" borderId="19" xfId="0" applyFont="1" applyFill="1" applyBorder="1"/>
    <xf numFmtId="1" fontId="0" fillId="10" borderId="15" xfId="0" applyNumberFormat="1" applyFill="1" applyBorder="1" applyAlignment="1">
      <alignment horizontal="center"/>
    </xf>
    <xf numFmtId="0" fontId="0" fillId="10" borderId="19" xfId="0" applyFill="1" applyBorder="1"/>
    <xf numFmtId="0" fontId="0" fillId="10" borderId="21" xfId="0" applyFill="1" applyBorder="1" applyAlignment="1">
      <alignment horizontal="center"/>
    </xf>
    <xf numFmtId="0" fontId="0" fillId="10" borderId="15" xfId="0" applyFill="1" applyBorder="1" applyAlignment="1">
      <alignment horizontal="center"/>
    </xf>
    <xf numFmtId="0" fontId="10" fillId="10" borderId="15" xfId="0" applyFont="1" applyFill="1" applyBorder="1"/>
    <xf numFmtId="0" fontId="0" fillId="10" borderId="26" xfId="0" applyFill="1" applyBorder="1" applyAlignment="1">
      <alignment horizontal="center"/>
    </xf>
    <xf numFmtId="0" fontId="0" fillId="10" borderId="24" xfId="0" applyFill="1" applyBorder="1" applyAlignment="1">
      <alignment horizontal="center"/>
    </xf>
    <xf numFmtId="0" fontId="0" fillId="10" borderId="24" xfId="0" applyFill="1" applyBorder="1"/>
    <xf numFmtId="0" fontId="0" fillId="10" borderId="32" xfId="0" applyFill="1" applyBorder="1"/>
    <xf numFmtId="0" fontId="32" fillId="0" borderId="0" xfId="0" applyFont="1"/>
    <xf numFmtId="0" fontId="0" fillId="0" borderId="33" xfId="0" applyBorder="1" applyAlignment="1">
      <alignment horizontal="center"/>
    </xf>
    <xf numFmtId="0" fontId="3" fillId="0" borderId="34" xfId="0" applyFont="1" applyBorder="1"/>
    <xf numFmtId="0" fontId="3" fillId="0" borderId="35" xfId="0" applyFont="1" applyBorder="1"/>
    <xf numFmtId="0" fontId="3" fillId="0" borderId="36" xfId="0" applyFont="1" applyBorder="1" applyAlignment="1">
      <alignment wrapText="1"/>
    </xf>
    <xf numFmtId="0" fontId="3" fillId="0" borderId="36" xfId="0" applyFont="1" applyBorder="1"/>
    <xf numFmtId="0" fontId="3" fillId="0" borderId="38" xfId="0" applyFont="1" applyBorder="1"/>
    <xf numFmtId="0" fontId="3" fillId="0" borderId="37" xfId="0" applyFont="1" applyBorder="1"/>
    <xf numFmtId="0" fontId="26" fillId="9" borderId="8" xfId="0" applyFont="1" applyFill="1" applyBorder="1"/>
    <xf numFmtId="0" fontId="26" fillId="9" borderId="9" xfId="0" applyFont="1" applyFill="1" applyBorder="1"/>
    <xf numFmtId="0" fontId="26" fillId="9" borderId="9" xfId="0" applyFont="1" applyFill="1" applyBorder="1" applyAlignment="1">
      <alignment horizontal="center"/>
    </xf>
    <xf numFmtId="0" fontId="26" fillId="9" borderId="9" xfId="0" applyFont="1" applyFill="1" applyBorder="1" applyAlignment="1">
      <alignment horizontal="center" wrapText="1"/>
    </xf>
    <xf numFmtId="0" fontId="26" fillId="9" borderId="10" xfId="0" applyFont="1" applyFill="1" applyBorder="1" applyAlignment="1">
      <alignment horizontal="center"/>
    </xf>
    <xf numFmtId="0" fontId="31" fillId="9" borderId="28" xfId="0" applyFont="1" applyFill="1" applyBorder="1"/>
    <xf numFmtId="0" fontId="26" fillId="10" borderId="39" xfId="0" applyFont="1" applyFill="1" applyBorder="1"/>
    <xf numFmtId="0" fontId="3" fillId="10" borderId="39" xfId="0" applyFont="1" applyFill="1" applyBorder="1" applyAlignment="1">
      <alignment horizontal="center"/>
    </xf>
    <xf numFmtId="0" fontId="3" fillId="10" borderId="23" xfId="0" applyFont="1" applyFill="1" applyBorder="1" applyAlignment="1">
      <alignment horizontal="center"/>
    </xf>
    <xf numFmtId="0" fontId="0" fillId="10" borderId="23" xfId="0" applyFill="1" applyBorder="1"/>
    <xf numFmtId="2" fontId="0" fillId="10" borderId="23" xfId="0" applyNumberFormat="1" applyFill="1" applyBorder="1" applyAlignment="1">
      <alignment horizontal="center"/>
    </xf>
    <xf numFmtId="0" fontId="3" fillId="10" borderId="40" xfId="0" applyFont="1" applyFill="1" applyBorder="1"/>
    <xf numFmtId="0" fontId="0" fillId="3" borderId="27" xfId="0" applyFill="1" applyBorder="1"/>
    <xf numFmtId="0" fontId="3" fillId="0" borderId="39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3" fillId="7" borderId="22" xfId="0" applyFont="1" applyFill="1" applyBorder="1"/>
    <xf numFmtId="0" fontId="9" fillId="0" borderId="20" xfId="0" applyFont="1" applyBorder="1" applyAlignment="1">
      <alignment horizontal="center"/>
    </xf>
    <xf numFmtId="0" fontId="3" fillId="0" borderId="17" xfId="0" applyFont="1" applyBorder="1"/>
    <xf numFmtId="0" fontId="9" fillId="0" borderId="15" xfId="0" applyFont="1" applyBorder="1" applyAlignment="1">
      <alignment horizontal="center"/>
    </xf>
    <xf numFmtId="0" fontId="3" fillId="0" borderId="19" xfId="0" applyFont="1" applyBorder="1"/>
    <xf numFmtId="0" fontId="9" fillId="0" borderId="15" xfId="0" applyFont="1" applyBorder="1" applyAlignment="1">
      <alignment horizontal="center" vertical="top" wrapText="1"/>
    </xf>
    <xf numFmtId="0" fontId="9" fillId="0" borderId="24" xfId="0" applyFont="1" applyBorder="1" applyAlignment="1">
      <alignment horizontal="center" vertical="top" wrapText="1"/>
    </xf>
    <xf numFmtId="0" fontId="3" fillId="0" borderId="32" xfId="0" applyFont="1" applyBorder="1"/>
    <xf numFmtId="0" fontId="3" fillId="0" borderId="32" xfId="0" applyFont="1" applyBorder="1" applyAlignment="1">
      <alignment horizontal="center"/>
    </xf>
    <xf numFmtId="0" fontId="26" fillId="0" borderId="40" xfId="0" applyFont="1" applyBorder="1"/>
    <xf numFmtId="0" fontId="26" fillId="0" borderId="19" xfId="0" applyFont="1" applyBorder="1"/>
    <xf numFmtId="0" fontId="26" fillId="0" borderId="32" xfId="0" applyFont="1" applyBorder="1"/>
    <xf numFmtId="1" fontId="3" fillId="0" borderId="17" xfId="0" applyNumberFormat="1" applyFont="1" applyBorder="1" applyAlignment="1">
      <alignment horizontal="center"/>
    </xf>
    <xf numFmtId="1" fontId="3" fillId="0" borderId="19" xfId="0" applyNumberFormat="1" applyFont="1" applyBorder="1" applyAlignment="1">
      <alignment horizontal="center"/>
    </xf>
    <xf numFmtId="1" fontId="3" fillId="0" borderId="32" xfId="0" applyNumberFormat="1" applyFont="1" applyBorder="1" applyAlignment="1">
      <alignment horizontal="center"/>
    </xf>
    <xf numFmtId="1" fontId="9" fillId="0" borderId="34" xfId="0" applyNumberFormat="1" applyFont="1" applyBorder="1" applyAlignment="1">
      <alignment horizontal="center"/>
    </xf>
    <xf numFmtId="0" fontId="3" fillId="0" borderId="11" xfId="0" applyFont="1" applyBorder="1"/>
    <xf numFmtId="0" fontId="9" fillId="0" borderId="35" xfId="0" applyFont="1" applyBorder="1" applyAlignment="1">
      <alignment horizontal="center"/>
    </xf>
    <xf numFmtId="1" fontId="9" fillId="0" borderId="35" xfId="0" applyNumberFormat="1" applyFont="1" applyBorder="1" applyAlignment="1">
      <alignment horizontal="center"/>
    </xf>
    <xf numFmtId="0" fontId="26" fillId="0" borderId="35" xfId="0" applyFont="1" applyBorder="1" applyAlignment="1">
      <alignment horizontal="center"/>
    </xf>
    <xf numFmtId="0" fontId="9" fillId="0" borderId="37" xfId="0" applyFont="1" applyBorder="1" applyAlignment="1">
      <alignment horizontal="center"/>
    </xf>
    <xf numFmtId="2" fontId="1" fillId="0" borderId="47" xfId="0" applyNumberFormat="1" applyFont="1" applyBorder="1" applyAlignment="1">
      <alignment horizontal="center"/>
    </xf>
    <xf numFmtId="164" fontId="1" fillId="0" borderId="47" xfId="0" applyNumberFormat="1" applyFont="1" applyBorder="1" applyAlignment="1">
      <alignment horizontal="center"/>
    </xf>
    <xf numFmtId="2" fontId="1" fillId="0" borderId="48" xfId="0" applyNumberFormat="1" applyFont="1" applyBorder="1" applyAlignment="1">
      <alignment horizontal="center"/>
    </xf>
    <xf numFmtId="2" fontId="0" fillId="10" borderId="15" xfId="0" applyNumberFormat="1" applyFill="1" applyBorder="1" applyAlignment="1">
      <alignment horizontal="center"/>
    </xf>
    <xf numFmtId="0" fontId="50" fillId="7" borderId="15" xfId="0" applyFont="1" applyFill="1" applyBorder="1"/>
    <xf numFmtId="0" fontId="50" fillId="7" borderId="24" xfId="0" applyFont="1" applyFill="1" applyBorder="1"/>
    <xf numFmtId="0" fontId="3" fillId="0" borderId="40" xfId="0" applyFont="1" applyBorder="1"/>
    <xf numFmtId="0" fontId="1" fillId="0" borderId="39" xfId="0" applyFont="1" applyBorder="1"/>
    <xf numFmtId="0" fontId="1" fillId="0" borderId="20" xfId="0" applyFont="1" applyBorder="1"/>
    <xf numFmtId="0" fontId="1" fillId="0" borderId="20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3" xfId="0" applyFont="1" applyBorder="1"/>
    <xf numFmtId="0" fontId="9" fillId="0" borderId="49" xfId="0" applyFont="1" applyBorder="1" applyAlignment="1">
      <alignment horizontal="center"/>
    </xf>
    <xf numFmtId="0" fontId="22" fillId="0" borderId="15" xfId="0" applyFont="1" applyBorder="1"/>
    <xf numFmtId="0" fontId="23" fillId="0" borderId="15" xfId="0" applyFont="1" applyBorder="1"/>
    <xf numFmtId="0" fontId="22" fillId="4" borderId="0" xfId="0" applyFont="1" applyFill="1" applyAlignment="1">
      <alignment horizontal="center" vertical="center" wrapText="1"/>
    </xf>
    <xf numFmtId="0" fontId="22" fillId="4" borderId="0" xfId="0" applyFont="1" applyFill="1" applyAlignment="1">
      <alignment horizontal="center"/>
    </xf>
    <xf numFmtId="0" fontId="25" fillId="4" borderId="0" xfId="0" applyFont="1" applyFill="1" applyAlignment="1">
      <alignment horizontal="center" wrapText="1"/>
    </xf>
    <xf numFmtId="0" fontId="22" fillId="4" borderId="0" xfId="0" applyFont="1" applyFill="1" applyAlignment="1">
      <alignment horizontal="center" wrapText="1"/>
    </xf>
    <xf numFmtId="0" fontId="24" fillId="4" borderId="0" xfId="0" applyFont="1" applyFill="1" applyAlignment="1">
      <alignment horizontal="center"/>
    </xf>
    <xf numFmtId="0" fontId="22" fillId="4" borderId="0" xfId="0" applyFont="1" applyFill="1"/>
    <xf numFmtId="9" fontId="5" fillId="0" borderId="0" xfId="0" applyNumberFormat="1" applyFont="1"/>
    <xf numFmtId="0" fontId="51" fillId="0" borderId="0" xfId="0" applyFont="1"/>
    <xf numFmtId="0" fontId="51" fillId="2" borderId="0" xfId="0" applyFont="1" applyFill="1"/>
    <xf numFmtId="0" fontId="52" fillId="0" borderId="0" xfId="0" applyFont="1"/>
    <xf numFmtId="0" fontId="26" fillId="3" borderId="50" xfId="0" applyFont="1" applyFill="1" applyBorder="1" applyAlignment="1">
      <alignment horizontal="center"/>
    </xf>
    <xf numFmtId="0" fontId="31" fillId="3" borderId="26" xfId="0" applyFont="1" applyFill="1" applyBorder="1" applyAlignment="1">
      <alignment horizontal="center"/>
    </xf>
    <xf numFmtId="0" fontId="26" fillId="3" borderId="24" xfId="0" applyFont="1" applyFill="1" applyBorder="1" applyAlignment="1">
      <alignment horizontal="center"/>
    </xf>
    <xf numFmtId="0" fontId="26" fillId="3" borderId="24" xfId="0" applyFont="1" applyFill="1" applyBorder="1" applyAlignment="1">
      <alignment horizontal="center" wrapText="1"/>
    </xf>
    <xf numFmtId="0" fontId="26" fillId="0" borderId="51" xfId="0" applyFont="1" applyBorder="1" applyAlignment="1">
      <alignment horizontal="center"/>
    </xf>
    <xf numFmtId="0" fontId="50" fillId="7" borderId="20" xfId="0" applyFont="1" applyFill="1" applyBorder="1"/>
    <xf numFmtId="1" fontId="50" fillId="7" borderId="20" xfId="0" applyNumberFormat="1" applyFont="1" applyFill="1" applyBorder="1" applyAlignment="1">
      <alignment horizontal="center"/>
    </xf>
    <xf numFmtId="0" fontId="26" fillId="0" borderId="21" xfId="0" applyFont="1" applyBorder="1" applyAlignment="1">
      <alignment horizontal="center"/>
    </xf>
    <xf numFmtId="0" fontId="50" fillId="7" borderId="15" xfId="0" applyFont="1" applyFill="1" applyBorder="1" applyAlignment="1">
      <alignment horizontal="center"/>
    </xf>
    <xf numFmtId="0" fontId="26" fillId="0" borderId="54" xfId="0" applyFont="1" applyBorder="1" applyAlignment="1">
      <alignment horizontal="center"/>
    </xf>
    <xf numFmtId="0" fontId="50" fillId="7" borderId="33" xfId="0" applyFont="1" applyFill="1" applyBorder="1"/>
    <xf numFmtId="0" fontId="50" fillId="7" borderId="33" xfId="0" applyFont="1" applyFill="1" applyBorder="1" applyAlignment="1">
      <alignment horizontal="center"/>
    </xf>
    <xf numFmtId="0" fontId="50" fillId="7" borderId="20" xfId="0" applyFont="1" applyFill="1" applyBorder="1" applyAlignment="1">
      <alignment horizontal="center"/>
    </xf>
    <xf numFmtId="0" fontId="26" fillId="0" borderId="34" xfId="0" applyFont="1" applyBorder="1" applyAlignment="1">
      <alignment horizontal="center"/>
    </xf>
    <xf numFmtId="0" fontId="50" fillId="7" borderId="34" xfId="0" applyFont="1" applyFill="1" applyBorder="1"/>
    <xf numFmtId="0" fontId="50" fillId="7" borderId="34" xfId="0" applyFont="1" applyFill="1" applyBorder="1" applyAlignment="1">
      <alignment horizontal="center"/>
    </xf>
    <xf numFmtId="0" fontId="26" fillId="0" borderId="56" xfId="0" applyFont="1" applyBorder="1" applyAlignment="1">
      <alignment horizontal="center"/>
    </xf>
    <xf numFmtId="0" fontId="50" fillId="7" borderId="56" xfId="0" applyFont="1" applyFill="1" applyBorder="1"/>
    <xf numFmtId="0" fontId="50" fillId="7" borderId="56" xfId="0" applyFont="1" applyFill="1" applyBorder="1" applyAlignment="1">
      <alignment horizontal="center"/>
    </xf>
    <xf numFmtId="0" fontId="50" fillId="7" borderId="35" xfId="0" applyFont="1" applyFill="1" applyBorder="1"/>
    <xf numFmtId="0" fontId="50" fillId="7" borderId="35" xfId="0" applyFont="1" applyFill="1" applyBorder="1" applyAlignment="1">
      <alignment horizontal="center"/>
    </xf>
    <xf numFmtId="0" fontId="26" fillId="0" borderId="37" xfId="0" applyFont="1" applyBorder="1" applyAlignment="1">
      <alignment horizontal="center"/>
    </xf>
    <xf numFmtId="0" fontId="50" fillId="7" borderId="37" xfId="0" applyFont="1" applyFill="1" applyBorder="1"/>
    <xf numFmtId="0" fontId="50" fillId="7" borderId="37" xfId="0" applyFont="1" applyFill="1" applyBorder="1" applyAlignment="1">
      <alignment horizontal="center"/>
    </xf>
    <xf numFmtId="0" fontId="26" fillId="0" borderId="39" xfId="0" applyFont="1" applyBorder="1" applyAlignment="1">
      <alignment horizontal="center"/>
    </xf>
    <xf numFmtId="0" fontId="50" fillId="7" borderId="23" xfId="0" applyFont="1" applyFill="1" applyBorder="1"/>
    <xf numFmtId="0" fontId="50" fillId="7" borderId="23" xfId="0" applyFont="1" applyFill="1" applyBorder="1" applyAlignment="1">
      <alignment horizontal="center"/>
    </xf>
    <xf numFmtId="0" fontId="26" fillId="0" borderId="26" xfId="0" applyFont="1" applyBorder="1" applyAlignment="1">
      <alignment horizontal="center"/>
    </xf>
    <xf numFmtId="0" fontId="50" fillId="7" borderId="24" xfId="0" applyFont="1" applyFill="1" applyBorder="1" applyAlignment="1">
      <alignment horizontal="center"/>
    </xf>
    <xf numFmtId="0" fontId="26" fillId="0" borderId="16" xfId="0" applyFont="1" applyBorder="1" applyAlignment="1">
      <alignment horizontal="center"/>
    </xf>
    <xf numFmtId="1" fontId="50" fillId="7" borderId="17" xfId="0" applyNumberFormat="1" applyFont="1" applyFill="1" applyBorder="1" applyAlignment="1">
      <alignment horizontal="center"/>
    </xf>
    <xf numFmtId="0" fontId="26" fillId="0" borderId="18" xfId="0" applyFont="1" applyBorder="1" applyAlignment="1">
      <alignment horizontal="center"/>
    </xf>
    <xf numFmtId="0" fontId="50" fillId="7" borderId="19" xfId="0" applyFont="1" applyFill="1" applyBorder="1" applyAlignment="1">
      <alignment horizontal="center"/>
    </xf>
    <xf numFmtId="0" fontId="26" fillId="0" borderId="43" xfId="0" applyFont="1" applyBorder="1" applyAlignment="1">
      <alignment horizontal="center"/>
    </xf>
    <xf numFmtId="0" fontId="50" fillId="7" borderId="55" xfId="0" applyFont="1" applyFill="1" applyBorder="1" applyAlignment="1">
      <alignment horizontal="center"/>
    </xf>
    <xf numFmtId="0" fontId="50" fillId="7" borderId="60" xfId="0" applyFont="1" applyFill="1" applyBorder="1" applyAlignment="1">
      <alignment horizontal="center"/>
    </xf>
    <xf numFmtId="0" fontId="50" fillId="7" borderId="26" xfId="0" applyFont="1" applyFill="1" applyBorder="1" applyAlignment="1">
      <alignment horizontal="center"/>
    </xf>
    <xf numFmtId="0" fontId="50" fillId="7" borderId="54" xfId="0" applyFont="1" applyFill="1" applyBorder="1" applyAlignment="1">
      <alignment horizontal="center"/>
    </xf>
    <xf numFmtId="2" fontId="26" fillId="0" borderId="30" xfId="0" applyNumberFormat="1" applyFont="1" applyBorder="1" applyAlignment="1">
      <alignment horizontal="center"/>
    </xf>
    <xf numFmtId="1" fontId="9" fillId="0" borderId="1" xfId="0" applyNumberFormat="1" applyFont="1" applyBorder="1"/>
    <xf numFmtId="0" fontId="1" fillId="0" borderId="15" xfId="0" applyFont="1" applyBorder="1"/>
    <xf numFmtId="0" fontId="3" fillId="6" borderId="36" xfId="0" applyFont="1" applyFill="1" applyBorder="1"/>
    <xf numFmtId="0" fontId="3" fillId="6" borderId="21" xfId="0" applyFont="1" applyFill="1" applyBorder="1" applyAlignment="1">
      <alignment horizontal="left"/>
    </xf>
    <xf numFmtId="0" fontId="3" fillId="6" borderId="15" xfId="0" applyFont="1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0" fontId="3" fillId="6" borderId="15" xfId="0" applyFont="1" applyFill="1" applyBorder="1"/>
    <xf numFmtId="0" fontId="3" fillId="6" borderId="22" xfId="0" applyFont="1" applyFill="1" applyBorder="1"/>
    <xf numFmtId="1" fontId="3" fillId="6" borderId="35" xfId="0" applyNumberFormat="1" applyFont="1" applyFill="1" applyBorder="1" applyAlignment="1">
      <alignment horizontal="center"/>
    </xf>
    <xf numFmtId="0" fontId="3" fillId="6" borderId="11" xfId="0" applyFont="1" applyFill="1" applyBorder="1"/>
    <xf numFmtId="0" fontId="0" fillId="6" borderId="0" xfId="0" applyFill="1"/>
    <xf numFmtId="0" fontId="3" fillId="6" borderId="0" xfId="0" applyFont="1" applyFill="1" applyAlignment="1">
      <alignment horizontal="center"/>
    </xf>
    <xf numFmtId="0" fontId="1" fillId="6" borderId="35" xfId="0" applyFont="1" applyFill="1" applyBorder="1" applyAlignment="1">
      <alignment horizontal="center"/>
    </xf>
    <xf numFmtId="0" fontId="3" fillId="6" borderId="37" xfId="0" applyFont="1" applyFill="1" applyBorder="1" applyAlignment="1">
      <alignment wrapText="1"/>
    </xf>
    <xf numFmtId="0" fontId="47" fillId="6" borderId="22" xfId="0" applyFont="1" applyFill="1" applyBorder="1"/>
    <xf numFmtId="1" fontId="10" fillId="6" borderId="37" xfId="0" applyNumberFormat="1" applyFont="1" applyFill="1" applyBorder="1" applyAlignment="1">
      <alignment horizontal="center"/>
    </xf>
    <xf numFmtId="0" fontId="26" fillId="0" borderId="27" xfId="0" applyFont="1" applyBorder="1" applyAlignment="1">
      <alignment horizontal="center"/>
    </xf>
    <xf numFmtId="0" fontId="26" fillId="0" borderId="28" xfId="0" applyFont="1" applyBorder="1" applyAlignment="1">
      <alignment horizontal="center"/>
    </xf>
    <xf numFmtId="0" fontId="26" fillId="0" borderId="29" xfId="0" applyFont="1" applyBorder="1" applyAlignment="1">
      <alignment horizontal="center"/>
    </xf>
    <xf numFmtId="0" fontId="26" fillId="0" borderId="52" xfId="0" applyFont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/>
    </xf>
    <xf numFmtId="0" fontId="26" fillId="0" borderId="58" xfId="0" applyFont="1" applyBorder="1" applyAlignment="1">
      <alignment horizontal="center" vertical="center"/>
    </xf>
    <xf numFmtId="0" fontId="26" fillId="0" borderId="59" xfId="0" applyFont="1" applyBorder="1" applyAlignment="1">
      <alignment horizontal="center" vertical="center"/>
    </xf>
    <xf numFmtId="0" fontId="26" fillId="0" borderId="38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38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 vertical="center"/>
    </xf>
    <xf numFmtId="0" fontId="26" fillId="0" borderId="53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2" fontId="26" fillId="0" borderId="17" xfId="0" applyNumberFormat="1" applyFont="1" applyBorder="1" applyAlignment="1">
      <alignment horizontal="center" vertical="center"/>
    </xf>
    <xf numFmtId="0" fontId="31" fillId="10" borderId="23" xfId="0" applyFont="1" applyFill="1" applyBorder="1" applyAlignment="1">
      <alignment horizontal="center" vertical="center" wrapText="1"/>
    </xf>
    <xf numFmtId="0" fontId="31" fillId="10" borderId="15" xfId="0" applyFont="1" applyFill="1" applyBorder="1" applyAlignment="1">
      <alignment horizontal="center" vertical="center" wrapText="1"/>
    </xf>
    <xf numFmtId="0" fontId="26" fillId="11" borderId="25" xfId="0" applyFont="1" applyFill="1" applyBorder="1" applyAlignment="1">
      <alignment horizontal="center" vertical="center" wrapText="1"/>
    </xf>
    <xf numFmtId="0" fontId="26" fillId="11" borderId="31" xfId="0" applyFont="1" applyFill="1" applyBorder="1" applyAlignment="1">
      <alignment horizontal="center" vertical="center" wrapText="1"/>
    </xf>
    <xf numFmtId="0" fontId="26" fillId="11" borderId="41" xfId="0" applyFont="1" applyFill="1" applyBorder="1" applyAlignment="1">
      <alignment horizontal="center" vertical="center" wrapText="1"/>
    </xf>
    <xf numFmtId="0" fontId="28" fillId="5" borderId="11" xfId="0" applyFont="1" applyFill="1" applyBorder="1" applyAlignment="1">
      <alignment horizontal="left"/>
    </xf>
    <xf numFmtId="0" fontId="26" fillId="0" borderId="16" xfId="0" applyFont="1" applyBorder="1" applyAlignment="1">
      <alignment horizontal="center" vertical="center" wrapText="1"/>
    </xf>
    <xf numFmtId="0" fontId="26" fillId="0" borderId="44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42" xfId="0" applyFont="1" applyBorder="1" applyAlignment="1">
      <alignment horizontal="center" vertical="center" wrapText="1"/>
    </xf>
    <xf numFmtId="0" fontId="26" fillId="0" borderId="4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6" fillId="0" borderId="45" xfId="0" applyFont="1" applyBorder="1" applyAlignment="1">
      <alignment horizontal="center" vertical="center"/>
    </xf>
    <xf numFmtId="0" fontId="26" fillId="0" borderId="46" xfId="0" applyFont="1" applyBorder="1" applyAlignment="1">
      <alignment horizontal="center" vertical="center"/>
    </xf>
    <xf numFmtId="17" fontId="28" fillId="0" borderId="3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0" fillId="12" borderId="0" xfId="0" applyFont="1" applyFill="1" applyAlignment="1">
      <alignment horizontal="center"/>
    </xf>
    <xf numFmtId="0" fontId="4" fillId="4" borderId="5" xfId="0" applyFont="1" applyFill="1" applyBorder="1" applyAlignment="1">
      <alignment vertical="center"/>
    </xf>
    <xf numFmtId="0" fontId="4" fillId="4" borderId="6" xfId="0" applyFont="1" applyFill="1" applyBorder="1" applyAlignment="1">
      <alignment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12" borderId="0" xfId="0" applyFont="1" applyFill="1" applyAlignment="1">
      <alignment horizontal="center"/>
    </xf>
    <xf numFmtId="0" fontId="23" fillId="0" borderId="27" xfId="0" applyFont="1" applyBorder="1" applyAlignment="1">
      <alignment horizontal="center"/>
    </xf>
    <xf numFmtId="0" fontId="23" fillId="0" borderId="28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0" fontId="41" fillId="0" borderId="0" xfId="0" applyFont="1" applyAlignment="1">
      <alignment horizontal="center"/>
    </xf>
    <xf numFmtId="0" fontId="48" fillId="0" borderId="14" xfId="0" applyFont="1" applyBorder="1" applyAlignment="1">
      <alignment horizontal="center"/>
    </xf>
    <xf numFmtId="0" fontId="49" fillId="0" borderId="14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5" fillId="0" borderId="0" xfId="0" applyFont="1" applyAlignment="1">
      <alignment horizontal="center" wrapText="1"/>
    </xf>
    <xf numFmtId="0" fontId="22" fillId="4" borderId="0" xfId="0" applyFont="1" applyFill="1" applyAlignment="1">
      <alignment horizontal="center" vertical="center" wrapText="1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right"/>
    </xf>
    <xf numFmtId="0" fontId="24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9" fillId="0" borderId="1" xfId="0" applyFont="1" applyBorder="1" applyAlignment="1">
      <alignment horizontal="left"/>
    </xf>
    <xf numFmtId="0" fontId="9" fillId="0" borderId="0" xfId="0" applyFont="1" applyAlignment="1">
      <alignment horizontal="center" wrapText="1"/>
    </xf>
    <xf numFmtId="0" fontId="10" fillId="0" borderId="1" xfId="0" applyFont="1" applyBorder="1" applyAlignment="1">
      <alignment horizontal="left"/>
    </xf>
    <xf numFmtId="0" fontId="10" fillId="0" borderId="14" xfId="0" applyFont="1" applyBorder="1" applyAlignment="1">
      <alignment horizontal="center"/>
    </xf>
    <xf numFmtId="0" fontId="51" fillId="2" borderId="0" xfId="0" applyFont="1" applyFill="1" applyAlignment="1">
      <alignment horizontal="left"/>
    </xf>
    <xf numFmtId="0" fontId="10" fillId="0" borderId="14" xfId="0" applyFont="1" applyBorder="1" applyAlignment="1">
      <alignment horizontal="right"/>
    </xf>
    <xf numFmtId="0" fontId="20" fillId="0" borderId="3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51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0" fillId="4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wrapText="1"/>
    </xf>
    <xf numFmtId="0" fontId="10" fillId="4" borderId="0" xfId="0" applyFont="1" applyFill="1" applyAlignment="1">
      <alignment horizontal="center"/>
    </xf>
    <xf numFmtId="0" fontId="10" fillId="4" borderId="0" xfId="0" applyFont="1" applyFill="1" applyAlignment="1">
      <alignment horizontal="center" vertical="center"/>
    </xf>
    <xf numFmtId="0" fontId="4" fillId="0" borderId="0" xfId="0" applyFont="1" applyAlignment="1" applyProtection="1">
      <alignment horizontal="center"/>
    </xf>
    <xf numFmtId="0" fontId="5" fillId="0" borderId="0" xfId="0" applyFont="1" applyProtection="1"/>
    <xf numFmtId="0" fontId="4" fillId="12" borderId="0" xfId="0" applyFont="1" applyFill="1" applyAlignment="1" applyProtection="1">
      <alignment horizontal="center"/>
    </xf>
    <xf numFmtId="0" fontId="41" fillId="0" borderId="0" xfId="0" applyFont="1" applyProtection="1"/>
    <xf numFmtId="0" fontId="4" fillId="0" borderId="14" xfId="0" applyFont="1" applyBorder="1" applyAlignment="1" applyProtection="1">
      <alignment horizontal="center"/>
    </xf>
    <xf numFmtId="0" fontId="42" fillId="0" borderId="0" xfId="0" applyFont="1" applyProtection="1"/>
    <xf numFmtId="0" fontId="4" fillId="4" borderId="5" xfId="0" applyFont="1" applyFill="1" applyBorder="1" applyAlignment="1" applyProtection="1">
      <alignment vertical="center"/>
    </xf>
    <xf numFmtId="17" fontId="4" fillId="4" borderId="5" xfId="0" applyNumberFormat="1" applyFont="1" applyFill="1" applyBorder="1" applyAlignment="1" applyProtection="1">
      <alignment horizontal="center" vertical="center"/>
    </xf>
    <xf numFmtId="0" fontId="0" fillId="0" borderId="0" xfId="0" applyProtection="1"/>
    <xf numFmtId="0" fontId="4" fillId="4" borderId="6" xfId="0" applyFont="1" applyFill="1" applyBorder="1" applyAlignment="1" applyProtection="1">
      <alignment vertical="center"/>
    </xf>
    <xf numFmtId="0" fontId="4" fillId="4" borderId="6" xfId="0" applyFont="1" applyFill="1" applyBorder="1" applyAlignment="1" applyProtection="1">
      <alignment horizontal="center" vertical="center"/>
    </xf>
    <xf numFmtId="0" fontId="4" fillId="0" borderId="0" xfId="0" applyFont="1" applyProtection="1"/>
    <xf numFmtId="0" fontId="4" fillId="0" borderId="0" xfId="0" applyFont="1" applyAlignment="1" applyProtection="1">
      <alignment vertical="center"/>
    </xf>
    <xf numFmtId="0" fontId="46" fillId="0" borderId="0" xfId="0" applyFont="1" applyAlignment="1" applyProtection="1">
      <alignment horizontal="center" wrapText="1"/>
    </xf>
    <xf numFmtId="0" fontId="32" fillId="0" borderId="0" xfId="0" applyFont="1" applyProtection="1"/>
    <xf numFmtId="1" fontId="5" fillId="0" borderId="0" xfId="0" applyNumberFormat="1" applyFont="1" applyProtection="1"/>
    <xf numFmtId="1" fontId="5" fillId="0" borderId="0" xfId="0" applyNumberFormat="1" applyFont="1" applyAlignment="1" applyProtection="1">
      <alignment horizontal="right"/>
    </xf>
    <xf numFmtId="0" fontId="45" fillId="0" borderId="0" xfId="0" applyFont="1" applyProtection="1"/>
    <xf numFmtId="2" fontId="5" fillId="0" borderId="0" xfId="0" applyNumberFormat="1" applyFont="1" applyAlignment="1" applyProtection="1">
      <alignment horizontal="right"/>
    </xf>
    <xf numFmtId="2" fontId="5" fillId="0" borderId="0" xfId="0" applyNumberFormat="1" applyFont="1" applyProtection="1"/>
    <xf numFmtId="0" fontId="5" fillId="0" borderId="1" xfId="0" applyFont="1" applyBorder="1" applyProtection="1"/>
    <xf numFmtId="0" fontId="54" fillId="0" borderId="8" xfId="0" applyFont="1" applyBorder="1" applyAlignment="1" applyProtection="1">
      <alignment horizontal="center" wrapText="1"/>
    </xf>
    <xf numFmtId="0" fontId="54" fillId="0" borderId="10" xfId="0" applyFont="1" applyBorder="1" applyAlignment="1" applyProtection="1">
      <alignment horizontal="center" wrapText="1"/>
    </xf>
    <xf numFmtId="0" fontId="54" fillId="0" borderId="12" xfId="0" applyFont="1" applyBorder="1" applyAlignment="1" applyProtection="1">
      <alignment horizontal="center" wrapText="1"/>
    </xf>
    <xf numFmtId="0" fontId="54" fillId="0" borderId="13" xfId="0" applyFont="1" applyBorder="1" applyAlignment="1" applyProtection="1">
      <alignment horizontal="center" wrapText="1"/>
    </xf>
    <xf numFmtId="0" fontId="30" fillId="0" borderId="0" xfId="0" applyFont="1" applyAlignment="1" applyProtection="1">
      <alignment horizontal="center"/>
    </xf>
    <xf numFmtId="1" fontId="5" fillId="0" borderId="0" xfId="0" applyNumberFormat="1" applyFont="1" applyProtection="1">
      <protection locked="0"/>
    </xf>
    <xf numFmtId="0" fontId="5" fillId="0" borderId="0" xfId="0" applyFont="1" applyAlignment="1" applyProtection="1">
      <alignment horizontal="right"/>
      <protection locked="0"/>
    </xf>
    <xf numFmtId="1" fontId="5" fillId="0" borderId="0" xfId="0" applyNumberFormat="1" applyFont="1" applyAlignment="1" applyProtection="1">
      <alignment horizontal="right"/>
      <protection locked="0"/>
    </xf>
    <xf numFmtId="0" fontId="5" fillId="0" borderId="0" xfId="0" applyFont="1" applyProtection="1">
      <protection locked="0"/>
    </xf>
    <xf numFmtId="2" fontId="5" fillId="0" borderId="0" xfId="0" applyNumberFormat="1" applyFo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620358</xdr:colOff>
      <xdr:row>2</xdr:row>
      <xdr:rowOff>78441</xdr:rowOff>
    </xdr:from>
    <xdr:to>
      <xdr:col>0</xdr:col>
      <xdr:colOff>937372</xdr:colOff>
      <xdr:row>46</xdr:row>
      <xdr:rowOff>145676</xdr:rowOff>
    </xdr:to>
    <xdr:sp macro="" textlink="">
      <xdr:nvSpPr>
        <xdr:cNvPr id="2" name="Left Brace 1">
          <a:extLst>
            <a:ext uri="{FF2B5EF4-FFF2-40B4-BE49-F238E27FC236}">
              <a16:creationId xmlns:a16="http://schemas.microsoft.com/office/drawing/2014/main" id="{2A30230F-5D97-DE1A-9206-4C7E0C747AF1}"/>
            </a:ext>
          </a:extLst>
        </xdr:cNvPr>
        <xdr:cNvSpPr/>
      </xdr:nvSpPr>
      <xdr:spPr>
        <a:xfrm>
          <a:off x="605118" y="840441"/>
          <a:ext cx="309282" cy="7530353"/>
        </a:xfrm>
        <a:prstGeom prst="leftBrac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154845</xdr:colOff>
      <xdr:row>22</xdr:row>
      <xdr:rowOff>0</xdr:rowOff>
    </xdr:from>
    <xdr:to>
      <xdr:col>11</xdr:col>
      <xdr:colOff>132432</xdr:colOff>
      <xdr:row>46</xdr:row>
      <xdr:rowOff>173181</xdr:rowOff>
    </xdr:to>
    <xdr:sp macro="" textlink="">
      <xdr:nvSpPr>
        <xdr:cNvPr id="5" name="Right Brace 4">
          <a:extLst>
            <a:ext uri="{FF2B5EF4-FFF2-40B4-BE49-F238E27FC236}">
              <a16:creationId xmlns:a16="http://schemas.microsoft.com/office/drawing/2014/main" id="{0A8109DA-5BB2-F0F5-9418-CC8CC8F1FFD2}"/>
            </a:ext>
          </a:extLst>
        </xdr:cNvPr>
        <xdr:cNvSpPr/>
      </xdr:nvSpPr>
      <xdr:spPr>
        <a:xfrm>
          <a:off x="19239481" y="3857879"/>
          <a:ext cx="514451" cy="4558757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1207098</xdr:colOff>
      <xdr:row>17</xdr:row>
      <xdr:rowOff>78441</xdr:rowOff>
    </xdr:from>
    <xdr:to>
      <xdr:col>11</xdr:col>
      <xdr:colOff>22127</xdr:colOff>
      <xdr:row>17</xdr:row>
      <xdr:rowOff>100853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E760B8EC-079F-9DCC-FB6C-C0B19690C771}"/>
            </a:ext>
          </a:extLst>
        </xdr:cNvPr>
        <xdr:cNvCxnSpPr/>
      </xdr:nvCxnSpPr>
      <xdr:spPr>
        <a:xfrm>
          <a:off x="18612971" y="1972235"/>
          <a:ext cx="1042147" cy="112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1371600</xdr:colOff>
      <xdr:row>74</xdr:row>
      <xdr:rowOff>285751</xdr:rowOff>
    </xdr:from>
    <xdr:to>
      <xdr:col>6</xdr:col>
      <xdr:colOff>64942</xdr:colOff>
      <xdr:row>76</xdr:row>
      <xdr:rowOff>84652</xdr:rowOff>
    </xdr:to>
    <xdr:sp macro="" textlink="">
      <xdr:nvSpPr>
        <xdr:cNvPr id="6" name="Right Brace 5">
          <a:extLst>
            <a:ext uri="{FF2B5EF4-FFF2-40B4-BE49-F238E27FC236}">
              <a16:creationId xmlns:a16="http://schemas.microsoft.com/office/drawing/2014/main" id="{8B9E4E55-D8E4-1615-4F8E-E75B6976D762}"/>
            </a:ext>
          </a:extLst>
        </xdr:cNvPr>
        <xdr:cNvSpPr/>
      </xdr:nvSpPr>
      <xdr:spPr>
        <a:xfrm rot="5400000">
          <a:off x="8253083" y="33109231"/>
          <a:ext cx="560901" cy="8399318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1166812</xdr:colOff>
      <xdr:row>90</xdr:row>
      <xdr:rowOff>604840</xdr:rowOff>
    </xdr:from>
    <xdr:to>
      <xdr:col>5</xdr:col>
      <xdr:colOff>1739427</xdr:colOff>
      <xdr:row>91</xdr:row>
      <xdr:rowOff>530502</xdr:rowOff>
    </xdr:to>
    <xdr:sp macro="" textlink="">
      <xdr:nvSpPr>
        <xdr:cNvPr id="8" name="Right Brace 7">
          <a:extLst>
            <a:ext uri="{FF2B5EF4-FFF2-40B4-BE49-F238E27FC236}">
              <a16:creationId xmlns:a16="http://schemas.microsoft.com/office/drawing/2014/main" id="{5F867AFC-289D-D47A-9AC2-F12BB0786265}"/>
            </a:ext>
          </a:extLst>
        </xdr:cNvPr>
        <xdr:cNvSpPr/>
      </xdr:nvSpPr>
      <xdr:spPr>
        <a:xfrm rot="5400000">
          <a:off x="8048295" y="40691132"/>
          <a:ext cx="560901" cy="8399318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1271587</xdr:colOff>
      <xdr:row>101</xdr:row>
      <xdr:rowOff>495303</xdr:rowOff>
    </xdr:from>
    <xdr:to>
      <xdr:col>5</xdr:col>
      <xdr:colOff>1851827</xdr:colOff>
      <xdr:row>103</xdr:row>
      <xdr:rowOff>127517</xdr:rowOff>
    </xdr:to>
    <xdr:sp macro="" textlink="">
      <xdr:nvSpPr>
        <xdr:cNvPr id="9" name="Right Brace 8">
          <a:extLst>
            <a:ext uri="{FF2B5EF4-FFF2-40B4-BE49-F238E27FC236}">
              <a16:creationId xmlns:a16="http://schemas.microsoft.com/office/drawing/2014/main" id="{F09317FD-B712-2589-DEDC-BAC5317A87D4}"/>
            </a:ext>
          </a:extLst>
        </xdr:cNvPr>
        <xdr:cNvSpPr/>
      </xdr:nvSpPr>
      <xdr:spPr>
        <a:xfrm rot="5400000">
          <a:off x="8153070" y="46177533"/>
          <a:ext cx="560901" cy="8399318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784860</xdr:colOff>
      <xdr:row>59</xdr:row>
      <xdr:rowOff>47628</xdr:rowOff>
    </xdr:from>
    <xdr:to>
      <xdr:col>5</xdr:col>
      <xdr:colOff>2108825</xdr:colOff>
      <xdr:row>59</xdr:row>
      <xdr:rowOff>411484</xdr:rowOff>
    </xdr:to>
    <xdr:sp macro="" textlink="">
      <xdr:nvSpPr>
        <xdr:cNvPr id="15" name="Right Brace 14">
          <a:extLst>
            <a:ext uri="{FF2B5EF4-FFF2-40B4-BE49-F238E27FC236}">
              <a16:creationId xmlns:a16="http://schemas.microsoft.com/office/drawing/2014/main" id="{2B217ADF-329F-1D82-8AEF-122C9F3939D6}"/>
            </a:ext>
          </a:extLst>
        </xdr:cNvPr>
        <xdr:cNvSpPr/>
      </xdr:nvSpPr>
      <xdr:spPr>
        <a:xfrm rot="5400000">
          <a:off x="9132631" y="25371685"/>
          <a:ext cx="356114" cy="695325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1102041</xdr:colOff>
      <xdr:row>34</xdr:row>
      <xdr:rowOff>571504</xdr:rowOff>
    </xdr:from>
    <xdr:to>
      <xdr:col>5</xdr:col>
      <xdr:colOff>1886901</xdr:colOff>
      <xdr:row>35</xdr:row>
      <xdr:rowOff>221097</xdr:rowOff>
    </xdr:to>
    <xdr:sp macro="" textlink="">
      <xdr:nvSpPr>
        <xdr:cNvPr id="10" name="Right Brace 9">
          <a:extLst>
            <a:ext uri="{FF2B5EF4-FFF2-40B4-BE49-F238E27FC236}">
              <a16:creationId xmlns:a16="http://schemas.microsoft.com/office/drawing/2014/main" id="{97DEE3C4-E02D-1973-2CE5-3EF1D7773741}"/>
            </a:ext>
          </a:extLst>
        </xdr:cNvPr>
        <xdr:cNvSpPr/>
      </xdr:nvSpPr>
      <xdr:spPr>
        <a:xfrm rot="5400000">
          <a:off x="9227880" y="13346373"/>
          <a:ext cx="260864" cy="642937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0"/>
  <sheetViews>
    <sheetView topLeftCell="A183" zoomScale="67" zoomScaleNormal="85" workbookViewId="0">
      <selection activeCell="F109" sqref="F109:F118"/>
    </sheetView>
  </sheetViews>
  <sheetFormatPr defaultRowHeight="13.2" x14ac:dyDescent="0.25"/>
  <cols>
    <col min="1" max="1" width="13.77734375" customWidth="1"/>
    <col min="2" max="2" width="15.44140625" customWidth="1"/>
    <col min="3" max="3" width="67.77734375" style="90" customWidth="1"/>
    <col min="4" max="4" width="29.77734375" style="101" customWidth="1"/>
    <col min="5" max="5" width="12.77734375" style="101" customWidth="1"/>
    <col min="6" max="6" width="57.21875" style="101" bestFit="1" customWidth="1"/>
    <col min="7" max="7" width="19.44140625" style="101" customWidth="1"/>
    <col min="8" max="8" width="14.77734375" customWidth="1"/>
    <col min="9" max="9" width="34.77734375" style="101" customWidth="1"/>
    <col min="10" max="10" width="23.5546875" bestFit="1" customWidth="1"/>
    <col min="11" max="11" width="8.21875" customWidth="1"/>
    <col min="12" max="12" width="32.44140625" customWidth="1"/>
    <col min="13" max="13" width="10.77734375" customWidth="1"/>
    <col min="14" max="14" width="13.5546875" customWidth="1"/>
    <col min="15" max="15" width="12.77734375" customWidth="1"/>
    <col min="16" max="16" width="11.21875" customWidth="1"/>
    <col min="17" max="17" width="13" customWidth="1"/>
    <col min="18" max="19" width="15.5546875" bestFit="1" customWidth="1"/>
    <col min="20" max="20" width="11.5546875" bestFit="1" customWidth="1"/>
  </cols>
  <sheetData>
    <row r="1" spans="2:17" ht="7.5" customHeight="1" x14ac:dyDescent="0.25"/>
    <row r="2" spans="2:17" ht="53.4" thickBot="1" x14ac:dyDescent="0.3">
      <c r="B2" s="146" t="s">
        <v>146</v>
      </c>
      <c r="C2" s="146" t="s">
        <v>147</v>
      </c>
      <c r="D2" s="147" t="s">
        <v>148</v>
      </c>
      <c r="E2" s="147" t="s">
        <v>149</v>
      </c>
      <c r="F2" s="147" t="s">
        <v>150</v>
      </c>
      <c r="G2" s="147" t="s">
        <v>151</v>
      </c>
      <c r="H2" s="148" t="s">
        <v>152</v>
      </c>
      <c r="I2" s="147" t="s">
        <v>153</v>
      </c>
      <c r="J2" s="147" t="s">
        <v>23</v>
      </c>
      <c r="L2" s="90"/>
      <c r="M2" s="90"/>
      <c r="N2" s="168"/>
      <c r="O2" s="166"/>
      <c r="P2" s="166"/>
      <c r="Q2" s="166"/>
    </row>
    <row r="3" spans="2:17" ht="15" thickBot="1" x14ac:dyDescent="0.4">
      <c r="B3" s="341" t="s">
        <v>160</v>
      </c>
      <c r="C3" s="145" t="s">
        <v>104</v>
      </c>
      <c r="D3" s="111" t="s">
        <v>124</v>
      </c>
      <c r="E3" s="111" t="s">
        <v>125</v>
      </c>
      <c r="F3" s="111"/>
      <c r="G3" s="111"/>
      <c r="H3" s="112"/>
      <c r="I3" s="213"/>
      <c r="J3" s="214"/>
      <c r="L3" s="90"/>
      <c r="M3" s="90"/>
      <c r="N3" s="168"/>
      <c r="O3" s="166"/>
      <c r="P3" s="166"/>
      <c r="Q3" s="166"/>
    </row>
    <row r="4" spans="2:17" ht="14.4" x14ac:dyDescent="0.35">
      <c r="B4" s="342"/>
      <c r="C4" s="240" t="s">
        <v>248</v>
      </c>
      <c r="D4" s="241" t="s">
        <v>195</v>
      </c>
      <c r="E4" s="242" t="s">
        <v>125</v>
      </c>
      <c r="F4" s="243" t="s">
        <v>249</v>
      </c>
      <c r="G4" s="244"/>
      <c r="H4" s="137"/>
      <c r="I4" s="245"/>
      <c r="J4" s="239"/>
      <c r="L4" s="90"/>
      <c r="M4" s="90"/>
      <c r="N4" s="168"/>
      <c r="O4" s="166"/>
      <c r="P4" s="166"/>
      <c r="Q4" s="166"/>
    </row>
    <row r="5" spans="2:17" ht="14.4" x14ac:dyDescent="0.35">
      <c r="B5" s="343"/>
      <c r="C5" s="106" t="s">
        <v>105</v>
      </c>
      <c r="D5" s="108" t="s">
        <v>124</v>
      </c>
      <c r="E5" s="108" t="s">
        <v>125</v>
      </c>
      <c r="F5" s="108"/>
      <c r="G5" s="108"/>
      <c r="H5" s="110"/>
      <c r="I5" s="215"/>
      <c r="J5" s="216"/>
      <c r="L5" s="90"/>
      <c r="M5" s="90"/>
      <c r="N5" s="168"/>
      <c r="O5" s="166"/>
      <c r="P5" s="166"/>
      <c r="Q5" s="166"/>
    </row>
    <row r="6" spans="2:17" ht="14.4" x14ac:dyDescent="0.25">
      <c r="B6" s="343"/>
      <c r="C6" s="109" t="s">
        <v>106</v>
      </c>
      <c r="D6" s="108" t="s">
        <v>124</v>
      </c>
      <c r="E6" s="108" t="s">
        <v>125</v>
      </c>
      <c r="F6" s="108"/>
      <c r="G6" s="108"/>
      <c r="H6" s="110"/>
      <c r="I6" s="217"/>
      <c r="J6" s="216"/>
      <c r="L6" s="90"/>
      <c r="M6" s="90"/>
      <c r="N6" s="168"/>
      <c r="O6" s="166"/>
      <c r="P6" s="166"/>
      <c r="Q6" s="166"/>
    </row>
    <row r="7" spans="2:17" ht="14.4" x14ac:dyDescent="0.25">
      <c r="B7" s="344"/>
      <c r="C7" s="151" t="s">
        <v>154</v>
      </c>
      <c r="D7" s="106" t="s">
        <v>195</v>
      </c>
      <c r="E7" s="143" t="s">
        <v>125</v>
      </c>
      <c r="F7" s="106" t="s">
        <v>226</v>
      </c>
      <c r="G7" s="143"/>
      <c r="H7" s="144"/>
      <c r="I7" s="218"/>
      <c r="J7" s="219"/>
      <c r="L7" s="90"/>
      <c r="M7" s="90"/>
      <c r="N7" s="168"/>
      <c r="O7" s="166"/>
      <c r="P7" s="166"/>
      <c r="Q7" s="166"/>
    </row>
    <row r="8" spans="2:17" ht="15" thickBot="1" x14ac:dyDescent="0.3">
      <c r="B8" s="345"/>
      <c r="C8" s="151" t="s">
        <v>132</v>
      </c>
      <c r="D8" s="143" t="s">
        <v>124</v>
      </c>
      <c r="E8" s="143" t="s">
        <v>125</v>
      </c>
      <c r="F8" s="189"/>
      <c r="G8" s="152"/>
      <c r="H8" s="144"/>
      <c r="I8" s="218"/>
      <c r="J8" s="220"/>
      <c r="L8" s="90"/>
      <c r="M8" s="90"/>
      <c r="N8" s="168"/>
      <c r="O8" s="166"/>
      <c r="P8" s="166"/>
      <c r="Q8" s="166"/>
    </row>
    <row r="9" spans="2:17" ht="13.8" thickBot="1" x14ac:dyDescent="0.3">
      <c r="B9" s="157"/>
      <c r="C9" s="153"/>
      <c r="D9" s="154"/>
      <c r="E9" s="154"/>
      <c r="F9" s="154"/>
      <c r="G9" s="154"/>
      <c r="H9" s="155"/>
      <c r="I9" s="154"/>
      <c r="J9" s="156"/>
      <c r="L9" s="90"/>
      <c r="M9" s="90"/>
      <c r="N9" s="168"/>
      <c r="O9" s="166"/>
      <c r="P9" s="166"/>
      <c r="Q9" s="166"/>
    </row>
    <row r="10" spans="2:17" x14ac:dyDescent="0.25">
      <c r="B10" s="341" t="s">
        <v>159</v>
      </c>
      <c r="C10" s="241" t="s">
        <v>172</v>
      </c>
      <c r="D10" s="149" t="s">
        <v>126</v>
      </c>
      <c r="E10" s="111" t="s">
        <v>114</v>
      </c>
      <c r="F10" s="149" t="s">
        <v>171</v>
      </c>
      <c r="G10" s="111"/>
      <c r="H10" s="112"/>
      <c r="I10" s="111"/>
      <c r="J10" s="214"/>
      <c r="L10" s="90"/>
      <c r="M10" s="90"/>
      <c r="N10" s="168"/>
      <c r="O10" s="166"/>
      <c r="P10" s="166"/>
      <c r="Q10" s="166"/>
    </row>
    <row r="11" spans="2:17" x14ac:dyDescent="0.25">
      <c r="B11" s="342"/>
      <c r="C11" s="150" t="s">
        <v>184</v>
      </c>
      <c r="D11" s="108" t="s">
        <v>126</v>
      </c>
      <c r="E11" s="136" t="s">
        <v>114</v>
      </c>
      <c r="F11" s="108" t="s">
        <v>171</v>
      </c>
      <c r="G11" s="136"/>
      <c r="H11" s="137"/>
      <c r="I11" s="136"/>
      <c r="J11" s="221"/>
      <c r="L11" s="90"/>
      <c r="M11" s="90"/>
      <c r="N11" s="168"/>
      <c r="O11" s="166"/>
      <c r="P11" s="166"/>
      <c r="Q11" s="166"/>
    </row>
    <row r="12" spans="2:17" x14ac:dyDescent="0.25">
      <c r="B12" s="343"/>
      <c r="C12" s="298" t="s">
        <v>182</v>
      </c>
      <c r="D12" s="108" t="s">
        <v>124</v>
      </c>
      <c r="E12" s="108" t="s">
        <v>114</v>
      </c>
      <c r="F12" s="108"/>
      <c r="G12" s="108"/>
      <c r="H12" s="110"/>
      <c r="I12" s="108"/>
      <c r="J12" s="222" t="s">
        <v>130</v>
      </c>
      <c r="L12" s="90"/>
      <c r="M12" s="90"/>
      <c r="N12" s="168"/>
      <c r="O12" s="166"/>
      <c r="P12" s="166"/>
      <c r="Q12" s="166"/>
    </row>
    <row r="13" spans="2:17" x14ac:dyDescent="0.25">
      <c r="B13" s="343"/>
      <c r="C13" s="298" t="s">
        <v>183</v>
      </c>
      <c r="D13" s="108" t="s">
        <v>124</v>
      </c>
      <c r="E13" s="108" t="s">
        <v>114</v>
      </c>
      <c r="F13" s="108"/>
      <c r="G13" s="108"/>
      <c r="H13" s="237"/>
      <c r="I13" s="108"/>
      <c r="J13" s="222"/>
      <c r="L13" s="90"/>
      <c r="M13" s="90"/>
      <c r="N13" s="168"/>
      <c r="O13" s="166"/>
      <c r="P13" s="166"/>
      <c r="Q13" s="166"/>
    </row>
    <row r="14" spans="2:17" x14ac:dyDescent="0.25">
      <c r="B14" s="343"/>
      <c r="C14" s="106" t="s">
        <v>100</v>
      </c>
      <c r="D14" s="108" t="s">
        <v>124</v>
      </c>
      <c r="E14" s="108" t="s">
        <v>114</v>
      </c>
      <c r="F14" s="108"/>
      <c r="G14" s="108"/>
      <c r="H14" s="237">
        <v>0</v>
      </c>
      <c r="I14" s="233">
        <f>H14*1/100</f>
        <v>0</v>
      </c>
      <c r="J14" s="222" t="s">
        <v>129</v>
      </c>
      <c r="L14" s="90"/>
      <c r="M14" s="90"/>
      <c r="N14" s="168"/>
      <c r="O14" s="166"/>
      <c r="P14" s="166"/>
      <c r="Q14" s="166"/>
    </row>
    <row r="15" spans="2:17" x14ac:dyDescent="0.25">
      <c r="B15" s="343"/>
      <c r="C15" s="106" t="s">
        <v>185</v>
      </c>
      <c r="D15" s="108" t="s">
        <v>124</v>
      </c>
      <c r="E15" s="108" t="s">
        <v>114</v>
      </c>
      <c r="F15" s="108"/>
      <c r="G15" s="108"/>
      <c r="H15" s="237">
        <v>0</v>
      </c>
      <c r="I15" s="234">
        <f>(H15+H15*18/100)*1/100</f>
        <v>0</v>
      </c>
      <c r="J15" s="222" t="s">
        <v>128</v>
      </c>
      <c r="L15" s="90"/>
      <c r="M15" s="90"/>
      <c r="N15" s="168"/>
      <c r="O15" s="166"/>
      <c r="P15" s="166"/>
      <c r="Q15" s="166"/>
    </row>
    <row r="16" spans="2:17" ht="13.8" thickBot="1" x14ac:dyDescent="0.3">
      <c r="B16" s="344"/>
      <c r="C16" s="158" t="s">
        <v>109</v>
      </c>
      <c r="D16" s="159" t="s">
        <v>126</v>
      </c>
      <c r="E16" s="143" t="s">
        <v>114</v>
      </c>
      <c r="F16" s="143"/>
      <c r="G16" s="143" t="s">
        <v>225</v>
      </c>
      <c r="H16" s="238">
        <v>0</v>
      </c>
      <c r="I16" s="235">
        <f>H16*1/100</f>
        <v>0</v>
      </c>
      <c r="J16" s="223" t="s">
        <v>131</v>
      </c>
      <c r="L16" s="90"/>
      <c r="M16" s="90"/>
      <c r="N16" s="168"/>
      <c r="O16" s="166"/>
      <c r="P16" s="166"/>
      <c r="Q16" s="166"/>
    </row>
    <row r="17" spans="1:17" ht="13.8" thickBot="1" x14ac:dyDescent="0.3">
      <c r="B17" s="196"/>
      <c r="C17" s="197"/>
      <c r="D17" s="198"/>
      <c r="E17" s="198"/>
      <c r="F17" s="198"/>
      <c r="G17" s="198"/>
      <c r="H17" s="199"/>
      <c r="I17" s="198"/>
      <c r="J17" s="200"/>
      <c r="L17" s="90"/>
      <c r="M17" s="90"/>
      <c r="N17" s="168"/>
      <c r="O17" s="166"/>
      <c r="P17" s="166"/>
      <c r="Q17" s="166"/>
    </row>
    <row r="18" spans="1:17" ht="13.8" thickBot="1" x14ac:dyDescent="0.3">
      <c r="B18" s="347" t="s">
        <v>194</v>
      </c>
      <c r="C18" s="145" t="s">
        <v>155</v>
      </c>
      <c r="D18" s="145" t="s">
        <v>195</v>
      </c>
      <c r="E18" s="111" t="s">
        <v>114</v>
      </c>
      <c r="F18" s="145" t="s">
        <v>227</v>
      </c>
      <c r="G18" s="145"/>
      <c r="H18" s="112"/>
      <c r="I18" s="111"/>
      <c r="J18" s="224" t="s">
        <v>196</v>
      </c>
      <c r="L18" s="90" t="s">
        <v>211</v>
      </c>
      <c r="M18" s="90"/>
      <c r="N18" s="168"/>
      <c r="O18" s="166"/>
      <c r="P18" s="166"/>
      <c r="Q18" s="166"/>
    </row>
    <row r="19" spans="1:17" ht="13.8" thickBot="1" x14ac:dyDescent="0.3">
      <c r="B19" s="348"/>
      <c r="C19" s="106" t="s">
        <v>156</v>
      </c>
      <c r="D19" s="106" t="s">
        <v>195</v>
      </c>
      <c r="E19" s="108" t="s">
        <v>114</v>
      </c>
      <c r="F19" s="145" t="s">
        <v>227</v>
      </c>
      <c r="G19" s="106"/>
      <c r="H19" s="110"/>
      <c r="I19" s="108"/>
      <c r="J19" s="225" t="s">
        <v>107</v>
      </c>
      <c r="L19" s="90"/>
      <c r="M19" s="90"/>
      <c r="N19" s="168"/>
      <c r="O19" s="166"/>
      <c r="P19" s="166"/>
      <c r="Q19" s="166"/>
    </row>
    <row r="20" spans="1:17" ht="13.8" thickBot="1" x14ac:dyDescent="0.3">
      <c r="B20" s="348"/>
      <c r="C20" s="106" t="s">
        <v>157</v>
      </c>
      <c r="D20" s="106" t="s">
        <v>195</v>
      </c>
      <c r="E20" s="108" t="s">
        <v>114</v>
      </c>
      <c r="F20" s="145" t="s">
        <v>227</v>
      </c>
      <c r="G20" s="106"/>
      <c r="H20" s="110"/>
      <c r="I20" s="108"/>
      <c r="J20" s="225" t="s">
        <v>98</v>
      </c>
      <c r="L20" s="90"/>
      <c r="M20" s="90"/>
      <c r="N20" s="168"/>
      <c r="O20" s="166"/>
      <c r="P20" s="166"/>
      <c r="Q20" s="166"/>
    </row>
    <row r="21" spans="1:17" ht="13.8" thickBot="1" x14ac:dyDescent="0.3">
      <c r="B21" s="348"/>
      <c r="C21" s="158" t="s">
        <v>158</v>
      </c>
      <c r="D21" s="158" t="s">
        <v>195</v>
      </c>
      <c r="E21" s="143" t="s">
        <v>114</v>
      </c>
      <c r="F21" s="145" t="s">
        <v>227</v>
      </c>
      <c r="G21" s="158"/>
      <c r="H21" s="144"/>
      <c r="I21" s="143"/>
      <c r="J21" s="226" t="s">
        <v>98</v>
      </c>
      <c r="L21" s="90"/>
      <c r="M21" s="90"/>
      <c r="N21" s="168"/>
      <c r="O21" s="166"/>
      <c r="P21" s="166"/>
      <c r="Q21" s="166"/>
    </row>
    <row r="22" spans="1:17" ht="14.4" thickBot="1" x14ac:dyDescent="0.3">
      <c r="B22" s="153"/>
      <c r="C22" s="201">
        <f>I18</f>
        <v>0</v>
      </c>
      <c r="D22" s="154"/>
      <c r="E22" s="154"/>
      <c r="F22" s="154"/>
      <c r="G22" s="154"/>
      <c r="H22" s="155"/>
      <c r="I22" s="154"/>
      <c r="J22" s="156"/>
      <c r="L22" s="90"/>
      <c r="M22" s="90"/>
      <c r="N22" s="168"/>
      <c r="O22" s="166"/>
      <c r="P22" s="166"/>
      <c r="Q22" s="166"/>
    </row>
    <row r="23" spans="1:17" ht="15" customHeight="1" x14ac:dyDescent="0.35">
      <c r="B23" s="349" t="s">
        <v>210</v>
      </c>
      <c r="C23" s="190" t="s">
        <v>186</v>
      </c>
      <c r="D23" s="209" t="s">
        <v>124</v>
      </c>
      <c r="E23" s="136" t="s">
        <v>114</v>
      </c>
      <c r="F23" s="150"/>
      <c r="G23" s="150"/>
      <c r="H23" s="212"/>
      <c r="I23" s="227"/>
      <c r="J23" s="228"/>
      <c r="N23" s="164"/>
      <c r="O23" s="346"/>
      <c r="P23" s="346"/>
      <c r="Q23" s="346"/>
    </row>
    <row r="24" spans="1:17" ht="15" customHeight="1" x14ac:dyDescent="0.35">
      <c r="B24" s="349"/>
      <c r="C24" s="191" t="s">
        <v>1</v>
      </c>
      <c r="D24" s="210" t="s">
        <v>124</v>
      </c>
      <c r="E24" s="108" t="s">
        <v>114</v>
      </c>
      <c r="F24" s="106"/>
      <c r="G24" s="106"/>
      <c r="H24" s="212"/>
      <c r="I24" s="229"/>
      <c r="J24" s="228"/>
      <c r="N24" s="164"/>
      <c r="O24" s="164"/>
      <c r="P24" s="164"/>
      <c r="Q24" s="164"/>
    </row>
    <row r="25" spans="1:17" ht="15" customHeight="1" x14ac:dyDescent="0.35">
      <c r="A25" s="340" t="s">
        <v>221</v>
      </c>
      <c r="B25" s="349"/>
      <c r="C25" s="191" t="s">
        <v>96</v>
      </c>
      <c r="D25" s="210" t="s">
        <v>124</v>
      </c>
      <c r="E25" s="108" t="s">
        <v>114</v>
      </c>
      <c r="F25" s="106"/>
      <c r="G25" s="106"/>
      <c r="H25" s="212"/>
      <c r="I25" s="229"/>
      <c r="J25" s="228"/>
      <c r="N25" s="164"/>
      <c r="O25" s="164"/>
      <c r="P25" s="164"/>
      <c r="Q25" s="164"/>
    </row>
    <row r="26" spans="1:17" ht="15" customHeight="1" x14ac:dyDescent="0.35">
      <c r="A26" s="340"/>
      <c r="B26" s="349"/>
      <c r="C26" s="191" t="s">
        <v>2</v>
      </c>
      <c r="D26" s="210" t="s">
        <v>124</v>
      </c>
      <c r="E26" s="108" t="s">
        <v>114</v>
      </c>
      <c r="F26" s="106"/>
      <c r="G26" s="106"/>
      <c r="H26" s="212"/>
      <c r="I26" s="229"/>
      <c r="J26" s="228"/>
      <c r="N26" s="164"/>
      <c r="O26" s="164"/>
      <c r="P26" s="164"/>
      <c r="Q26" s="164"/>
    </row>
    <row r="27" spans="1:17" ht="15" customHeight="1" x14ac:dyDescent="0.35">
      <c r="B27" s="349"/>
      <c r="C27" s="191" t="s">
        <v>188</v>
      </c>
      <c r="D27" s="210" t="s">
        <v>124</v>
      </c>
      <c r="E27" s="108" t="s">
        <v>114</v>
      </c>
      <c r="F27" s="106"/>
      <c r="G27" s="106"/>
      <c r="H27" s="212"/>
      <c r="I27" s="230"/>
      <c r="J27" s="228"/>
      <c r="N27" s="164"/>
      <c r="O27" s="164"/>
      <c r="P27" s="164"/>
      <c r="Q27" s="164"/>
    </row>
    <row r="28" spans="1:17" ht="15" customHeight="1" x14ac:dyDescent="0.35">
      <c r="B28" s="349"/>
      <c r="C28" s="191" t="s">
        <v>69</v>
      </c>
      <c r="D28" s="210" t="s">
        <v>124</v>
      </c>
      <c r="E28" s="108" t="s">
        <v>114</v>
      </c>
      <c r="F28" s="106"/>
      <c r="G28" s="106"/>
      <c r="H28" s="212"/>
      <c r="I28" s="229"/>
      <c r="J28" s="228"/>
      <c r="N28" s="164"/>
      <c r="O28" s="164"/>
      <c r="P28" s="164"/>
      <c r="Q28" s="164"/>
    </row>
    <row r="29" spans="1:17" ht="15" customHeight="1" x14ac:dyDescent="0.35">
      <c r="B29" s="349"/>
      <c r="C29" s="191" t="s">
        <v>33</v>
      </c>
      <c r="D29" s="210" t="s">
        <v>124</v>
      </c>
      <c r="E29" s="108" t="s">
        <v>114</v>
      </c>
      <c r="F29" s="106"/>
      <c r="G29" s="106"/>
      <c r="H29" s="212"/>
      <c r="I29" s="229"/>
      <c r="J29" s="228"/>
      <c r="N29" s="164"/>
      <c r="O29" s="164"/>
      <c r="P29" s="164"/>
      <c r="Q29" s="164"/>
    </row>
    <row r="30" spans="1:17" ht="15" customHeight="1" x14ac:dyDescent="0.35">
      <c r="B30" s="349"/>
      <c r="C30" s="191" t="s">
        <v>163</v>
      </c>
      <c r="D30" s="210" t="s">
        <v>124</v>
      </c>
      <c r="E30" s="108" t="s">
        <v>114</v>
      </c>
      <c r="F30" s="106"/>
      <c r="G30" s="106"/>
      <c r="H30" s="212"/>
      <c r="I30" s="229"/>
      <c r="J30" s="228"/>
      <c r="N30" s="164"/>
      <c r="O30" s="164"/>
      <c r="P30" s="164"/>
      <c r="Q30" s="164"/>
    </row>
    <row r="31" spans="1:17" ht="15" customHeight="1" x14ac:dyDescent="0.35">
      <c r="B31" s="349"/>
      <c r="C31" s="191" t="s">
        <v>70</v>
      </c>
      <c r="D31" s="210" t="s">
        <v>124</v>
      </c>
      <c r="E31" s="108" t="s">
        <v>114</v>
      </c>
      <c r="F31" s="106"/>
      <c r="G31" s="106"/>
      <c r="H31" s="212"/>
      <c r="I31" s="229"/>
      <c r="J31" s="228"/>
      <c r="N31" s="164"/>
      <c r="O31" s="164"/>
      <c r="P31" s="164"/>
      <c r="Q31" s="164"/>
    </row>
    <row r="32" spans="1:17" ht="15" customHeight="1" x14ac:dyDescent="0.35">
      <c r="B32" s="349"/>
      <c r="C32" s="191" t="s">
        <v>185</v>
      </c>
      <c r="D32" s="210" t="s">
        <v>124</v>
      </c>
      <c r="E32" s="108" t="s">
        <v>114</v>
      </c>
      <c r="F32" s="106"/>
      <c r="G32" s="106"/>
      <c r="H32" s="212"/>
      <c r="I32" s="229"/>
      <c r="J32" s="228"/>
      <c r="N32" s="164"/>
      <c r="O32" s="164"/>
      <c r="P32" s="164"/>
      <c r="Q32" s="164"/>
    </row>
    <row r="33" spans="2:17" ht="15" customHeight="1" x14ac:dyDescent="0.35">
      <c r="B33" s="349"/>
      <c r="C33" s="192" t="s">
        <v>197</v>
      </c>
      <c r="D33" s="210" t="s">
        <v>124</v>
      </c>
      <c r="E33" s="143" t="s">
        <v>114</v>
      </c>
      <c r="F33" s="106"/>
      <c r="G33" s="106"/>
      <c r="H33" s="212"/>
      <c r="I33" s="230"/>
      <c r="J33" s="228"/>
      <c r="N33" s="164"/>
      <c r="O33" s="164"/>
      <c r="P33" s="164"/>
      <c r="Q33" s="164"/>
    </row>
    <row r="34" spans="2:17" ht="15" customHeight="1" x14ac:dyDescent="0.35">
      <c r="B34" s="349"/>
      <c r="C34" s="193" t="s">
        <v>136</v>
      </c>
      <c r="D34" s="210" t="s">
        <v>124</v>
      </c>
      <c r="E34" s="143" t="s">
        <v>114</v>
      </c>
      <c r="F34" s="106"/>
      <c r="G34" s="106"/>
      <c r="H34" s="212"/>
      <c r="I34" s="230"/>
      <c r="J34" s="228"/>
      <c r="N34" s="164"/>
      <c r="O34" s="164"/>
      <c r="P34" s="164"/>
      <c r="Q34" s="164"/>
    </row>
    <row r="35" spans="2:17" ht="15" customHeight="1" x14ac:dyDescent="0.35">
      <c r="B35" s="349"/>
      <c r="C35" s="191" t="s">
        <v>239</v>
      </c>
      <c r="D35" s="210" t="s">
        <v>124</v>
      </c>
      <c r="E35" s="108" t="s">
        <v>114</v>
      </c>
      <c r="F35" s="106"/>
      <c r="G35" s="106"/>
      <c r="H35" s="212"/>
      <c r="I35" s="229"/>
      <c r="J35" s="228"/>
      <c r="N35" s="164"/>
      <c r="O35" s="164"/>
      <c r="P35" s="164"/>
      <c r="Q35" s="164"/>
    </row>
    <row r="36" spans="2:17" s="307" customFormat="1" ht="15.75" customHeight="1" thickBot="1" x14ac:dyDescent="0.4">
      <c r="B36" s="349"/>
      <c r="C36" s="310" t="s">
        <v>244</v>
      </c>
      <c r="D36" s="300" t="s">
        <v>243</v>
      </c>
      <c r="E36" s="308" t="s">
        <v>245</v>
      </c>
      <c r="F36" s="303"/>
      <c r="G36" s="303"/>
      <c r="H36" s="311"/>
      <c r="I36" s="312">
        <f>I23+I26-I24-I25+I27-I28-I29-I30-I31-I32-I33-I34-I35</f>
        <v>0</v>
      </c>
      <c r="J36" s="306"/>
      <c r="N36" s="308"/>
      <c r="O36" s="308"/>
      <c r="P36" s="308"/>
      <c r="Q36" s="308"/>
    </row>
    <row r="37" spans="2:17" ht="15" customHeight="1" x14ac:dyDescent="0.35">
      <c r="B37" s="349"/>
      <c r="C37" s="194" t="s">
        <v>198</v>
      </c>
      <c r="D37" s="210" t="s">
        <v>124</v>
      </c>
      <c r="E37" s="143" t="s">
        <v>114</v>
      </c>
      <c r="F37" s="106"/>
      <c r="G37" s="106"/>
      <c r="H37" s="212"/>
      <c r="I37" s="227"/>
      <c r="J37" s="228"/>
      <c r="N37" s="164"/>
      <c r="O37" s="164"/>
      <c r="P37" s="164"/>
      <c r="Q37" s="164"/>
    </row>
    <row r="38" spans="2:17" ht="15" customHeight="1" x14ac:dyDescent="0.35">
      <c r="B38" s="349"/>
      <c r="C38" s="193" t="s">
        <v>199</v>
      </c>
      <c r="D38" s="210" t="s">
        <v>124</v>
      </c>
      <c r="E38" s="143" t="s">
        <v>114</v>
      </c>
      <c r="F38" s="106"/>
      <c r="G38" s="106"/>
      <c r="H38" s="212"/>
      <c r="I38" s="229"/>
      <c r="J38" s="228"/>
      <c r="N38" s="164"/>
      <c r="O38" s="164"/>
      <c r="P38" s="164"/>
      <c r="Q38" s="164"/>
    </row>
    <row r="39" spans="2:17" ht="15" customHeight="1" x14ac:dyDescent="0.35">
      <c r="B39" s="349"/>
      <c r="C39" s="193" t="s">
        <v>200</v>
      </c>
      <c r="D39" s="210" t="s">
        <v>124</v>
      </c>
      <c r="E39" s="108" t="s">
        <v>114</v>
      </c>
      <c r="F39" s="106"/>
      <c r="G39" s="106"/>
      <c r="H39" s="212"/>
      <c r="I39" s="230"/>
      <c r="J39" s="228"/>
      <c r="N39" s="164"/>
      <c r="O39" s="164"/>
      <c r="P39" s="164"/>
      <c r="Q39" s="164"/>
    </row>
    <row r="40" spans="2:17" ht="15" customHeight="1" x14ac:dyDescent="0.35">
      <c r="B40" s="349"/>
      <c r="C40" s="193" t="s">
        <v>201</v>
      </c>
      <c r="D40" s="210" t="s">
        <v>124</v>
      </c>
      <c r="E40" s="108" t="s">
        <v>114</v>
      </c>
      <c r="F40" s="106"/>
      <c r="G40" s="106"/>
      <c r="H40" s="212"/>
      <c r="I40" s="229"/>
      <c r="J40" s="228"/>
      <c r="N40" s="164"/>
      <c r="O40" s="164"/>
      <c r="P40" s="164"/>
      <c r="Q40" s="164"/>
    </row>
    <row r="41" spans="2:17" s="307" customFormat="1" ht="12.75" customHeight="1" x14ac:dyDescent="0.25">
      <c r="B41" s="349"/>
      <c r="C41" s="299" t="s">
        <v>203</v>
      </c>
      <c r="D41" s="300" t="s">
        <v>243</v>
      </c>
      <c r="E41" s="301" t="s">
        <v>245</v>
      </c>
      <c r="F41" s="302" t="s">
        <v>301</v>
      </c>
      <c r="G41" s="303"/>
      <c r="H41" s="304"/>
      <c r="I41" s="305">
        <f>F200</f>
        <v>0</v>
      </c>
      <c r="J41" s="306"/>
      <c r="N41" s="308"/>
      <c r="O41" s="308"/>
      <c r="P41" s="308"/>
      <c r="Q41" s="308"/>
    </row>
    <row r="42" spans="2:17" s="307" customFormat="1" ht="12.75" customHeight="1" x14ac:dyDescent="0.25">
      <c r="B42" s="349"/>
      <c r="C42" s="299" t="s">
        <v>33</v>
      </c>
      <c r="D42" s="300" t="s">
        <v>243</v>
      </c>
      <c r="E42" s="301" t="s">
        <v>245</v>
      </c>
      <c r="F42" s="303"/>
      <c r="G42" s="303"/>
      <c r="H42" s="304"/>
      <c r="I42" s="309">
        <f>I29</f>
        <v>0</v>
      </c>
      <c r="J42" s="306"/>
      <c r="N42" s="308"/>
      <c r="O42" s="308"/>
      <c r="P42" s="308"/>
      <c r="Q42" s="308"/>
    </row>
    <row r="43" spans="2:17" s="307" customFormat="1" ht="12.75" customHeight="1" x14ac:dyDescent="0.25">
      <c r="B43" s="349"/>
      <c r="C43" s="299" t="s">
        <v>202</v>
      </c>
      <c r="D43" s="300" t="s">
        <v>243</v>
      </c>
      <c r="E43" s="301" t="s">
        <v>245</v>
      </c>
      <c r="F43" s="303"/>
      <c r="G43" s="303"/>
      <c r="H43" s="304"/>
      <c r="I43" s="309">
        <f>I42+I41</f>
        <v>0</v>
      </c>
      <c r="J43" s="306"/>
      <c r="N43" s="308"/>
      <c r="O43" s="308"/>
      <c r="P43" s="308"/>
      <c r="Q43" s="308"/>
    </row>
    <row r="44" spans="2:17" ht="15" customHeight="1" x14ac:dyDescent="0.35">
      <c r="B44" s="349"/>
      <c r="C44" s="193" t="s">
        <v>204</v>
      </c>
      <c r="D44" s="210" t="s">
        <v>124</v>
      </c>
      <c r="E44" s="108" t="s">
        <v>114</v>
      </c>
      <c r="F44" s="106"/>
      <c r="G44" s="106"/>
      <c r="H44" s="212"/>
      <c r="I44" s="229"/>
      <c r="J44" s="228"/>
      <c r="N44" s="164"/>
      <c r="O44" s="164"/>
      <c r="P44" s="164"/>
      <c r="Q44" s="164"/>
    </row>
    <row r="45" spans="2:17" ht="15" customHeight="1" x14ac:dyDescent="0.35">
      <c r="B45" s="349"/>
      <c r="C45" s="193" t="s">
        <v>4</v>
      </c>
      <c r="D45" s="210" t="s">
        <v>124</v>
      </c>
      <c r="E45" s="143" t="s">
        <v>114</v>
      </c>
      <c r="F45" s="106"/>
      <c r="G45" s="106"/>
      <c r="H45" s="212"/>
      <c r="I45" s="229"/>
      <c r="J45" s="228"/>
      <c r="N45" s="164"/>
      <c r="O45" s="164"/>
      <c r="P45" s="164"/>
      <c r="Q45" s="164"/>
    </row>
    <row r="46" spans="2:17" ht="15" customHeight="1" x14ac:dyDescent="0.35">
      <c r="B46" s="349"/>
      <c r="C46" s="193" t="s">
        <v>65</v>
      </c>
      <c r="D46" s="210" t="s">
        <v>124</v>
      </c>
      <c r="E46" s="143" t="s">
        <v>114</v>
      </c>
      <c r="F46" s="106"/>
      <c r="G46" s="106"/>
      <c r="H46" s="212"/>
      <c r="I46" s="229"/>
      <c r="J46" s="228"/>
      <c r="N46" s="164"/>
      <c r="O46" s="164"/>
      <c r="P46" s="164"/>
      <c r="Q46" s="164"/>
    </row>
    <row r="47" spans="2:17" ht="15.75" customHeight="1" thickBot="1" x14ac:dyDescent="0.4">
      <c r="B47" s="349"/>
      <c r="C47" s="195" t="s">
        <v>205</v>
      </c>
      <c r="D47" s="211" t="s">
        <v>124</v>
      </c>
      <c r="E47" s="143" t="s">
        <v>114</v>
      </c>
      <c r="F47" s="158"/>
      <c r="G47" s="158"/>
      <c r="H47" s="212"/>
      <c r="I47" s="232"/>
      <c r="J47" s="228"/>
      <c r="N47" s="164"/>
      <c r="O47" s="164"/>
      <c r="P47" s="164"/>
      <c r="Q47" s="164"/>
    </row>
    <row r="48" spans="2:17" ht="15" customHeight="1" thickBot="1" x14ac:dyDescent="0.3">
      <c r="B48" s="208"/>
      <c r="C48" s="160"/>
      <c r="D48" s="161"/>
      <c r="E48" s="161"/>
      <c r="F48" s="161"/>
      <c r="G48" s="161"/>
      <c r="H48" s="162"/>
      <c r="I48" s="161"/>
      <c r="J48" s="163"/>
      <c r="L48" s="90" cm="1">
        <f t="array" aca="1" ref="L48" ca="1">L27:L48</f>
        <v>0</v>
      </c>
    </row>
    <row r="49" spans="2:18" ht="12.75" customHeight="1" x14ac:dyDescent="0.25">
      <c r="B49" s="335" t="s">
        <v>247</v>
      </c>
      <c r="C49" s="202" t="s">
        <v>241</v>
      </c>
      <c r="D49" s="337" t="s">
        <v>246</v>
      </c>
      <c r="E49" s="203"/>
      <c r="F49" s="204"/>
      <c r="G49" s="204"/>
      <c r="H49" s="205"/>
      <c r="I49" s="206" t="e">
        <f>100/I16/100</f>
        <v>#DIV/0!</v>
      </c>
      <c r="J49" s="207" t="s">
        <v>108</v>
      </c>
      <c r="L49" s="90"/>
      <c r="M49" s="90"/>
      <c r="N49" s="169"/>
      <c r="O49" s="90"/>
      <c r="P49" s="90"/>
      <c r="Q49" s="90"/>
    </row>
    <row r="50" spans="2:18" ht="12.75" customHeight="1" x14ac:dyDescent="0.25">
      <c r="B50" s="336"/>
      <c r="C50" s="170" t="s">
        <v>99</v>
      </c>
      <c r="D50" s="338"/>
      <c r="E50" s="175"/>
      <c r="F50" s="176"/>
      <c r="G50" s="176"/>
      <c r="H50" s="177"/>
      <c r="I50" s="236">
        <v>1.05</v>
      </c>
      <c r="J50" s="178" t="s">
        <v>127</v>
      </c>
      <c r="L50" s="90"/>
      <c r="M50" s="90"/>
      <c r="N50" s="169"/>
      <c r="O50" s="90"/>
      <c r="P50" s="90"/>
      <c r="Q50" s="90"/>
    </row>
    <row r="51" spans="2:18" ht="12.75" customHeight="1" x14ac:dyDescent="0.25">
      <c r="B51" s="336"/>
      <c r="C51" s="170" t="s">
        <v>242</v>
      </c>
      <c r="D51" s="338"/>
      <c r="E51" s="175"/>
      <c r="F51" s="176"/>
      <c r="G51" s="176"/>
      <c r="H51" s="177"/>
      <c r="I51" s="236">
        <v>1.0049999999999999</v>
      </c>
      <c r="J51" s="178" t="s">
        <v>127</v>
      </c>
      <c r="L51" s="90"/>
      <c r="M51" s="90"/>
      <c r="N51" s="169"/>
      <c r="O51" s="90"/>
      <c r="P51" s="90"/>
      <c r="Q51" s="90"/>
    </row>
    <row r="52" spans="2:18" ht="12.75" customHeight="1" x14ac:dyDescent="0.25">
      <c r="B52" s="336"/>
      <c r="C52" s="170" t="s">
        <v>161</v>
      </c>
      <c r="D52" s="338"/>
      <c r="E52" s="175"/>
      <c r="F52" s="176"/>
      <c r="G52" s="176"/>
      <c r="H52" s="177"/>
      <c r="I52" s="236">
        <v>1.05</v>
      </c>
      <c r="J52" s="178" t="s">
        <v>127</v>
      </c>
      <c r="L52" s="90"/>
      <c r="M52" s="90"/>
      <c r="N52" s="169"/>
      <c r="O52" s="90"/>
      <c r="P52" s="90"/>
      <c r="Q52" s="90"/>
    </row>
    <row r="53" spans="2:18" ht="12.75" customHeight="1" x14ac:dyDescent="0.25">
      <c r="B53" s="336"/>
      <c r="C53" s="170" t="s">
        <v>103</v>
      </c>
      <c r="D53" s="338"/>
      <c r="E53" s="175"/>
      <c r="F53" s="176"/>
      <c r="G53" s="176"/>
      <c r="H53" s="177"/>
      <c r="I53" s="236">
        <v>1.3</v>
      </c>
      <c r="J53" s="178" t="s">
        <v>112</v>
      </c>
    </row>
    <row r="54" spans="2:18" ht="12.75" customHeight="1" x14ac:dyDescent="0.25">
      <c r="B54" s="336"/>
      <c r="C54" s="170" t="s">
        <v>97</v>
      </c>
      <c r="D54" s="338"/>
      <c r="E54" s="175"/>
      <c r="F54" s="176"/>
      <c r="G54" s="176"/>
      <c r="H54" s="177"/>
      <c r="I54" s="236">
        <v>1.01</v>
      </c>
      <c r="J54" s="178" t="s">
        <v>113</v>
      </c>
    </row>
    <row r="55" spans="2:18" ht="12.75" customHeight="1" x14ac:dyDescent="0.25">
      <c r="B55" s="336"/>
      <c r="C55" s="128"/>
      <c r="D55" s="338"/>
      <c r="E55" s="129"/>
      <c r="F55" s="114"/>
      <c r="G55" s="114"/>
      <c r="H55" s="115"/>
      <c r="I55" s="114"/>
      <c r="J55" s="118"/>
    </row>
    <row r="56" spans="2:18" ht="12.75" customHeight="1" x14ac:dyDescent="0.25">
      <c r="B56" s="336"/>
      <c r="C56" s="170" t="s">
        <v>134</v>
      </c>
      <c r="D56" s="338"/>
      <c r="E56" s="175"/>
      <c r="F56" s="176"/>
      <c r="G56" s="176"/>
      <c r="H56" s="177"/>
      <c r="I56" s="179" t="e">
        <f>I13/I16</f>
        <v>#DIV/0!</v>
      </c>
      <c r="J56" s="180"/>
    </row>
    <row r="57" spans="2:18" ht="12.75" customHeight="1" x14ac:dyDescent="0.25">
      <c r="B57" s="336"/>
      <c r="C57" s="170" t="s">
        <v>174</v>
      </c>
      <c r="D57" s="338"/>
      <c r="E57" s="175"/>
      <c r="F57" s="176"/>
      <c r="G57" s="176"/>
      <c r="H57" s="177"/>
      <c r="I57" s="179">
        <f>I23</f>
        <v>0</v>
      </c>
      <c r="J57" s="180"/>
    </row>
    <row r="58" spans="2:18" ht="15.75" customHeight="1" x14ac:dyDescent="0.25">
      <c r="B58" s="336"/>
      <c r="C58" s="170" t="s">
        <v>177</v>
      </c>
      <c r="D58" s="338"/>
      <c r="E58" s="175"/>
      <c r="F58" s="176"/>
      <c r="G58" s="176"/>
      <c r="H58" s="177"/>
      <c r="I58" s="179">
        <f>I57*120/100</f>
        <v>0</v>
      </c>
      <c r="J58" s="180"/>
    </row>
    <row r="59" spans="2:18" ht="17.25" customHeight="1" x14ac:dyDescent="0.25">
      <c r="B59" s="336"/>
      <c r="C59" s="170" t="s">
        <v>133</v>
      </c>
      <c r="D59" s="338"/>
      <c r="E59" s="175"/>
      <c r="F59" s="176"/>
      <c r="G59" s="176"/>
      <c r="H59" s="177"/>
      <c r="I59" s="179" t="e">
        <f>MAX(I56,I58)</f>
        <v>#DIV/0!</v>
      </c>
      <c r="J59" s="180"/>
    </row>
    <row r="60" spans="2:18" ht="14.25" customHeight="1" x14ac:dyDescent="0.25">
      <c r="B60" s="336"/>
      <c r="C60" s="128"/>
      <c r="D60" s="338"/>
      <c r="E60" s="129"/>
      <c r="F60" s="114"/>
      <c r="G60" s="114"/>
      <c r="H60" s="115"/>
      <c r="I60" s="114"/>
      <c r="J60" s="118"/>
      <c r="R60" s="81"/>
    </row>
    <row r="61" spans="2:18" ht="12" customHeight="1" x14ac:dyDescent="0.25">
      <c r="B61" s="336"/>
      <c r="C61" s="170" t="s">
        <v>138</v>
      </c>
      <c r="D61" s="338"/>
      <c r="E61" s="181"/>
      <c r="F61" s="182"/>
      <c r="G61" s="182"/>
      <c r="H61" s="177"/>
      <c r="I61" s="182">
        <f>I13*I53</f>
        <v>0</v>
      </c>
      <c r="J61" s="180"/>
    </row>
    <row r="62" spans="2:18" ht="20.25" customHeight="1" x14ac:dyDescent="0.35">
      <c r="B62" s="336"/>
      <c r="C62" s="170" t="s">
        <v>175</v>
      </c>
      <c r="D62" s="338"/>
      <c r="E62" s="181"/>
      <c r="F62" s="182"/>
      <c r="G62" s="182"/>
      <c r="H62" s="183"/>
      <c r="I62" s="179">
        <f>I26</f>
        <v>0</v>
      </c>
      <c r="J62" s="180"/>
    </row>
    <row r="63" spans="2:18" ht="12" customHeight="1" x14ac:dyDescent="0.25">
      <c r="B63" s="336"/>
      <c r="C63" s="170" t="s">
        <v>142</v>
      </c>
      <c r="D63" s="338"/>
      <c r="E63" s="181"/>
      <c r="F63" s="182"/>
      <c r="G63" s="182"/>
      <c r="H63" s="174"/>
      <c r="I63" s="182">
        <f>MAX(I61:I62)</f>
        <v>0</v>
      </c>
      <c r="J63" s="180"/>
    </row>
    <row r="64" spans="2:18" ht="15" customHeight="1" x14ac:dyDescent="0.25">
      <c r="B64" s="336"/>
      <c r="C64" s="128"/>
      <c r="D64" s="338"/>
      <c r="E64" s="130"/>
      <c r="F64" s="116"/>
      <c r="G64" s="116"/>
      <c r="H64" s="117"/>
      <c r="I64" s="116"/>
      <c r="J64" s="119"/>
    </row>
    <row r="65" spans="2:17" ht="18.75" customHeight="1" x14ac:dyDescent="0.25">
      <c r="B65" s="336"/>
      <c r="C65" s="170" t="s">
        <v>176</v>
      </c>
      <c r="D65" s="338"/>
      <c r="E65" s="181"/>
      <c r="F65" s="182"/>
      <c r="G65" s="182"/>
      <c r="H65" s="177"/>
      <c r="I65" s="182">
        <f>I38</f>
        <v>0</v>
      </c>
      <c r="J65" s="180"/>
      <c r="P65" s="165"/>
      <c r="Q65" s="165"/>
    </row>
    <row r="66" spans="2:17" ht="12.75" customHeight="1" x14ac:dyDescent="0.25">
      <c r="B66" s="336"/>
      <c r="C66" s="170" t="s">
        <v>143</v>
      </c>
      <c r="D66" s="338"/>
      <c r="E66" s="181"/>
      <c r="F66" s="182"/>
      <c r="G66" s="182"/>
      <c r="H66" s="177"/>
      <c r="I66" s="182">
        <v>4</v>
      </c>
      <c r="J66" s="180"/>
      <c r="P66" s="165"/>
      <c r="Q66" s="166"/>
    </row>
    <row r="67" spans="2:17" ht="15" customHeight="1" x14ac:dyDescent="0.35">
      <c r="B67" s="336"/>
      <c r="C67" s="171" t="s">
        <v>135</v>
      </c>
      <c r="D67" s="338"/>
      <c r="E67" s="184"/>
      <c r="F67" s="185"/>
      <c r="G67" s="185"/>
      <c r="H67" s="186"/>
      <c r="I67" s="185">
        <f>I65/I66</f>
        <v>0</v>
      </c>
      <c r="J67" s="187"/>
      <c r="P67" s="127"/>
      <c r="Q67" s="90"/>
    </row>
    <row r="68" spans="2:17" ht="12.75" customHeight="1" x14ac:dyDescent="0.25">
      <c r="B68" s="336"/>
      <c r="C68" s="113" t="s">
        <v>240</v>
      </c>
      <c r="D68" s="338"/>
      <c r="E68" s="114"/>
      <c r="F68" s="114"/>
      <c r="G68" s="114"/>
      <c r="H68" s="115"/>
      <c r="I68" s="131" t="s">
        <v>123</v>
      </c>
      <c r="J68" s="118"/>
      <c r="P68" s="90"/>
      <c r="Q68" s="90"/>
    </row>
    <row r="69" spans="2:17" ht="12.75" customHeight="1" x14ac:dyDescent="0.25">
      <c r="B69" s="336"/>
      <c r="C69" s="172" t="s">
        <v>102</v>
      </c>
      <c r="D69" s="338"/>
      <c r="E69" s="182"/>
      <c r="F69" s="182"/>
      <c r="G69" s="182"/>
      <c r="H69" s="177"/>
      <c r="I69" s="236">
        <v>0.15</v>
      </c>
      <c r="J69" s="180"/>
      <c r="P69" s="90"/>
      <c r="Q69" s="90"/>
    </row>
    <row r="70" spans="2:17" ht="12.75" customHeight="1" x14ac:dyDescent="0.25">
      <c r="B70" s="336"/>
      <c r="C70" s="172" t="s">
        <v>170</v>
      </c>
      <c r="D70" s="338"/>
      <c r="E70" s="182"/>
      <c r="F70" s="182"/>
      <c r="G70" s="182"/>
      <c r="H70" s="177"/>
      <c r="I70" s="236">
        <v>0.15</v>
      </c>
      <c r="J70" s="180"/>
      <c r="P70" s="90"/>
      <c r="Q70" s="90"/>
    </row>
    <row r="71" spans="2:17" ht="12.75" customHeight="1" x14ac:dyDescent="0.25">
      <c r="B71" s="336"/>
      <c r="C71" s="172" t="s">
        <v>283</v>
      </c>
      <c r="D71" s="338"/>
      <c r="E71" s="182"/>
      <c r="F71" s="182"/>
      <c r="G71" s="182"/>
      <c r="H71" s="177"/>
      <c r="I71" s="236">
        <v>0.1</v>
      </c>
      <c r="J71" s="180"/>
    </row>
    <row r="72" spans="2:17" ht="12.75" customHeight="1" x14ac:dyDescent="0.25">
      <c r="B72" s="336"/>
      <c r="C72" s="172" t="s">
        <v>284</v>
      </c>
      <c r="D72" s="338"/>
      <c r="E72" s="182"/>
      <c r="F72" s="182"/>
      <c r="G72" s="182"/>
      <c r="H72" s="177"/>
      <c r="I72" s="236">
        <v>0</v>
      </c>
      <c r="J72" s="180"/>
    </row>
    <row r="73" spans="2:17" ht="12.75" customHeight="1" x14ac:dyDescent="0.25">
      <c r="B73" s="336"/>
      <c r="C73" s="172" t="s">
        <v>101</v>
      </c>
      <c r="D73" s="338"/>
      <c r="E73" s="182"/>
      <c r="F73" s="182"/>
      <c r="G73" s="182"/>
      <c r="H73" s="177"/>
      <c r="I73" s="236">
        <v>0.1</v>
      </c>
      <c r="J73" s="180"/>
    </row>
    <row r="74" spans="2:17" ht="12.75" customHeight="1" x14ac:dyDescent="0.25">
      <c r="B74" s="336"/>
      <c r="C74" s="172" t="s">
        <v>285</v>
      </c>
      <c r="D74" s="338"/>
      <c r="E74" s="182"/>
      <c r="F74" s="182"/>
      <c r="G74" s="182"/>
      <c r="H74" s="177"/>
      <c r="I74" s="236">
        <v>0.15</v>
      </c>
      <c r="J74" s="180"/>
    </row>
    <row r="75" spans="2:17" ht="12.75" customHeight="1" x14ac:dyDescent="0.25">
      <c r="B75" s="336"/>
      <c r="C75" s="172" t="s">
        <v>299</v>
      </c>
      <c r="D75" s="338"/>
      <c r="E75" s="182"/>
      <c r="F75" s="182"/>
      <c r="G75" s="182"/>
      <c r="H75" s="177"/>
      <c r="I75" s="236">
        <v>0.15</v>
      </c>
      <c r="J75" s="180"/>
    </row>
    <row r="76" spans="2:17" ht="12.75" customHeight="1" x14ac:dyDescent="0.25">
      <c r="B76" s="336"/>
      <c r="C76" s="172" t="s">
        <v>111</v>
      </c>
      <c r="D76" s="338"/>
      <c r="E76" s="182"/>
      <c r="F76" s="182"/>
      <c r="G76" s="182"/>
      <c r="H76" s="177"/>
      <c r="I76" s="236">
        <v>0.15</v>
      </c>
      <c r="J76" s="180"/>
    </row>
    <row r="77" spans="2:17" ht="12.75" customHeight="1" x14ac:dyDescent="0.25">
      <c r="B77" s="336"/>
      <c r="C77" s="172" t="s">
        <v>289</v>
      </c>
      <c r="D77" s="338"/>
      <c r="E77" s="182"/>
      <c r="F77" s="182"/>
      <c r="G77" s="182"/>
      <c r="H77" s="177"/>
      <c r="I77" s="236">
        <v>0</v>
      </c>
      <c r="J77" s="180"/>
    </row>
    <row r="78" spans="2:17" ht="12.75" customHeight="1" x14ac:dyDescent="0.25">
      <c r="B78" s="336"/>
      <c r="C78" s="173" t="s">
        <v>290</v>
      </c>
      <c r="D78" s="338"/>
      <c r="E78" s="182"/>
      <c r="F78" s="182"/>
      <c r="G78" s="182"/>
      <c r="H78" s="177"/>
      <c r="I78" s="236">
        <v>0</v>
      </c>
      <c r="J78" s="180"/>
    </row>
    <row r="79" spans="2:17" ht="12.75" customHeight="1" x14ac:dyDescent="0.25">
      <c r="B79" s="336"/>
      <c r="C79" s="173" t="s">
        <v>110</v>
      </c>
      <c r="D79" s="338"/>
      <c r="E79" s="182"/>
      <c r="F79" s="182"/>
      <c r="G79" s="182"/>
      <c r="H79" s="177"/>
      <c r="I79" s="236">
        <v>0.1</v>
      </c>
      <c r="J79" s="180"/>
      <c r="P79" s="101"/>
    </row>
    <row r="80" spans="2:17" ht="12.75" customHeight="1" x14ac:dyDescent="0.25">
      <c r="B80" s="336"/>
      <c r="C80" s="113" t="s">
        <v>206</v>
      </c>
      <c r="D80" s="338"/>
      <c r="E80" s="114"/>
      <c r="F80" s="114"/>
      <c r="G80" s="114"/>
      <c r="H80" s="115"/>
      <c r="I80" s="114"/>
      <c r="J80" s="115"/>
    </row>
    <row r="81" spans="2:20" ht="12.75" customHeight="1" x14ac:dyDescent="0.25">
      <c r="B81" s="336"/>
      <c r="C81" s="174">
        <f>I18</f>
        <v>0</v>
      </c>
      <c r="D81" s="338"/>
      <c r="E81" s="182"/>
      <c r="F81" s="182"/>
      <c r="G81" s="182"/>
      <c r="H81" s="174"/>
      <c r="I81" s="176" t="s">
        <v>209</v>
      </c>
      <c r="J81" s="177"/>
      <c r="O81" s="90"/>
    </row>
    <row r="82" spans="2:20" ht="12.75" customHeight="1" x14ac:dyDescent="0.25">
      <c r="B82" s="336"/>
      <c r="C82" s="174">
        <f>I19</f>
        <v>0</v>
      </c>
      <c r="D82" s="338"/>
      <c r="E82" s="182"/>
      <c r="F82" s="182"/>
      <c r="G82" s="182"/>
      <c r="H82" s="177"/>
      <c r="I82" s="236">
        <v>0.05</v>
      </c>
      <c r="J82" s="177"/>
      <c r="O82" s="90"/>
    </row>
    <row r="83" spans="2:20" ht="12.75" customHeight="1" x14ac:dyDescent="0.25">
      <c r="B83" s="336"/>
      <c r="C83" s="174">
        <f>I20</f>
        <v>0</v>
      </c>
      <c r="D83" s="338"/>
      <c r="E83" s="182"/>
      <c r="F83" s="182"/>
      <c r="G83" s="182"/>
      <c r="H83" s="177"/>
      <c r="I83" s="236">
        <v>7.0000000000000007E-2</v>
      </c>
      <c r="J83" s="177"/>
      <c r="O83" s="90"/>
      <c r="P83" s="167"/>
    </row>
    <row r="84" spans="2:20" ht="14.4" x14ac:dyDescent="0.3">
      <c r="B84" s="336"/>
      <c r="C84" s="174">
        <f>I21</f>
        <v>0</v>
      </c>
      <c r="D84" s="338"/>
      <c r="E84" s="182"/>
      <c r="F84" s="182"/>
      <c r="G84" s="182"/>
      <c r="H84" s="177"/>
      <c r="I84" s="236">
        <v>0.1</v>
      </c>
      <c r="J84" s="177"/>
      <c r="O84" s="90"/>
      <c r="R84" s="38"/>
      <c r="S84" s="38"/>
      <c r="T84" s="38"/>
    </row>
    <row r="85" spans="2:20" ht="14.4" x14ac:dyDescent="0.3">
      <c r="B85" s="336"/>
      <c r="C85" s="113" t="s">
        <v>207</v>
      </c>
      <c r="D85" s="338"/>
      <c r="E85" s="114"/>
      <c r="F85" s="114"/>
      <c r="G85" s="114"/>
      <c r="H85" s="115"/>
      <c r="I85" s="114"/>
      <c r="J85" s="115"/>
      <c r="R85" s="37"/>
      <c r="S85" s="37"/>
      <c r="T85" s="37"/>
    </row>
    <row r="86" spans="2:20" ht="14.4" x14ac:dyDescent="0.3">
      <c r="B86" s="336"/>
      <c r="C86" s="174">
        <f>C81</f>
        <v>0</v>
      </c>
      <c r="D86" s="338"/>
      <c r="E86" s="182"/>
      <c r="F86" s="182"/>
      <c r="G86" s="182"/>
      <c r="H86" s="177"/>
      <c r="I86" s="236" t="e">
        <f>wp!C21/wp!C10</f>
        <v>#DIV/0!</v>
      </c>
      <c r="J86" s="177"/>
      <c r="R86" s="37"/>
      <c r="S86" s="38"/>
      <c r="T86" s="38"/>
    </row>
    <row r="87" spans="2:20" ht="12.75" customHeight="1" x14ac:dyDescent="0.25">
      <c r="B87" s="336"/>
      <c r="C87" s="174">
        <f>C82</f>
        <v>0</v>
      </c>
      <c r="D87" s="338"/>
      <c r="E87" s="182"/>
      <c r="F87" s="182"/>
      <c r="G87" s="182"/>
      <c r="H87" s="177"/>
      <c r="I87" s="236" t="e">
        <f>I86*100.5/100</f>
        <v>#DIV/0!</v>
      </c>
      <c r="J87" s="177"/>
    </row>
    <row r="88" spans="2:20" ht="12.75" customHeight="1" x14ac:dyDescent="0.25">
      <c r="B88" s="336"/>
      <c r="C88" s="174">
        <f>C83</f>
        <v>0</v>
      </c>
      <c r="D88" s="338"/>
      <c r="E88" s="177"/>
      <c r="F88" s="177"/>
      <c r="G88" s="177"/>
      <c r="H88" s="177"/>
      <c r="I88" s="236" t="e">
        <f>I87*100.5/100</f>
        <v>#DIV/0!</v>
      </c>
      <c r="J88" s="177"/>
    </row>
    <row r="89" spans="2:20" ht="12.75" customHeight="1" x14ac:dyDescent="0.25">
      <c r="B89" s="336"/>
      <c r="C89" s="174">
        <f>C84</f>
        <v>0</v>
      </c>
      <c r="D89" s="338"/>
      <c r="E89" s="182"/>
      <c r="F89" s="182"/>
      <c r="G89" s="182"/>
      <c r="H89" s="177"/>
      <c r="I89" s="236" t="e">
        <f>I88*100.5/100</f>
        <v>#DIV/0!</v>
      </c>
      <c r="J89" s="177"/>
    </row>
    <row r="90" spans="2:20" ht="12.75" customHeight="1" x14ac:dyDescent="0.25">
      <c r="B90" s="336"/>
      <c r="C90" s="113" t="s">
        <v>208</v>
      </c>
      <c r="D90" s="338"/>
      <c r="E90" s="114"/>
      <c r="F90" s="114"/>
      <c r="G90" s="114"/>
      <c r="H90" s="115"/>
      <c r="I90" s="114"/>
      <c r="J90" s="115"/>
    </row>
    <row r="91" spans="2:20" ht="12.75" customHeight="1" x14ac:dyDescent="0.25">
      <c r="B91" s="336"/>
      <c r="C91" s="174">
        <f>C86</f>
        <v>0</v>
      </c>
      <c r="D91" s="338"/>
      <c r="E91" s="182"/>
      <c r="F91" s="182"/>
      <c r="G91" s="182"/>
      <c r="H91" s="177"/>
      <c r="I91" s="176" t="s">
        <v>209</v>
      </c>
      <c r="J91" s="177"/>
    </row>
    <row r="92" spans="2:20" ht="12.75" customHeight="1" x14ac:dyDescent="0.25">
      <c r="B92" s="336"/>
      <c r="C92" s="174">
        <f>C87</f>
        <v>0</v>
      </c>
      <c r="D92" s="338"/>
      <c r="E92" s="182"/>
      <c r="F92" s="182"/>
      <c r="G92" s="182"/>
      <c r="H92" s="177"/>
      <c r="I92" s="182">
        <v>30</v>
      </c>
      <c r="J92" s="177"/>
    </row>
    <row r="93" spans="2:20" ht="12.75" customHeight="1" x14ac:dyDescent="0.25">
      <c r="B93" s="336"/>
      <c r="C93" s="174">
        <f>C88</f>
        <v>0</v>
      </c>
      <c r="D93" s="338"/>
      <c r="E93" s="182"/>
      <c r="F93" s="182"/>
      <c r="G93" s="182"/>
      <c r="H93" s="177"/>
      <c r="I93" s="182">
        <v>35</v>
      </c>
      <c r="J93" s="177"/>
    </row>
    <row r="94" spans="2:20" ht="12.75" customHeight="1" thickBot="1" x14ac:dyDescent="0.3">
      <c r="B94" s="336"/>
      <c r="C94" s="174">
        <f>C89</f>
        <v>0</v>
      </c>
      <c r="D94" s="339"/>
      <c r="E94" s="182"/>
      <c r="F94" s="182"/>
      <c r="G94" s="182"/>
      <c r="H94" s="177"/>
      <c r="I94" s="182">
        <v>40</v>
      </c>
      <c r="J94" s="177"/>
    </row>
    <row r="97" spans="2:10" ht="23.4" thickBot="1" x14ac:dyDescent="0.45">
      <c r="B97" s="257" t="s">
        <v>277</v>
      </c>
      <c r="C97"/>
      <c r="D97"/>
      <c r="E97"/>
      <c r="F97"/>
    </row>
    <row r="98" spans="2:10" ht="40.200000000000003" thickBot="1" x14ac:dyDescent="0.3">
      <c r="B98" s="258" t="s">
        <v>278</v>
      </c>
      <c r="C98" s="259" t="s">
        <v>279</v>
      </c>
      <c r="D98" s="260" t="s">
        <v>280</v>
      </c>
      <c r="E98" s="261" t="s">
        <v>281</v>
      </c>
      <c r="F98" s="261" t="s">
        <v>282</v>
      </c>
    </row>
    <row r="99" spans="2:10" x14ac:dyDescent="0.25">
      <c r="B99" s="321" t="s">
        <v>102</v>
      </c>
      <c r="C99" s="262">
        <v>1</v>
      </c>
      <c r="D99" s="263"/>
      <c r="E99" s="264"/>
      <c r="F99" s="334">
        <f>SUM(E99:E108)</f>
        <v>0</v>
      </c>
    </row>
    <row r="100" spans="2:10" x14ac:dyDescent="0.25">
      <c r="B100" s="316"/>
      <c r="C100" s="265">
        <v>2</v>
      </c>
      <c r="D100" s="237"/>
      <c r="E100" s="266"/>
      <c r="F100" s="326"/>
    </row>
    <row r="101" spans="2:10" ht="12.75" customHeight="1" x14ac:dyDescent="0.25">
      <c r="B101" s="316"/>
      <c r="C101" s="265">
        <v>3</v>
      </c>
      <c r="D101" s="237"/>
      <c r="E101" s="266"/>
      <c r="F101" s="326"/>
    </row>
    <row r="102" spans="2:10" ht="12.75" customHeight="1" x14ac:dyDescent="0.25">
      <c r="B102" s="316"/>
      <c r="C102" s="265">
        <v>4</v>
      </c>
      <c r="D102" s="237"/>
      <c r="E102" s="266"/>
      <c r="F102" s="326"/>
      <c r="G102" s="102"/>
      <c r="H102" s="88"/>
      <c r="I102" s="102"/>
      <c r="J102" s="88"/>
    </row>
    <row r="103" spans="2:10" x14ac:dyDescent="0.25">
      <c r="B103" s="316"/>
      <c r="C103" s="265">
        <v>5</v>
      </c>
      <c r="D103" s="237"/>
      <c r="E103" s="266"/>
      <c r="F103" s="326"/>
    </row>
    <row r="104" spans="2:10" x14ac:dyDescent="0.25">
      <c r="B104" s="316"/>
      <c r="C104" s="265">
        <v>6</v>
      </c>
      <c r="D104" s="237"/>
      <c r="E104" s="266"/>
      <c r="F104" s="326"/>
    </row>
    <row r="105" spans="2:10" x14ac:dyDescent="0.25">
      <c r="B105" s="316"/>
      <c r="C105" s="265">
        <v>7</v>
      </c>
      <c r="D105" s="237"/>
      <c r="E105" s="266"/>
      <c r="F105" s="326"/>
    </row>
    <row r="106" spans="2:10" x14ac:dyDescent="0.25">
      <c r="B106" s="316"/>
      <c r="C106" s="265">
        <v>8</v>
      </c>
      <c r="D106" s="237"/>
      <c r="E106" s="266"/>
      <c r="F106" s="326"/>
    </row>
    <row r="107" spans="2:10" x14ac:dyDescent="0.25">
      <c r="B107" s="316"/>
      <c r="C107" s="265">
        <v>9</v>
      </c>
      <c r="D107" s="237"/>
      <c r="E107" s="266"/>
      <c r="F107" s="326"/>
    </row>
    <row r="108" spans="2:10" ht="13.8" thickBot="1" x14ac:dyDescent="0.3">
      <c r="B108" s="317"/>
      <c r="C108" s="267">
        <v>10</v>
      </c>
      <c r="D108" s="268"/>
      <c r="E108" s="269"/>
      <c r="F108" s="327"/>
    </row>
    <row r="109" spans="2:10" x14ac:dyDescent="0.25">
      <c r="B109" s="321" t="s">
        <v>170</v>
      </c>
      <c r="C109" s="262">
        <v>1</v>
      </c>
      <c r="D109" s="263"/>
      <c r="E109" s="270"/>
      <c r="F109" s="325">
        <f>SUM(E109:E118)</f>
        <v>0</v>
      </c>
    </row>
    <row r="110" spans="2:10" x14ac:dyDescent="0.25">
      <c r="B110" s="316"/>
      <c r="C110" s="265">
        <v>2</v>
      </c>
      <c r="D110" s="237"/>
      <c r="E110" s="266"/>
      <c r="F110" s="326"/>
    </row>
    <row r="111" spans="2:10" x14ac:dyDescent="0.25">
      <c r="B111" s="316"/>
      <c r="C111" s="265">
        <v>3</v>
      </c>
      <c r="D111" s="237"/>
      <c r="E111" s="266"/>
      <c r="F111" s="326"/>
    </row>
    <row r="112" spans="2:10" x14ac:dyDescent="0.25">
      <c r="B112" s="316"/>
      <c r="C112" s="265">
        <v>4</v>
      </c>
      <c r="D112" s="237"/>
      <c r="E112" s="266"/>
      <c r="F112" s="326"/>
    </row>
    <row r="113" spans="2:6" x14ac:dyDescent="0.25">
      <c r="B113" s="316"/>
      <c r="C113" s="265">
        <v>5</v>
      </c>
      <c r="D113" s="237"/>
      <c r="E113" s="266"/>
      <c r="F113" s="326"/>
    </row>
    <row r="114" spans="2:6" x14ac:dyDescent="0.25">
      <c r="B114" s="316"/>
      <c r="C114" s="265">
        <v>6</v>
      </c>
      <c r="D114" s="237"/>
      <c r="E114" s="266"/>
      <c r="F114" s="326"/>
    </row>
    <row r="115" spans="2:6" x14ac:dyDescent="0.25">
      <c r="B115" s="316"/>
      <c r="C115" s="265">
        <v>7</v>
      </c>
      <c r="D115" s="237"/>
      <c r="E115" s="266"/>
      <c r="F115" s="326"/>
    </row>
    <row r="116" spans="2:6" x14ac:dyDescent="0.25">
      <c r="B116" s="316"/>
      <c r="C116" s="265">
        <v>8</v>
      </c>
      <c r="D116" s="237"/>
      <c r="E116" s="266"/>
      <c r="F116" s="326"/>
    </row>
    <row r="117" spans="2:6" x14ac:dyDescent="0.25">
      <c r="B117" s="316"/>
      <c r="C117" s="265">
        <v>9</v>
      </c>
      <c r="D117" s="237"/>
      <c r="E117" s="266"/>
      <c r="F117" s="326"/>
    </row>
    <row r="118" spans="2:6" ht="13.8" thickBot="1" x14ac:dyDescent="0.3">
      <c r="B118" s="317"/>
      <c r="C118" s="267">
        <v>10</v>
      </c>
      <c r="D118" s="268"/>
      <c r="E118" s="269"/>
      <c r="F118" s="327"/>
    </row>
    <row r="119" spans="2:6" x14ac:dyDescent="0.25">
      <c r="B119" s="321" t="s">
        <v>283</v>
      </c>
      <c r="C119" s="262">
        <v>1</v>
      </c>
      <c r="D119" s="263"/>
      <c r="E119" s="270"/>
      <c r="F119" s="325">
        <f>SUM(E119:E128)</f>
        <v>0</v>
      </c>
    </row>
    <row r="120" spans="2:6" x14ac:dyDescent="0.25">
      <c r="B120" s="316"/>
      <c r="C120" s="265">
        <v>2</v>
      </c>
      <c r="D120" s="237"/>
      <c r="E120" s="266"/>
      <c r="F120" s="326"/>
    </row>
    <row r="121" spans="2:6" x14ac:dyDescent="0.25">
      <c r="B121" s="316"/>
      <c r="C121" s="265">
        <v>3</v>
      </c>
      <c r="D121" s="237"/>
      <c r="E121" s="266"/>
      <c r="F121" s="326"/>
    </row>
    <row r="122" spans="2:6" x14ac:dyDescent="0.25">
      <c r="B122" s="316"/>
      <c r="C122" s="265">
        <v>4</v>
      </c>
      <c r="D122" s="237"/>
      <c r="E122" s="266"/>
      <c r="F122" s="326"/>
    </row>
    <row r="123" spans="2:6" x14ac:dyDescent="0.25">
      <c r="B123" s="316"/>
      <c r="C123" s="265">
        <v>5</v>
      </c>
      <c r="D123" s="237"/>
      <c r="E123" s="266"/>
      <c r="F123" s="326"/>
    </row>
    <row r="124" spans="2:6" x14ac:dyDescent="0.25">
      <c r="B124" s="316"/>
      <c r="C124" s="265">
        <v>6</v>
      </c>
      <c r="D124" s="237"/>
      <c r="E124" s="266"/>
      <c r="F124" s="326"/>
    </row>
    <row r="125" spans="2:6" x14ac:dyDescent="0.25">
      <c r="B125" s="316"/>
      <c r="C125" s="265">
        <v>7</v>
      </c>
      <c r="D125" s="237"/>
      <c r="E125" s="266"/>
      <c r="F125" s="326"/>
    </row>
    <row r="126" spans="2:6" x14ac:dyDescent="0.25">
      <c r="B126" s="316"/>
      <c r="C126" s="265">
        <v>8</v>
      </c>
      <c r="D126" s="237"/>
      <c r="E126" s="266"/>
      <c r="F126" s="326"/>
    </row>
    <row r="127" spans="2:6" x14ac:dyDescent="0.25">
      <c r="B127" s="316"/>
      <c r="C127" s="265">
        <v>9</v>
      </c>
      <c r="D127" s="237"/>
      <c r="E127" s="266"/>
      <c r="F127" s="326"/>
    </row>
    <row r="128" spans="2:6" ht="13.8" thickBot="1" x14ac:dyDescent="0.3">
      <c r="B128" s="317"/>
      <c r="C128" s="267">
        <v>10</v>
      </c>
      <c r="D128" s="268"/>
      <c r="E128" s="269"/>
      <c r="F128" s="327"/>
    </row>
    <row r="129" spans="2:6" x14ac:dyDescent="0.25">
      <c r="B129" s="321" t="s">
        <v>284</v>
      </c>
      <c r="C129" s="262">
        <v>1</v>
      </c>
      <c r="D129" s="263"/>
      <c r="E129" s="270"/>
      <c r="F129" s="325">
        <f>SUM(E129:E131)</f>
        <v>0</v>
      </c>
    </row>
    <row r="130" spans="2:6" x14ac:dyDescent="0.25">
      <c r="B130" s="316"/>
      <c r="C130" s="265">
        <v>2</v>
      </c>
      <c r="D130" s="237"/>
      <c r="E130" s="266"/>
      <c r="F130" s="326"/>
    </row>
    <row r="131" spans="2:6" ht="13.8" thickBot="1" x14ac:dyDescent="0.3">
      <c r="B131" s="316"/>
      <c r="C131" s="265">
        <v>3</v>
      </c>
      <c r="D131" s="237"/>
      <c r="E131" s="266"/>
      <c r="F131" s="326"/>
    </row>
    <row r="132" spans="2:6" x14ac:dyDescent="0.25">
      <c r="B132" s="322" t="s">
        <v>285</v>
      </c>
      <c r="C132" s="271">
        <v>1</v>
      </c>
      <c r="D132" s="272"/>
      <c r="E132" s="273"/>
      <c r="F132" s="331">
        <f>SUM(E132:E140)</f>
        <v>0</v>
      </c>
    </row>
    <row r="133" spans="2:6" x14ac:dyDescent="0.25">
      <c r="B133" s="323"/>
      <c r="C133" s="274">
        <v>2</v>
      </c>
      <c r="D133" s="275"/>
      <c r="E133" s="276"/>
      <c r="F133" s="332"/>
    </row>
    <row r="134" spans="2:6" x14ac:dyDescent="0.25">
      <c r="B134" s="323"/>
      <c r="C134" s="274">
        <v>3</v>
      </c>
      <c r="D134" s="275"/>
      <c r="E134" s="276"/>
      <c r="F134" s="332"/>
    </row>
    <row r="135" spans="2:6" x14ac:dyDescent="0.25">
      <c r="B135" s="323"/>
      <c r="C135" s="274">
        <v>4</v>
      </c>
      <c r="D135" s="275"/>
      <c r="E135" s="276"/>
      <c r="F135" s="332"/>
    </row>
    <row r="136" spans="2:6" x14ac:dyDescent="0.25">
      <c r="B136" s="323"/>
      <c r="C136" s="274">
        <v>5</v>
      </c>
      <c r="D136" s="275"/>
      <c r="E136" s="276"/>
      <c r="F136" s="332"/>
    </row>
    <row r="137" spans="2:6" x14ac:dyDescent="0.25">
      <c r="B137" s="323"/>
      <c r="C137" s="274">
        <v>6</v>
      </c>
      <c r="D137" s="275"/>
      <c r="E137" s="276"/>
      <c r="F137" s="332"/>
    </row>
    <row r="138" spans="2:6" x14ac:dyDescent="0.25">
      <c r="B138" s="323"/>
      <c r="C138" s="274">
        <v>7</v>
      </c>
      <c r="D138" s="275"/>
      <c r="E138" s="276"/>
      <c r="F138" s="332"/>
    </row>
    <row r="139" spans="2:6" x14ac:dyDescent="0.25">
      <c r="B139" s="323"/>
      <c r="C139" s="231">
        <v>8</v>
      </c>
      <c r="D139" s="277"/>
      <c r="E139" s="278"/>
      <c r="F139" s="332"/>
    </row>
    <row r="140" spans="2:6" ht="13.8" thickBot="1" x14ac:dyDescent="0.3">
      <c r="B140" s="324"/>
      <c r="C140" s="279">
        <v>9</v>
      </c>
      <c r="D140" s="280"/>
      <c r="E140" s="281"/>
      <c r="F140" s="333"/>
    </row>
    <row r="141" spans="2:6" x14ac:dyDescent="0.25">
      <c r="B141" s="321" t="s">
        <v>286</v>
      </c>
      <c r="C141" s="282">
        <v>1</v>
      </c>
      <c r="D141" s="283"/>
      <c r="E141" s="284"/>
      <c r="F141" s="325">
        <f>SUM(E141:E150)</f>
        <v>0</v>
      </c>
    </row>
    <row r="142" spans="2:6" x14ac:dyDescent="0.25">
      <c r="B142" s="316"/>
      <c r="C142" s="265">
        <v>2</v>
      </c>
      <c r="D142" s="237"/>
      <c r="E142" s="266"/>
      <c r="F142" s="326"/>
    </row>
    <row r="143" spans="2:6" x14ac:dyDescent="0.25">
      <c r="B143" s="316"/>
      <c r="C143" s="265">
        <v>3</v>
      </c>
      <c r="D143" s="237"/>
      <c r="E143" s="266"/>
      <c r="F143" s="326"/>
    </row>
    <row r="144" spans="2:6" x14ac:dyDescent="0.25">
      <c r="B144" s="316"/>
      <c r="C144" s="265">
        <v>4</v>
      </c>
      <c r="D144" s="237"/>
      <c r="E144" s="266"/>
      <c r="F144" s="326"/>
    </row>
    <row r="145" spans="2:6" x14ac:dyDescent="0.25">
      <c r="B145" s="316"/>
      <c r="C145" s="265">
        <v>5</v>
      </c>
      <c r="D145" s="237"/>
      <c r="E145" s="266"/>
      <c r="F145" s="326"/>
    </row>
    <row r="146" spans="2:6" x14ac:dyDescent="0.25">
      <c r="B146" s="316"/>
      <c r="C146" s="265">
        <v>6</v>
      </c>
      <c r="D146" s="237"/>
      <c r="E146" s="266"/>
      <c r="F146" s="326"/>
    </row>
    <row r="147" spans="2:6" x14ac:dyDescent="0.25">
      <c r="B147" s="316"/>
      <c r="C147" s="265">
        <v>7</v>
      </c>
      <c r="D147" s="237"/>
      <c r="E147" s="266"/>
      <c r="F147" s="326"/>
    </row>
    <row r="148" spans="2:6" x14ac:dyDescent="0.25">
      <c r="B148" s="316"/>
      <c r="C148" s="265">
        <v>8</v>
      </c>
      <c r="D148" s="237"/>
      <c r="E148" s="266"/>
      <c r="F148" s="326"/>
    </row>
    <row r="149" spans="2:6" x14ac:dyDescent="0.25">
      <c r="B149" s="316"/>
      <c r="C149" s="265">
        <v>9</v>
      </c>
      <c r="D149" s="237"/>
      <c r="E149" s="266"/>
      <c r="F149" s="326"/>
    </row>
    <row r="150" spans="2:6" ht="13.8" thickBot="1" x14ac:dyDescent="0.3">
      <c r="B150" s="317"/>
      <c r="C150" s="285">
        <v>10</v>
      </c>
      <c r="D150" s="238"/>
      <c r="E150" s="286"/>
      <c r="F150" s="327"/>
    </row>
    <row r="151" spans="2:6" x14ac:dyDescent="0.25">
      <c r="B151" s="321" t="s">
        <v>287</v>
      </c>
      <c r="C151" s="287">
        <v>1</v>
      </c>
      <c r="D151" s="263"/>
      <c r="E151" s="288"/>
      <c r="F151" s="328">
        <f>SUM(E151:E160)</f>
        <v>0</v>
      </c>
    </row>
    <row r="152" spans="2:6" x14ac:dyDescent="0.25">
      <c r="B152" s="316"/>
      <c r="C152" s="289">
        <v>2</v>
      </c>
      <c r="D152" s="237"/>
      <c r="E152" s="290"/>
      <c r="F152" s="329"/>
    </row>
    <row r="153" spans="2:6" x14ac:dyDescent="0.25">
      <c r="B153" s="316"/>
      <c r="C153" s="289">
        <v>3</v>
      </c>
      <c r="D153" s="237"/>
      <c r="E153" s="290"/>
      <c r="F153" s="329"/>
    </row>
    <row r="154" spans="2:6" x14ac:dyDescent="0.25">
      <c r="B154" s="316"/>
      <c r="C154" s="289">
        <v>4</v>
      </c>
      <c r="D154" s="237"/>
      <c r="E154" s="290"/>
      <c r="F154" s="329"/>
    </row>
    <row r="155" spans="2:6" x14ac:dyDescent="0.25">
      <c r="B155" s="316"/>
      <c r="C155" s="289">
        <v>5</v>
      </c>
      <c r="D155" s="237"/>
      <c r="E155" s="290"/>
      <c r="F155" s="329"/>
    </row>
    <row r="156" spans="2:6" x14ac:dyDescent="0.25">
      <c r="B156" s="316"/>
      <c r="C156" s="289">
        <v>6</v>
      </c>
      <c r="D156" s="237"/>
      <c r="E156" s="290"/>
      <c r="F156" s="329"/>
    </row>
    <row r="157" spans="2:6" x14ac:dyDescent="0.25">
      <c r="B157" s="316"/>
      <c r="C157" s="289">
        <v>7</v>
      </c>
      <c r="D157" s="237"/>
      <c r="E157" s="290"/>
      <c r="F157" s="329"/>
    </row>
    <row r="158" spans="2:6" x14ac:dyDescent="0.25">
      <c r="B158" s="316"/>
      <c r="C158" s="289">
        <v>8</v>
      </c>
      <c r="D158" s="237"/>
      <c r="E158" s="290"/>
      <c r="F158" s="329"/>
    </row>
    <row r="159" spans="2:6" x14ac:dyDescent="0.25">
      <c r="B159" s="316"/>
      <c r="C159" s="289">
        <v>9</v>
      </c>
      <c r="D159" s="237"/>
      <c r="E159" s="290"/>
      <c r="F159" s="329"/>
    </row>
    <row r="160" spans="2:6" ht="13.8" thickBot="1" x14ac:dyDescent="0.3">
      <c r="B160" s="317"/>
      <c r="C160" s="291">
        <v>10</v>
      </c>
      <c r="D160" s="268"/>
      <c r="E160" s="292"/>
      <c r="F160" s="330"/>
    </row>
    <row r="161" spans="2:6" x14ac:dyDescent="0.25">
      <c r="B161" s="316" t="s">
        <v>288</v>
      </c>
      <c r="C161" s="287">
        <v>1</v>
      </c>
      <c r="D161" s="263"/>
      <c r="E161" s="270"/>
      <c r="F161" s="318">
        <f>SUM(E161:E170)</f>
        <v>0</v>
      </c>
    </row>
    <row r="162" spans="2:6" x14ac:dyDescent="0.25">
      <c r="B162" s="316"/>
      <c r="C162" s="289">
        <v>2</v>
      </c>
      <c r="D162" s="237"/>
      <c r="E162" s="266"/>
      <c r="F162" s="319"/>
    </row>
    <row r="163" spans="2:6" x14ac:dyDescent="0.25">
      <c r="B163" s="316"/>
      <c r="C163" s="289">
        <v>3</v>
      </c>
      <c r="D163" s="237"/>
      <c r="E163" s="266"/>
      <c r="F163" s="319"/>
    </row>
    <row r="164" spans="2:6" x14ac:dyDescent="0.25">
      <c r="B164" s="316"/>
      <c r="C164" s="289">
        <v>4</v>
      </c>
      <c r="D164" s="237"/>
      <c r="E164" s="266"/>
      <c r="F164" s="319"/>
    </row>
    <row r="165" spans="2:6" x14ac:dyDescent="0.25">
      <c r="B165" s="316"/>
      <c r="C165" s="289">
        <v>5</v>
      </c>
      <c r="D165" s="237"/>
      <c r="E165" s="266"/>
      <c r="F165" s="319"/>
    </row>
    <row r="166" spans="2:6" x14ac:dyDescent="0.25">
      <c r="B166" s="316"/>
      <c r="C166" s="289">
        <v>6</v>
      </c>
      <c r="D166" s="237"/>
      <c r="E166" s="266"/>
      <c r="F166" s="319"/>
    </row>
    <row r="167" spans="2:6" x14ac:dyDescent="0.25">
      <c r="B167" s="316"/>
      <c r="C167" s="289">
        <v>7</v>
      </c>
      <c r="D167" s="237"/>
      <c r="E167" s="266"/>
      <c r="F167" s="319"/>
    </row>
    <row r="168" spans="2:6" x14ac:dyDescent="0.25">
      <c r="B168" s="316"/>
      <c r="C168" s="289">
        <v>8</v>
      </c>
      <c r="D168" s="237"/>
      <c r="E168" s="266"/>
      <c r="F168" s="319"/>
    </row>
    <row r="169" spans="2:6" x14ac:dyDescent="0.25">
      <c r="B169" s="316"/>
      <c r="C169" s="289">
        <v>9</v>
      </c>
      <c r="D169" s="237"/>
      <c r="E169" s="266"/>
      <c r="F169" s="319"/>
    </row>
    <row r="170" spans="2:6" ht="13.8" thickBot="1" x14ac:dyDescent="0.3">
      <c r="B170" s="317"/>
      <c r="C170" s="291">
        <v>10</v>
      </c>
      <c r="D170" s="268"/>
      <c r="E170" s="269"/>
      <c r="F170" s="320"/>
    </row>
    <row r="171" spans="2:6" x14ac:dyDescent="0.25">
      <c r="B171" s="321" t="s">
        <v>289</v>
      </c>
      <c r="C171" s="282">
        <v>1</v>
      </c>
      <c r="D171" s="283"/>
      <c r="E171" s="284"/>
      <c r="F171" s="318">
        <f>SUM(E171:E179)</f>
        <v>0</v>
      </c>
    </row>
    <row r="172" spans="2:6" x14ac:dyDescent="0.25">
      <c r="B172" s="316"/>
      <c r="C172" s="265">
        <v>2</v>
      </c>
      <c r="D172" s="237"/>
      <c r="E172" s="266"/>
      <c r="F172" s="319"/>
    </row>
    <row r="173" spans="2:6" x14ac:dyDescent="0.25">
      <c r="B173" s="316"/>
      <c r="C173" s="265">
        <v>3</v>
      </c>
      <c r="D173" s="237"/>
      <c r="E173" s="266"/>
      <c r="F173" s="319"/>
    </row>
    <row r="174" spans="2:6" x14ac:dyDescent="0.25">
      <c r="B174" s="316"/>
      <c r="C174" s="265">
        <v>4</v>
      </c>
      <c r="D174" s="237"/>
      <c r="E174" s="266"/>
      <c r="F174" s="319"/>
    </row>
    <row r="175" spans="2:6" x14ac:dyDescent="0.25">
      <c r="B175" s="316"/>
      <c r="C175" s="265">
        <v>5</v>
      </c>
      <c r="D175" s="237"/>
      <c r="E175" s="266"/>
      <c r="F175" s="319"/>
    </row>
    <row r="176" spans="2:6" x14ac:dyDescent="0.25">
      <c r="B176" s="316"/>
      <c r="C176" s="265">
        <v>6</v>
      </c>
      <c r="D176" s="237"/>
      <c r="E176" s="266"/>
      <c r="F176" s="319"/>
    </row>
    <row r="177" spans="2:6" x14ac:dyDescent="0.25">
      <c r="B177" s="316"/>
      <c r="C177" s="265">
        <v>7</v>
      </c>
      <c r="D177" s="237"/>
      <c r="E177" s="266"/>
      <c r="F177" s="319"/>
    </row>
    <row r="178" spans="2:6" x14ac:dyDescent="0.25">
      <c r="B178" s="316"/>
      <c r="C178" s="265">
        <v>8</v>
      </c>
      <c r="D178" s="237"/>
      <c r="E178" s="266"/>
      <c r="F178" s="319"/>
    </row>
    <row r="179" spans="2:6" ht="13.8" thickBot="1" x14ac:dyDescent="0.3">
      <c r="B179" s="316"/>
      <c r="C179" s="285">
        <v>9</v>
      </c>
      <c r="D179" s="238"/>
      <c r="E179" s="286"/>
      <c r="F179" s="320"/>
    </row>
    <row r="180" spans="2:6" x14ac:dyDescent="0.25">
      <c r="B180" s="322" t="s">
        <v>110</v>
      </c>
      <c r="C180" s="271">
        <v>1</v>
      </c>
      <c r="D180" s="272"/>
      <c r="E180" s="293"/>
      <c r="F180" s="318">
        <f>SUM(E180:E189)</f>
        <v>0</v>
      </c>
    </row>
    <row r="181" spans="2:6" x14ac:dyDescent="0.25">
      <c r="B181" s="323"/>
      <c r="C181" s="231">
        <v>2</v>
      </c>
      <c r="D181" s="277"/>
      <c r="E181" s="294"/>
      <c r="F181" s="319"/>
    </row>
    <row r="182" spans="2:6" x14ac:dyDescent="0.25">
      <c r="B182" s="323"/>
      <c r="C182" s="231">
        <v>3</v>
      </c>
      <c r="D182" s="277"/>
      <c r="E182" s="294"/>
      <c r="F182" s="319"/>
    </row>
    <row r="183" spans="2:6" x14ac:dyDescent="0.25">
      <c r="B183" s="323"/>
      <c r="C183" s="231">
        <v>4</v>
      </c>
      <c r="D183" s="277"/>
      <c r="E183" s="294"/>
      <c r="F183" s="319"/>
    </row>
    <row r="184" spans="2:6" x14ac:dyDescent="0.25">
      <c r="B184" s="323"/>
      <c r="C184" s="231">
        <v>5</v>
      </c>
      <c r="D184" s="277"/>
      <c r="E184" s="294"/>
      <c r="F184" s="319"/>
    </row>
    <row r="185" spans="2:6" x14ac:dyDescent="0.25">
      <c r="B185" s="323"/>
      <c r="C185" s="231">
        <v>6</v>
      </c>
      <c r="D185" s="277"/>
      <c r="E185" s="294"/>
      <c r="F185" s="319"/>
    </row>
    <row r="186" spans="2:6" x14ac:dyDescent="0.25">
      <c r="B186" s="323"/>
      <c r="C186" s="231">
        <v>7</v>
      </c>
      <c r="D186" s="277"/>
      <c r="E186" s="294"/>
      <c r="F186" s="319"/>
    </row>
    <row r="187" spans="2:6" x14ac:dyDescent="0.25">
      <c r="B187" s="323"/>
      <c r="C187" s="231">
        <v>8</v>
      </c>
      <c r="D187" s="277"/>
      <c r="E187" s="294"/>
      <c r="F187" s="319"/>
    </row>
    <row r="188" spans="2:6" x14ac:dyDescent="0.25">
      <c r="B188" s="323"/>
      <c r="C188" s="231">
        <v>9</v>
      </c>
      <c r="D188" s="277"/>
      <c r="E188" s="294"/>
      <c r="F188" s="319"/>
    </row>
    <row r="189" spans="2:6" ht="13.8" thickBot="1" x14ac:dyDescent="0.3">
      <c r="B189" s="324"/>
      <c r="C189" s="279">
        <v>10</v>
      </c>
      <c r="D189" s="280"/>
      <c r="E189" s="295"/>
      <c r="F189" s="320"/>
    </row>
    <row r="190" spans="2:6" x14ac:dyDescent="0.25">
      <c r="B190" s="322" t="s">
        <v>290</v>
      </c>
      <c r="C190" s="271">
        <v>1</v>
      </c>
      <c r="D190" s="272"/>
      <c r="E190" s="293"/>
      <c r="F190" s="318">
        <f>SUM(E190:E199)</f>
        <v>0</v>
      </c>
    </row>
    <row r="191" spans="2:6" x14ac:dyDescent="0.25">
      <c r="B191" s="323"/>
      <c r="C191" s="231">
        <v>2</v>
      </c>
      <c r="D191" s="277"/>
      <c r="E191" s="294"/>
      <c r="F191" s="319"/>
    </row>
    <row r="192" spans="2:6" x14ac:dyDescent="0.25">
      <c r="B192" s="323"/>
      <c r="C192" s="231">
        <v>3</v>
      </c>
      <c r="D192" s="277"/>
      <c r="E192" s="294"/>
      <c r="F192" s="319"/>
    </row>
    <row r="193" spans="2:6" x14ac:dyDescent="0.25">
      <c r="B193" s="323"/>
      <c r="C193" s="231">
        <v>4</v>
      </c>
      <c r="D193" s="277"/>
      <c r="E193" s="294"/>
      <c r="F193" s="319"/>
    </row>
    <row r="194" spans="2:6" x14ac:dyDescent="0.25">
      <c r="B194" s="323"/>
      <c r="C194" s="231">
        <v>5</v>
      </c>
      <c r="D194" s="277"/>
      <c r="E194" s="294"/>
      <c r="F194" s="319"/>
    </row>
    <row r="195" spans="2:6" x14ac:dyDescent="0.25">
      <c r="B195" s="323"/>
      <c r="C195" s="231">
        <v>6</v>
      </c>
      <c r="D195" s="277"/>
      <c r="E195" s="294"/>
      <c r="F195" s="319"/>
    </row>
    <row r="196" spans="2:6" x14ac:dyDescent="0.25">
      <c r="B196" s="323"/>
      <c r="C196" s="231">
        <v>7</v>
      </c>
      <c r="D196" s="277"/>
      <c r="E196" s="294"/>
      <c r="F196" s="319"/>
    </row>
    <row r="197" spans="2:6" x14ac:dyDescent="0.25">
      <c r="B197" s="323"/>
      <c r="C197" s="231">
        <v>8</v>
      </c>
      <c r="D197" s="277"/>
      <c r="E197" s="294"/>
      <c r="F197" s="319"/>
    </row>
    <row r="198" spans="2:6" x14ac:dyDescent="0.25">
      <c r="B198" s="323"/>
      <c r="C198" s="231">
        <v>9</v>
      </c>
      <c r="D198" s="277"/>
      <c r="E198" s="294"/>
      <c r="F198" s="319"/>
    </row>
    <row r="199" spans="2:6" ht="13.8" thickBot="1" x14ac:dyDescent="0.3">
      <c r="B199" s="324"/>
      <c r="C199" s="279">
        <v>10</v>
      </c>
      <c r="D199" s="280"/>
      <c r="E199" s="295"/>
      <c r="F199" s="320"/>
    </row>
    <row r="200" spans="2:6" ht="13.8" thickBot="1" x14ac:dyDescent="0.3">
      <c r="B200" s="313" t="s">
        <v>291</v>
      </c>
      <c r="C200" s="314"/>
      <c r="D200" s="314"/>
      <c r="E200" s="315"/>
      <c r="F200" s="296">
        <f>SUM(F99:F199)</f>
        <v>0</v>
      </c>
    </row>
  </sheetData>
  <mergeCells count="31">
    <mergeCell ref="A25:A26"/>
    <mergeCell ref="B3:B8"/>
    <mergeCell ref="B10:B16"/>
    <mergeCell ref="O23:Q23"/>
    <mergeCell ref="B18:B21"/>
    <mergeCell ref="B23:B47"/>
    <mergeCell ref="B99:B108"/>
    <mergeCell ref="F99:F108"/>
    <mergeCell ref="B49:B94"/>
    <mergeCell ref="D49:D94"/>
    <mergeCell ref="B109:B118"/>
    <mergeCell ref="F109:F118"/>
    <mergeCell ref="B119:B128"/>
    <mergeCell ref="F119:F128"/>
    <mergeCell ref="B129:B131"/>
    <mergeCell ref="F129:F131"/>
    <mergeCell ref="B132:B140"/>
    <mergeCell ref="F132:F140"/>
    <mergeCell ref="B141:B150"/>
    <mergeCell ref="F141:F150"/>
    <mergeCell ref="B151:B160"/>
    <mergeCell ref="F151:F160"/>
    <mergeCell ref="B190:B199"/>
    <mergeCell ref="F190:F199"/>
    <mergeCell ref="B200:E200"/>
    <mergeCell ref="B161:B170"/>
    <mergeCell ref="F161:F170"/>
    <mergeCell ref="B171:B179"/>
    <mergeCell ref="F171:F179"/>
    <mergeCell ref="B180:B189"/>
    <mergeCell ref="F180:F189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14"/>
  <sheetViews>
    <sheetView view="pageBreakPreview" topLeftCell="A101" zoomScale="40" zoomScaleNormal="55" zoomScaleSheetLayoutView="40" workbookViewId="0">
      <selection activeCell="C70" sqref="C70"/>
    </sheetView>
  </sheetViews>
  <sheetFormatPr defaultColWidth="21.77734375" defaultRowHeight="25.8" x14ac:dyDescent="0.5"/>
  <cols>
    <col min="1" max="1" width="55.21875" style="2" customWidth="1"/>
    <col min="2" max="2" width="20.77734375" style="2" customWidth="1"/>
    <col min="3" max="3" width="27.77734375" style="2" customWidth="1"/>
    <col min="4" max="4" width="27.21875" style="2" customWidth="1"/>
    <col min="5" max="5" width="30.21875" style="2" customWidth="1"/>
    <col min="6" max="6" width="31" style="2" customWidth="1"/>
    <col min="7" max="16384" width="21.77734375" style="2"/>
  </cols>
  <sheetData>
    <row r="1" spans="1:15" x14ac:dyDescent="0.5">
      <c r="A1" s="350"/>
      <c r="B1" s="350"/>
      <c r="C1" s="350"/>
      <c r="D1" s="350"/>
      <c r="E1" s="350"/>
      <c r="F1" s="350"/>
    </row>
    <row r="2" spans="1:15" x14ac:dyDescent="0.5">
      <c r="A2" s="350"/>
      <c r="B2" s="350"/>
      <c r="C2" s="350"/>
      <c r="D2" s="350"/>
      <c r="E2" s="350"/>
      <c r="F2" s="350"/>
    </row>
    <row r="3" spans="1:15" ht="29.25" customHeight="1" x14ac:dyDescent="0.7">
      <c r="A3" s="351" t="s">
        <v>217</v>
      </c>
      <c r="B3" s="351"/>
      <c r="C3" s="351"/>
      <c r="D3" s="351"/>
      <c r="E3" s="351"/>
      <c r="F3" s="351"/>
      <c r="M3" s="360"/>
      <c r="N3" s="360"/>
      <c r="O3" s="360"/>
    </row>
    <row r="4" spans="1:15" ht="57" customHeight="1" x14ac:dyDescent="0.9">
      <c r="A4" s="361" t="s">
        <v>216</v>
      </c>
      <c r="B4" s="361"/>
      <c r="C4" s="361"/>
      <c r="D4" s="361"/>
      <c r="E4" s="361"/>
      <c r="F4" s="361"/>
      <c r="H4" s="126"/>
    </row>
    <row r="5" spans="1:15" ht="28.5" customHeight="1" x14ac:dyDescent="0.5">
      <c r="A5" s="352" t="s">
        <v>0</v>
      </c>
      <c r="B5" s="354" t="s">
        <v>36</v>
      </c>
      <c r="C5" s="89" t="str">
        <f>Assumptions.1!J18</f>
        <v xml:space="preserve">Audited </v>
      </c>
      <c r="D5" s="89" t="str">
        <f>Assumptions.1!J19</f>
        <v>Estimated</v>
      </c>
      <c r="E5" s="89" t="str">
        <f>Assumptions.1!J20</f>
        <v>Projected</v>
      </c>
      <c r="F5" s="89" t="str">
        <f>Assumptions.1!J21</f>
        <v>Projected</v>
      </c>
      <c r="H5"/>
    </row>
    <row r="6" spans="1:15" ht="37.5" customHeight="1" thickBot="1" x14ac:dyDescent="0.55000000000000004">
      <c r="A6" s="353"/>
      <c r="B6" s="355"/>
      <c r="C6" s="138">
        <f>Assumptions.1!I18</f>
        <v>0</v>
      </c>
      <c r="D6" s="138">
        <f>Assumptions.1!I19</f>
        <v>0</v>
      </c>
      <c r="E6" s="138">
        <f>Assumptions.1!I20</f>
        <v>0</v>
      </c>
      <c r="F6" s="138">
        <f>Assumptions.1!I21</f>
        <v>0</v>
      </c>
      <c r="G6" s="3"/>
    </row>
    <row r="7" spans="1:15" s="3" customFormat="1" ht="26.4" thickTop="1" x14ac:dyDescent="0.5">
      <c r="E7" s="4"/>
    </row>
    <row r="8" spans="1:15" s="3" customFormat="1" ht="30.6" x14ac:dyDescent="0.55000000000000004">
      <c r="A8" s="5" t="s">
        <v>145</v>
      </c>
      <c r="D8" s="141"/>
      <c r="E8" s="141"/>
      <c r="F8" s="141"/>
    </row>
    <row r="9" spans="1:15" s="3" customFormat="1" x14ac:dyDescent="0.5">
      <c r="A9" s="5"/>
      <c r="D9" s="4"/>
      <c r="E9" s="4"/>
    </row>
    <row r="10" spans="1:15" s="3" customFormat="1" ht="33" customHeight="1" x14ac:dyDescent="0.5">
      <c r="A10" s="2" t="s">
        <v>178</v>
      </c>
      <c r="B10" s="2"/>
      <c r="C10" s="6">
        <f>Assumptions.1!I23</f>
        <v>0</v>
      </c>
      <c r="D10" s="6" t="e">
        <f>Assumptions.1!I59</f>
        <v>#DIV/0!</v>
      </c>
      <c r="E10" s="2" t="e">
        <f>D10*Assumptions.1!I50</f>
        <v>#DIV/0!</v>
      </c>
      <c r="F10" s="2" t="e">
        <f>E10*Assumptions.1!I50</f>
        <v>#DIV/0!</v>
      </c>
    </row>
    <row r="11" spans="1:15" s="3" customFormat="1" ht="33" customHeight="1" x14ac:dyDescent="0.5">
      <c r="A11" s="2"/>
      <c r="B11" s="2"/>
      <c r="C11" s="6"/>
      <c r="D11" s="6"/>
      <c r="E11" s="6"/>
      <c r="F11" s="6"/>
    </row>
    <row r="12" spans="1:15" ht="38.25" customHeight="1" x14ac:dyDescent="0.5">
      <c r="C12" s="7">
        <f>SUM(C10:C11)</f>
        <v>0</v>
      </c>
      <c r="D12" s="7" t="e">
        <f>SUM(D10:D11)</f>
        <v>#DIV/0!</v>
      </c>
      <c r="E12" s="3" t="e">
        <f>SUM(E10:E11)</f>
        <v>#DIV/0!</v>
      </c>
      <c r="F12" s="3" t="e">
        <f>SUM(F10:F11)</f>
        <v>#DIV/0!</v>
      </c>
    </row>
    <row r="14" spans="1:15" x14ac:dyDescent="0.5">
      <c r="A14" s="5" t="s">
        <v>6</v>
      </c>
    </row>
    <row r="15" spans="1:15" x14ac:dyDescent="0.5">
      <c r="A15" s="5"/>
    </row>
    <row r="16" spans="1:15" ht="35.25" customHeight="1" x14ac:dyDescent="0.5">
      <c r="A16" s="2" t="s">
        <v>1</v>
      </c>
      <c r="B16" s="1"/>
      <c r="C16" s="50">
        <f>Assumptions.1!I24</f>
        <v>0</v>
      </c>
      <c r="D16" s="6">
        <f>C18</f>
        <v>0</v>
      </c>
      <c r="E16" s="2">
        <f>D18</f>
        <v>0</v>
      </c>
      <c r="F16" s="2">
        <f>E18</f>
        <v>0</v>
      </c>
    </row>
    <row r="17" spans="1:22" ht="37.5" customHeight="1" x14ac:dyDescent="0.5">
      <c r="A17" s="2" t="s">
        <v>96</v>
      </c>
      <c r="B17" s="1"/>
      <c r="C17" s="2">
        <f>Assumptions.1!I25</f>
        <v>0</v>
      </c>
      <c r="D17" s="6" t="e">
        <f>D19-D16+D18</f>
        <v>#DIV/0!</v>
      </c>
      <c r="E17" s="6" t="e">
        <f>E19-E16+E18</f>
        <v>#DIV/0!</v>
      </c>
      <c r="F17" s="6" t="e">
        <f>F19-F16+F18</f>
        <v>#DIV/0!</v>
      </c>
      <c r="L17"/>
      <c r="T17" s="6"/>
    </row>
    <row r="18" spans="1:22" ht="36" customHeight="1" x14ac:dyDescent="0.5">
      <c r="A18" s="2" t="s">
        <v>2</v>
      </c>
      <c r="B18" s="1"/>
      <c r="C18" s="2">
        <f>Assumptions.1!I26</f>
        <v>0</v>
      </c>
      <c r="D18" s="2">
        <f>Assumptions.1!I63</f>
        <v>0</v>
      </c>
      <c r="E18" s="6">
        <f>D18*Assumptions.1!I54</f>
        <v>0</v>
      </c>
      <c r="F18" s="6">
        <f>E18*Assumptions.1!I54</f>
        <v>0</v>
      </c>
    </row>
    <row r="19" spans="1:22" ht="39.75" customHeight="1" x14ac:dyDescent="0.5">
      <c r="A19" s="3" t="s">
        <v>66</v>
      </c>
      <c r="C19" s="3">
        <f>C16+C17-C18</f>
        <v>0</v>
      </c>
      <c r="D19" s="7" t="e">
        <f>D10-D21</f>
        <v>#DIV/0!</v>
      </c>
      <c r="E19" s="7" t="e">
        <f>E12-E21</f>
        <v>#DIV/0!</v>
      </c>
      <c r="F19" s="7" t="e">
        <f>F12-F21</f>
        <v>#DIV/0!</v>
      </c>
    </row>
    <row r="20" spans="1:22" ht="46.5" customHeight="1" x14ac:dyDescent="0.5">
      <c r="A20" s="5"/>
      <c r="C20" s="3"/>
      <c r="D20" s="6"/>
    </row>
    <row r="21" spans="1:22" s="3" customFormat="1" ht="55.5" customHeight="1" x14ac:dyDescent="0.5">
      <c r="A21" s="5" t="s">
        <v>179</v>
      </c>
      <c r="C21" s="7">
        <f>C12-C19</f>
        <v>0</v>
      </c>
      <c r="D21" s="7" t="e">
        <f>D10*Assumptions.1!I87</f>
        <v>#DIV/0!</v>
      </c>
      <c r="E21" s="7" t="e">
        <f>E10*Assumptions.1!I88</f>
        <v>#DIV/0!</v>
      </c>
      <c r="F21" s="7" t="e">
        <f>F10*Assumptions.1!I89</f>
        <v>#DIV/0!</v>
      </c>
      <c r="H21" s="82"/>
      <c r="I21" s="82"/>
      <c r="J21" s="82"/>
      <c r="K21" s="82"/>
      <c r="L21" s="82"/>
    </row>
    <row r="22" spans="1:22" s="3" customFormat="1" ht="40.5" customHeight="1" x14ac:dyDescent="0.5">
      <c r="A22" s="5"/>
      <c r="C22" s="135"/>
      <c r="D22" s="135"/>
      <c r="E22" s="135"/>
      <c r="F22" s="135"/>
    </row>
    <row r="23" spans="1:22" s="3" customFormat="1" ht="40.5" customHeight="1" x14ac:dyDescent="0.5">
      <c r="A23" s="2" t="s">
        <v>165</v>
      </c>
      <c r="B23" s="2"/>
      <c r="C23" s="7">
        <f>Assumptions.1!I27</f>
        <v>0</v>
      </c>
      <c r="D23" s="7">
        <f>C23*Assumptions.1!I52</f>
        <v>0</v>
      </c>
      <c r="E23" s="7">
        <f>D23*Assumptions.1!I52</f>
        <v>0</v>
      </c>
      <c r="F23" s="7">
        <f>E23*Assumptions.1!I52</f>
        <v>0</v>
      </c>
    </row>
    <row r="24" spans="1:22" s="3" customFormat="1" ht="40.5" customHeight="1" x14ac:dyDescent="0.5">
      <c r="A24" s="2"/>
      <c r="C24" s="7"/>
      <c r="D24" s="7"/>
      <c r="E24" s="7"/>
      <c r="F24" s="7"/>
      <c r="V24"/>
    </row>
    <row r="25" spans="1:22" ht="43.5" customHeight="1" x14ac:dyDescent="0.5">
      <c r="A25" s="2" t="s">
        <v>166</v>
      </c>
      <c r="B25" s="10"/>
      <c r="C25" s="2">
        <f>C91</f>
        <v>0</v>
      </c>
      <c r="D25" s="6" t="e">
        <f>D91</f>
        <v>#DIV/0!</v>
      </c>
      <c r="E25" s="6" t="e">
        <f>E91</f>
        <v>#DIV/0!</v>
      </c>
      <c r="F25" s="6" t="e">
        <f>F91</f>
        <v>#DIV/0!</v>
      </c>
      <c r="H25" s="86"/>
      <c r="I25" s="86"/>
      <c r="J25" s="86"/>
      <c r="K25" s="86"/>
      <c r="L25" s="86"/>
    </row>
    <row r="26" spans="1:22" ht="43.5" customHeight="1" x14ac:dyDescent="0.5">
      <c r="B26" s="10"/>
      <c r="H26" s="83"/>
      <c r="I26" s="83"/>
      <c r="J26" s="83"/>
      <c r="K26" s="83"/>
      <c r="L26" s="83"/>
    </row>
    <row r="27" spans="1:22" ht="43.5" customHeight="1" x14ac:dyDescent="0.5">
      <c r="A27" s="5" t="s">
        <v>180</v>
      </c>
      <c r="B27" s="10"/>
      <c r="C27" s="14">
        <f>C21+C23-C25</f>
        <v>0</v>
      </c>
      <c r="D27" s="14" t="e">
        <f>D21+D23-D25</f>
        <v>#DIV/0!</v>
      </c>
      <c r="E27" s="14" t="e">
        <f>E21+E23-E25</f>
        <v>#DIV/0!</v>
      </c>
      <c r="F27" s="14" t="e">
        <f>F21+F23-F25</f>
        <v>#DIV/0!</v>
      </c>
      <c r="H27" s="83"/>
      <c r="I27" s="83"/>
      <c r="J27" s="83"/>
      <c r="K27" s="83"/>
      <c r="L27" s="83"/>
    </row>
    <row r="28" spans="1:22" ht="31.5" customHeight="1" x14ac:dyDescent="0.5">
      <c r="A28" s="3"/>
      <c r="B28" s="10"/>
      <c r="H28" s="86"/>
      <c r="I28" s="86"/>
      <c r="J28" s="86"/>
      <c r="K28" s="86"/>
      <c r="L28" s="86"/>
    </row>
    <row r="29" spans="1:22" ht="43.5" customHeight="1" x14ac:dyDescent="0.5">
      <c r="A29" s="2" t="s">
        <v>181</v>
      </c>
      <c r="B29" s="10"/>
      <c r="C29" s="6">
        <f>Assumptions.1!I29</f>
        <v>0</v>
      </c>
      <c r="D29" s="6">
        <f>Depsch!M19</f>
        <v>0</v>
      </c>
      <c r="E29" s="6">
        <f>Depsch!M26</f>
        <v>0</v>
      </c>
      <c r="F29" s="6">
        <f>Depsch!M33</f>
        <v>0</v>
      </c>
      <c r="H29" s="83"/>
      <c r="I29" s="83"/>
      <c r="J29" s="83"/>
      <c r="K29" s="83"/>
      <c r="L29" s="83"/>
    </row>
    <row r="30" spans="1:22" ht="43.5" customHeight="1" x14ac:dyDescent="0.5">
      <c r="B30" s="10"/>
      <c r="C30" s="6"/>
      <c r="D30" s="6"/>
      <c r="E30" s="6"/>
      <c r="F30" s="6"/>
      <c r="H30" s="83"/>
      <c r="I30" s="83"/>
      <c r="J30" s="83"/>
      <c r="K30" s="83"/>
      <c r="L30" s="83"/>
    </row>
    <row r="31" spans="1:22" s="15" customFormat="1" ht="40.5" customHeight="1" x14ac:dyDescent="0.5">
      <c r="A31" s="5" t="s">
        <v>168</v>
      </c>
      <c r="C31" s="14">
        <f>C27-C29</f>
        <v>0</v>
      </c>
      <c r="D31" s="14" t="e">
        <f>D27-D29</f>
        <v>#DIV/0!</v>
      </c>
      <c r="E31" s="14" t="e">
        <f>E27-E29</f>
        <v>#DIV/0!</v>
      </c>
      <c r="F31" s="14" t="e">
        <f>F27-F29</f>
        <v>#DIV/0!</v>
      </c>
      <c r="H31" s="84"/>
      <c r="I31" s="84"/>
      <c r="J31" s="84"/>
      <c r="K31" s="84"/>
      <c r="L31" s="84"/>
    </row>
    <row r="32" spans="1:22" ht="31.5" customHeight="1" x14ac:dyDescent="0.5">
      <c r="A32" s="3"/>
      <c r="D32" s="6"/>
      <c r="E32" s="6"/>
      <c r="F32" s="6"/>
      <c r="H32" s="83"/>
      <c r="I32" s="83"/>
      <c r="J32" s="83"/>
      <c r="K32" s="83"/>
      <c r="L32" s="83"/>
    </row>
    <row r="33" spans="1:14" ht="40.5" customHeight="1" x14ac:dyDescent="0.5">
      <c r="A33" s="2" t="s">
        <v>167</v>
      </c>
      <c r="B33" s="10"/>
      <c r="C33" s="6">
        <f>C102</f>
        <v>0</v>
      </c>
      <c r="D33" s="6" t="e">
        <f>D102</f>
        <v>#DIV/0!</v>
      </c>
      <c r="E33" s="6" t="e">
        <f>E102</f>
        <v>#DIV/0!</v>
      </c>
      <c r="F33" s="6" t="e">
        <f>F102</f>
        <v>#DIV/0!</v>
      </c>
      <c r="H33" s="83"/>
      <c r="I33" s="83"/>
      <c r="J33" s="83"/>
      <c r="K33" s="83"/>
      <c r="L33" s="83"/>
    </row>
    <row r="34" spans="1:14" x14ac:dyDescent="0.5">
      <c r="H34" s="83"/>
      <c r="I34" s="83"/>
      <c r="J34" s="83"/>
      <c r="K34" s="83"/>
      <c r="L34" s="83"/>
    </row>
    <row r="35" spans="1:14" s="3" customFormat="1" ht="48" customHeight="1" x14ac:dyDescent="0.5">
      <c r="A35" s="8" t="s">
        <v>169</v>
      </c>
      <c r="B35" s="9"/>
      <c r="C35" s="13">
        <f>C31-C33</f>
        <v>0</v>
      </c>
      <c r="D35" s="13" t="e">
        <f>D31-D33</f>
        <v>#DIV/0!</v>
      </c>
      <c r="E35" s="13" t="e">
        <f>E31-E33</f>
        <v>#DIV/0!</v>
      </c>
      <c r="F35" s="13" t="e">
        <f>F31-F33</f>
        <v>#DIV/0!</v>
      </c>
      <c r="H35" s="85"/>
      <c r="I35" s="85"/>
      <c r="J35" s="85"/>
      <c r="K35" s="85"/>
      <c r="L35" s="85"/>
      <c r="M35" s="85"/>
    </row>
    <row r="36" spans="1:14" s="3" customFormat="1" ht="35.25" customHeight="1" thickBot="1" x14ac:dyDescent="0.55000000000000004">
      <c r="A36" s="8"/>
      <c r="B36" s="9"/>
    </row>
    <row r="37" spans="1:14" ht="26.4" thickBot="1" x14ac:dyDescent="0.55000000000000004">
      <c r="A37" s="11"/>
      <c r="B37" s="11"/>
      <c r="C37" s="357" t="s">
        <v>164</v>
      </c>
      <c r="D37" s="358"/>
      <c r="E37" s="358"/>
      <c r="F37" s="359"/>
    </row>
    <row r="38" spans="1:14" x14ac:dyDescent="0.5">
      <c r="C38" s="120"/>
      <c r="D38" s="120"/>
      <c r="E38" s="120"/>
      <c r="F38" s="120"/>
    </row>
    <row r="39" spans="1:14" ht="35.25" customHeight="1" x14ac:dyDescent="0.5">
      <c r="A39" s="350"/>
      <c r="B39" s="350"/>
      <c r="C39" s="350"/>
      <c r="D39" s="350"/>
      <c r="E39" s="350"/>
      <c r="F39" s="350"/>
    </row>
    <row r="40" spans="1:14" ht="39" customHeight="1" x14ac:dyDescent="0.5">
      <c r="A40" s="350"/>
      <c r="B40" s="350"/>
      <c r="C40" s="350"/>
      <c r="D40" s="350"/>
      <c r="E40" s="350"/>
      <c r="F40" s="350"/>
    </row>
    <row r="41" spans="1:14" ht="44.25" customHeight="1" x14ac:dyDescent="0.5">
      <c r="A41" s="356" t="str">
        <f>A3</f>
        <v>STEP 2 : BACK GROUND CALCULATION . NOT TO BE VISIBLE TO CUSTOMER</v>
      </c>
      <c r="B41" s="356"/>
      <c r="C41" s="356"/>
      <c r="D41" s="356"/>
      <c r="E41" s="356"/>
      <c r="F41" s="356"/>
    </row>
    <row r="42" spans="1:14" ht="44.25" customHeight="1" x14ac:dyDescent="0.7">
      <c r="A42" s="1"/>
      <c r="B42" s="1"/>
      <c r="C42" s="1"/>
      <c r="D42" s="1"/>
      <c r="E42" s="1"/>
      <c r="F42" s="1"/>
      <c r="N42" s="107"/>
    </row>
    <row r="43" spans="1:14" ht="48.75" customHeight="1" x14ac:dyDescent="0.9">
      <c r="A43" s="361" t="s">
        <v>218</v>
      </c>
      <c r="B43" s="361"/>
      <c r="C43" s="361"/>
      <c r="D43" s="361"/>
      <c r="E43" s="361"/>
      <c r="F43" s="361"/>
      <c r="H43" s="126"/>
    </row>
    <row r="44" spans="1:14" ht="30.75" customHeight="1" x14ac:dyDescent="0.5">
      <c r="A44" s="354" t="s">
        <v>23</v>
      </c>
      <c r="B44" s="354" t="s">
        <v>36</v>
      </c>
      <c r="C44" s="89" t="str">
        <f t="shared" ref="C44:F45" si="0">C5</f>
        <v xml:space="preserve">Audited </v>
      </c>
      <c r="D44" s="89" t="str">
        <f t="shared" si="0"/>
        <v>Estimated</v>
      </c>
      <c r="E44" s="89" t="str">
        <f t="shared" si="0"/>
        <v>Projected</v>
      </c>
      <c r="F44" s="89" t="str">
        <f t="shared" si="0"/>
        <v>Projected</v>
      </c>
    </row>
    <row r="45" spans="1:14" ht="30.75" customHeight="1" thickBot="1" x14ac:dyDescent="0.55000000000000004">
      <c r="A45" s="355"/>
      <c r="B45" s="355"/>
      <c r="C45" s="138">
        <f t="shared" si="0"/>
        <v>0</v>
      </c>
      <c r="D45" s="138">
        <f t="shared" si="0"/>
        <v>0</v>
      </c>
      <c r="E45" s="138">
        <f t="shared" si="0"/>
        <v>0</v>
      </c>
      <c r="F45" s="138">
        <f t="shared" si="0"/>
        <v>0</v>
      </c>
      <c r="H45"/>
    </row>
    <row r="46" spans="1:14" ht="33.75" customHeight="1" thickTop="1" x14ac:dyDescent="0.5">
      <c r="A46" s="43" t="s">
        <v>8</v>
      </c>
    </row>
    <row r="47" spans="1:14" ht="30.6" x14ac:dyDescent="0.55000000000000004">
      <c r="D47" s="141"/>
      <c r="E47" s="141"/>
      <c r="F47" s="141"/>
    </row>
    <row r="48" spans="1:14" ht="42.75" customHeight="1" x14ac:dyDescent="0.5">
      <c r="A48" s="2" t="s">
        <v>78</v>
      </c>
      <c r="C48" s="6">
        <f>Assumptions.1!I37</f>
        <v>0</v>
      </c>
      <c r="D48" s="53" t="e">
        <f>D59-SUM(D50:D57)</f>
        <v>#DIV/0!</v>
      </c>
      <c r="E48" s="53" t="e">
        <f>E59-SUM(E50:E57)</f>
        <v>#DIV/0!</v>
      </c>
      <c r="F48" s="53" t="e">
        <f>F59-SUM(F50:F57)</f>
        <v>#DIV/0!</v>
      </c>
      <c r="G48" s="6"/>
      <c r="H48" s="6"/>
    </row>
    <row r="49" spans="1:10" ht="42.75" customHeight="1" x14ac:dyDescent="0.5">
      <c r="A49" s="56" t="s">
        <v>79</v>
      </c>
      <c r="B49" s="54"/>
      <c r="J49"/>
    </row>
    <row r="50" spans="1:10" ht="42.75" customHeight="1" x14ac:dyDescent="0.5">
      <c r="A50" s="3" t="s">
        <v>77</v>
      </c>
      <c r="B50" s="54"/>
    </row>
    <row r="51" spans="1:10" ht="39" customHeight="1" x14ac:dyDescent="0.5">
      <c r="A51" s="2" t="s">
        <v>137</v>
      </c>
      <c r="C51" s="50">
        <f>Assumptions.1!I38</f>
        <v>0</v>
      </c>
      <c r="D51" s="6">
        <f>C51-Assumptions.1!I67</f>
        <v>0</v>
      </c>
      <c r="E51" s="6">
        <f>D51-Assumptions.1!I67</f>
        <v>0</v>
      </c>
      <c r="F51" s="6">
        <f>E51-Assumptions.1!I67</f>
        <v>0</v>
      </c>
    </row>
    <row r="52" spans="1:10" ht="42.75" customHeight="1" x14ac:dyDescent="0.5">
      <c r="B52" s="54"/>
      <c r="C52" s="48"/>
      <c r="D52" s="48"/>
      <c r="E52" s="48"/>
      <c r="F52" s="48"/>
    </row>
    <row r="53" spans="1:10" ht="36.75" customHeight="1" x14ac:dyDescent="0.5"/>
    <row r="54" spans="1:10" ht="42.75" customHeight="1" x14ac:dyDescent="0.5">
      <c r="A54" s="3" t="s">
        <v>84</v>
      </c>
      <c r="B54" s="1"/>
    </row>
    <row r="55" spans="1:10" ht="42.75" customHeight="1" x14ac:dyDescent="0.5">
      <c r="A55" s="2" t="s">
        <v>144</v>
      </c>
      <c r="B55" s="54"/>
      <c r="C55" s="48">
        <f>Assumptions.1!I39</f>
        <v>0</v>
      </c>
      <c r="D55" s="48" t="e">
        <f>IF(D114&lt;D109,D114,D109)</f>
        <v>#DIV/0!</v>
      </c>
      <c r="E55" s="48" t="e">
        <f>IF(E114&lt;E109,E114,E109)</f>
        <v>#DIV/0!</v>
      </c>
      <c r="F55" s="48" t="e">
        <f>IF(F114&lt;F109,F114,F109)</f>
        <v>#DIV/0!</v>
      </c>
      <c r="G55" s="48"/>
    </row>
    <row r="56" spans="1:10" ht="51" customHeight="1" x14ac:dyDescent="0.5">
      <c r="A56" s="2" t="s">
        <v>139</v>
      </c>
      <c r="C56" s="2">
        <f>Assumptions.1!I40</f>
        <v>0</v>
      </c>
      <c r="D56" s="6">
        <v>0</v>
      </c>
      <c r="E56" s="6">
        <v>0</v>
      </c>
      <c r="F56" s="6">
        <v>0</v>
      </c>
    </row>
    <row r="57" spans="1:10" ht="45" customHeight="1" x14ac:dyDescent="0.5">
      <c r="B57" s="54"/>
      <c r="C57" s="6"/>
      <c r="D57" s="6"/>
      <c r="E57" s="6"/>
      <c r="F57" s="6"/>
    </row>
    <row r="58" spans="1:10" ht="48.75" customHeight="1" x14ac:dyDescent="0.55000000000000004">
      <c r="A58" s="3"/>
      <c r="B58" s="54"/>
      <c r="I58" s="132"/>
    </row>
    <row r="59" spans="1:10" ht="47.25" customHeight="1" thickBot="1" x14ac:dyDescent="0.55000000000000004">
      <c r="C59" s="12">
        <f>SUM(C48:C57)</f>
        <v>0</v>
      </c>
      <c r="D59" s="12" t="e">
        <f>D74</f>
        <v>#DIV/0!</v>
      </c>
      <c r="E59" s="12" t="e">
        <f>E74</f>
        <v>#DIV/0!</v>
      </c>
      <c r="F59" s="12" t="e">
        <f>F74</f>
        <v>#DIV/0!</v>
      </c>
    </row>
    <row r="60" spans="1:10" ht="47.25" customHeight="1" thickTop="1" thickBot="1" x14ac:dyDescent="0.55000000000000004">
      <c r="C60" s="7"/>
      <c r="D60" s="7"/>
      <c r="E60" s="7"/>
      <c r="F60" s="7"/>
    </row>
    <row r="61" spans="1:10" ht="26.4" thickBot="1" x14ac:dyDescent="0.55000000000000004">
      <c r="C61" s="357" t="s">
        <v>164</v>
      </c>
      <c r="D61" s="358"/>
      <c r="E61" s="358"/>
      <c r="F61" s="359"/>
    </row>
    <row r="62" spans="1:10" ht="36.75" customHeight="1" x14ac:dyDescent="0.5">
      <c r="A62" s="43" t="s">
        <v>9</v>
      </c>
    </row>
    <row r="63" spans="1:10" ht="36.75" customHeight="1" x14ac:dyDescent="0.5">
      <c r="A63" s="5"/>
    </row>
    <row r="64" spans="1:10" ht="36.75" customHeight="1" x14ac:dyDescent="0.5">
      <c r="A64" s="3" t="s">
        <v>80</v>
      </c>
      <c r="C64" s="6">
        <f>Assumptions.1!I41</f>
        <v>0</v>
      </c>
      <c r="D64" s="6">
        <f>Depsch!M20</f>
        <v>0</v>
      </c>
      <c r="E64" s="6">
        <f>Depsch!M27</f>
        <v>0</v>
      </c>
      <c r="F64" s="6">
        <f>Depsch!M34</f>
        <v>0</v>
      </c>
      <c r="G64" s="6"/>
    </row>
    <row r="65" spans="1:14" ht="31.5" customHeight="1" x14ac:dyDescent="0.5">
      <c r="C65" s="6"/>
      <c r="D65" s="6"/>
      <c r="E65" s="6"/>
      <c r="F65" s="6"/>
    </row>
    <row r="66" spans="1:14" ht="31.5" customHeight="1" x14ac:dyDescent="0.5">
      <c r="A66" s="3" t="s">
        <v>140</v>
      </c>
      <c r="C66" s="2">
        <f>Assumptions.1!I44</f>
        <v>0</v>
      </c>
      <c r="D66" s="2">
        <f>C66</f>
        <v>0</v>
      </c>
      <c r="E66" s="2">
        <f>D66</f>
        <v>0</v>
      </c>
      <c r="F66" s="2">
        <f>E66</f>
        <v>0</v>
      </c>
    </row>
    <row r="67" spans="1:14" ht="31.5" customHeight="1" x14ac:dyDescent="0.5">
      <c r="C67" s="6"/>
      <c r="D67" s="6"/>
      <c r="E67" s="6"/>
      <c r="F67" s="6"/>
    </row>
    <row r="68" spans="1:14" ht="42.75" customHeight="1" x14ac:dyDescent="0.5">
      <c r="A68" s="3" t="s">
        <v>81</v>
      </c>
      <c r="B68" s="54"/>
    </row>
    <row r="69" spans="1:14" ht="42.75" customHeight="1" x14ac:dyDescent="0.5">
      <c r="A69" s="2" t="s">
        <v>141</v>
      </c>
      <c r="C69" s="2">
        <f>Assumptions.1!I47</f>
        <v>0</v>
      </c>
      <c r="D69" s="2">
        <v>0</v>
      </c>
      <c r="E69" s="2">
        <v>0</v>
      </c>
      <c r="F69" s="2">
        <v>0</v>
      </c>
    </row>
    <row r="70" spans="1:14" ht="42.75" customHeight="1" x14ac:dyDescent="0.55000000000000004">
      <c r="A70" s="2" t="str">
        <f>A18</f>
        <v>Closing Stock</v>
      </c>
      <c r="B70" s="54"/>
      <c r="C70" s="2">
        <f>C18</f>
        <v>0</v>
      </c>
      <c r="D70" s="2">
        <f>D18</f>
        <v>0</v>
      </c>
      <c r="E70" s="6">
        <f>E18</f>
        <v>0</v>
      </c>
      <c r="F70" s="6">
        <f>F18</f>
        <v>0</v>
      </c>
      <c r="I70" s="132"/>
    </row>
    <row r="71" spans="1:14" ht="44.25" customHeight="1" x14ac:dyDescent="0.5">
      <c r="A71" s="2" t="s">
        <v>4</v>
      </c>
      <c r="C71" s="2">
        <f>Assumptions.1!I45</f>
        <v>0</v>
      </c>
      <c r="D71" s="6" t="e">
        <f>D10*Assumptions.1!I92/365</f>
        <v>#DIV/0!</v>
      </c>
      <c r="E71" s="6" t="e">
        <f>E10*Assumptions.1!I93/365</f>
        <v>#DIV/0!</v>
      </c>
      <c r="F71" s="6" t="e">
        <f>F10*Assumptions.1!I94/365</f>
        <v>#DIV/0!</v>
      </c>
      <c r="G71" s="6"/>
    </row>
    <row r="72" spans="1:14" ht="39" customHeight="1" x14ac:dyDescent="0.5">
      <c r="A72" s="2" t="s">
        <v>65</v>
      </c>
      <c r="C72" s="2">
        <f>Assumptions.1!I46</f>
        <v>0</v>
      </c>
      <c r="D72" s="2" t="e">
        <f>D55*Assumptions.1!I82</f>
        <v>#DIV/0!</v>
      </c>
      <c r="E72" s="2" t="e">
        <f>E55*Assumptions.1!I83</f>
        <v>#DIV/0!</v>
      </c>
      <c r="F72" s="6" t="e">
        <f>F55*Assumptions.1!I84</f>
        <v>#DIV/0!</v>
      </c>
    </row>
    <row r="73" spans="1:14" ht="39" customHeight="1" x14ac:dyDescent="0.5"/>
    <row r="74" spans="1:14" ht="53.25" customHeight="1" thickBot="1" x14ac:dyDescent="0.55000000000000004">
      <c r="C74" s="12">
        <f>SUM(C64:C72)</f>
        <v>0</v>
      </c>
      <c r="D74" s="12" t="e">
        <f>SUM(D63:D73)</f>
        <v>#DIV/0!</v>
      </c>
      <c r="E74" s="12" t="e">
        <f>SUM(E63:E73)</f>
        <v>#DIV/0!</v>
      </c>
      <c r="F74" s="12" t="e">
        <f>SUM(F63:F73)</f>
        <v>#DIV/0!</v>
      </c>
    </row>
    <row r="75" spans="1:14" ht="30.75" customHeight="1" thickTop="1" x14ac:dyDescent="0.5">
      <c r="C75" s="7">
        <f>C59-C74</f>
        <v>0</v>
      </c>
      <c r="D75" s="7" t="e">
        <f>D59-D74</f>
        <v>#DIV/0!</v>
      </c>
      <c r="E75" s="7" t="e">
        <f>E59-E74</f>
        <v>#DIV/0!</v>
      </c>
      <c r="F75" s="7" t="e">
        <f>F59-F74</f>
        <v>#DIV/0!</v>
      </c>
    </row>
    <row r="76" spans="1:14" ht="30.75" customHeight="1" thickBot="1" x14ac:dyDescent="0.55000000000000004">
      <c r="C76" s="7"/>
      <c r="D76" s="7"/>
      <c r="E76" s="7"/>
      <c r="F76" s="7"/>
    </row>
    <row r="77" spans="1:14" ht="53.25" customHeight="1" thickBot="1" x14ac:dyDescent="0.6">
      <c r="C77" s="357" t="s">
        <v>164</v>
      </c>
      <c r="D77" s="358"/>
      <c r="E77" s="358"/>
      <c r="F77" s="359"/>
      <c r="I77" s="132"/>
      <c r="J77" s="132"/>
      <c r="K77" s="132"/>
      <c r="L77" s="132"/>
      <c r="M77" s="132"/>
      <c r="N77" s="133"/>
    </row>
    <row r="78" spans="1:14" ht="51.75" customHeight="1" x14ac:dyDescent="0.55000000000000004">
      <c r="A78" s="356" t="str">
        <f>A41</f>
        <v>STEP 2 : BACK GROUND CALCULATION . NOT TO BE VISIBLE TO CUSTOMER</v>
      </c>
      <c r="B78" s="356"/>
      <c r="C78" s="356"/>
      <c r="D78" s="356"/>
      <c r="E78" s="356"/>
      <c r="F78" s="356"/>
      <c r="I78" s="132"/>
      <c r="J78" s="132"/>
      <c r="K78" s="132"/>
      <c r="L78" s="132"/>
      <c r="M78" s="132"/>
      <c r="N78" s="133"/>
    </row>
    <row r="79" spans="1:14" ht="30" customHeight="1" x14ac:dyDescent="0.55000000000000004">
      <c r="A79" s="362" t="s">
        <v>219</v>
      </c>
      <c r="B79" s="362"/>
      <c r="C79" s="362"/>
      <c r="D79" s="362"/>
      <c r="E79" s="362"/>
      <c r="F79" s="362"/>
      <c r="H79" s="132"/>
      <c r="I79" s="132"/>
      <c r="J79" s="132"/>
      <c r="K79" s="132"/>
      <c r="L79" s="132"/>
      <c r="M79" s="132"/>
      <c r="N79" s="133"/>
    </row>
    <row r="80" spans="1:14" ht="95.25" customHeight="1" thickBot="1" x14ac:dyDescent="0.55000000000000004">
      <c r="A80" s="57"/>
      <c r="B80" s="57"/>
      <c r="C80" s="58">
        <f>C45</f>
        <v>0</v>
      </c>
      <c r="D80" s="58">
        <f>D45</f>
        <v>0</v>
      </c>
      <c r="E80" s="58">
        <f>E45</f>
        <v>0</v>
      </c>
      <c r="F80" s="58">
        <f>F45</f>
        <v>0</v>
      </c>
    </row>
    <row r="81" spans="1:12" ht="26.4" thickTop="1" x14ac:dyDescent="0.5"/>
    <row r="82" spans="1:12" x14ac:dyDescent="0.5">
      <c r="G82" s="6"/>
    </row>
    <row r="83" spans="1:12" x14ac:dyDescent="0.5">
      <c r="A83" s="2" t="s">
        <v>163</v>
      </c>
      <c r="C83" s="2">
        <f>Assumptions.1!I30</f>
        <v>0</v>
      </c>
      <c r="D83" s="6">
        <f>C83</f>
        <v>0</v>
      </c>
      <c r="E83" s="6">
        <f>D83</f>
        <v>0</v>
      </c>
      <c r="F83" s="6">
        <f>E83</f>
        <v>0</v>
      </c>
      <c r="G83" s="6"/>
    </row>
    <row r="84" spans="1:12" ht="35.25" customHeight="1" x14ac:dyDescent="0.5">
      <c r="A84" s="2" t="s">
        <v>70</v>
      </c>
      <c r="C84" s="2">
        <f>Assumptions.1!I31</f>
        <v>0</v>
      </c>
      <c r="D84" s="6" t="e">
        <f>C84*D10/C10</f>
        <v>#DIV/0!</v>
      </c>
      <c r="E84" s="6" t="e">
        <f>D84*E10/D10</f>
        <v>#DIV/0!</v>
      </c>
      <c r="F84" s="6" t="e">
        <f>E84*F10/E10</f>
        <v>#DIV/0!</v>
      </c>
      <c r="I84" s="6"/>
      <c r="J84" s="6"/>
      <c r="K84" s="6"/>
      <c r="L84" s="6"/>
    </row>
    <row r="85" spans="1:12" ht="35.25" customHeight="1" x14ac:dyDescent="0.5">
      <c r="A85" s="2" t="s">
        <v>69</v>
      </c>
      <c r="C85" s="2">
        <f>Assumptions.1!I28</f>
        <v>0</v>
      </c>
      <c r="D85" s="6" t="e">
        <f>C85*D10/C10</f>
        <v>#DIV/0!</v>
      </c>
      <c r="E85" s="6" t="e">
        <f>D85*E10/D10</f>
        <v>#DIV/0!</v>
      </c>
      <c r="F85" s="6" t="e">
        <f>E85*F10/E10</f>
        <v>#DIV/0!</v>
      </c>
      <c r="I85" s="6"/>
      <c r="J85" s="6"/>
      <c r="K85" s="6"/>
      <c r="L85" s="6"/>
    </row>
    <row r="86" spans="1:12" ht="35.25" customHeight="1" x14ac:dyDescent="0.5">
      <c r="A86" s="2" t="s">
        <v>76</v>
      </c>
      <c r="C86" s="2">
        <f>Assumptions.1!I32</f>
        <v>0</v>
      </c>
      <c r="D86" s="6">
        <f>Assumptions.1!I12*Assumptions.1!I15</f>
        <v>0</v>
      </c>
      <c r="E86" s="6">
        <f>D86</f>
        <v>0</v>
      </c>
      <c r="F86" s="6">
        <f>E86</f>
        <v>0</v>
      </c>
      <c r="I86" s="6"/>
      <c r="J86" s="6"/>
      <c r="K86" s="6"/>
      <c r="L86" s="6"/>
    </row>
    <row r="87" spans="1:12" ht="41.25" customHeight="1" x14ac:dyDescent="0.5">
      <c r="A87" s="2" t="s">
        <v>162</v>
      </c>
      <c r="C87" s="2">
        <f>Assumptions.1!I36</f>
        <v>0</v>
      </c>
      <c r="D87" s="6" t="e">
        <f>C87*D10/C10</f>
        <v>#DIV/0!</v>
      </c>
      <c r="E87" s="6" t="e">
        <f>D87*E10/D10</f>
        <v>#DIV/0!</v>
      </c>
      <c r="F87" s="6" t="e">
        <f>E87*F10/E10</f>
        <v>#DIV/0!</v>
      </c>
      <c r="I87" s="87"/>
      <c r="J87" s="87"/>
      <c r="K87" s="87"/>
    </row>
    <row r="88" spans="1:12" ht="27.75" customHeight="1" x14ac:dyDescent="0.5">
      <c r="D88" s="6"/>
      <c r="E88" s="6"/>
      <c r="F88" s="6"/>
    </row>
    <row r="89" spans="1:12" ht="27.75" customHeight="1" x14ac:dyDescent="0.5">
      <c r="E89" s="6"/>
      <c r="F89" s="6"/>
    </row>
    <row r="91" spans="1:12" ht="50.25" customHeight="1" x14ac:dyDescent="0.5">
      <c r="C91" s="51">
        <f>SUM(C82:C89)</f>
        <v>0</v>
      </c>
      <c r="D91" s="51" t="e">
        <f>SUM(D82:D89)</f>
        <v>#DIV/0!</v>
      </c>
      <c r="E91" s="51" t="e">
        <f>SUM(E82:E89)</f>
        <v>#DIV/0!</v>
      </c>
      <c r="F91" s="51" t="e">
        <f>SUM(F82:F89)</f>
        <v>#DIV/0!</v>
      </c>
    </row>
    <row r="92" spans="1:12" ht="50.25" customHeight="1" thickBot="1" x14ac:dyDescent="0.55000000000000004">
      <c r="C92" s="3"/>
      <c r="D92" s="7"/>
      <c r="E92" s="7"/>
      <c r="F92" s="7"/>
    </row>
    <row r="93" spans="1:12" ht="34.5" customHeight="1" thickBot="1" x14ac:dyDescent="0.55000000000000004">
      <c r="C93" s="357" t="s">
        <v>164</v>
      </c>
      <c r="D93" s="358"/>
      <c r="E93" s="358"/>
      <c r="F93" s="359"/>
      <c r="I93" s="6"/>
    </row>
    <row r="94" spans="1:12" ht="34.5" customHeight="1" x14ac:dyDescent="0.5">
      <c r="A94" s="356" t="str">
        <f>A78</f>
        <v>STEP 2 : BACK GROUND CALCULATION . NOT TO BE VISIBLE TO CUSTOMER</v>
      </c>
      <c r="B94" s="356"/>
      <c r="C94" s="356"/>
      <c r="D94" s="356"/>
      <c r="E94" s="356"/>
      <c r="F94" s="356"/>
      <c r="I94" s="6"/>
    </row>
    <row r="95" spans="1:12" ht="40.5" customHeight="1" x14ac:dyDescent="0.5">
      <c r="A95" s="362" t="s">
        <v>220</v>
      </c>
      <c r="B95" s="362"/>
      <c r="C95" s="362"/>
      <c r="D95" s="362"/>
      <c r="E95" s="362"/>
      <c r="F95" s="362"/>
    </row>
    <row r="96" spans="1:12" ht="98.25" customHeight="1" thickBot="1" x14ac:dyDescent="0.55000000000000004">
      <c r="A96" s="57"/>
      <c r="B96" s="57"/>
      <c r="C96" s="58">
        <f>C80</f>
        <v>0</v>
      </c>
      <c r="D96" s="58">
        <f>D80</f>
        <v>0</v>
      </c>
      <c r="E96" s="58">
        <f>E80</f>
        <v>0</v>
      </c>
      <c r="F96" s="58">
        <f>F80</f>
        <v>0</v>
      </c>
    </row>
    <row r="97" spans="1:6" ht="32.25" customHeight="1" thickTop="1" x14ac:dyDescent="0.5">
      <c r="C97" s="4"/>
      <c r="D97" s="4"/>
      <c r="E97" s="4"/>
      <c r="F97" s="4"/>
    </row>
    <row r="98" spans="1:6" ht="33" customHeight="1" x14ac:dyDescent="0.5">
      <c r="A98" s="2" t="s">
        <v>136</v>
      </c>
      <c r="C98" s="48">
        <f>Assumptions.1!I34</f>
        <v>0</v>
      </c>
      <c r="D98" s="6" t="e">
        <f>C98*D51/C51</f>
        <v>#DIV/0!</v>
      </c>
      <c r="E98" s="6">
        <f>IF(D51=0,0,D98*E51/D51)</f>
        <v>0</v>
      </c>
      <c r="F98" s="6">
        <f>IF(E51=0,0,E98*F51/E51)</f>
        <v>0</v>
      </c>
    </row>
    <row r="99" spans="1:6" ht="33" customHeight="1" x14ac:dyDescent="0.5">
      <c r="A99" s="2" t="s">
        <v>75</v>
      </c>
      <c r="C99" s="48">
        <f>Assumptions.1!I33</f>
        <v>0</v>
      </c>
      <c r="D99" s="6" t="e">
        <f>Assumptions.1!I14*wp!D55</f>
        <v>#DIV/0!</v>
      </c>
      <c r="E99" s="6" t="e">
        <f>D99*Assumptions.1!I51</f>
        <v>#DIV/0!</v>
      </c>
      <c r="F99" s="6" t="e">
        <f>E99*Assumptions.1!I51</f>
        <v>#DIV/0!</v>
      </c>
    </row>
    <row r="100" spans="1:6" ht="33" customHeight="1" x14ac:dyDescent="0.5">
      <c r="C100" s="48"/>
      <c r="D100" s="6"/>
      <c r="E100" s="6"/>
      <c r="F100" s="6"/>
    </row>
    <row r="101" spans="1:6" ht="34.5" customHeight="1" x14ac:dyDescent="0.5">
      <c r="C101" s="48"/>
      <c r="D101" s="52"/>
      <c r="E101" s="52"/>
      <c r="F101" s="52"/>
    </row>
    <row r="102" spans="1:6" ht="46.5" customHeight="1" x14ac:dyDescent="0.5">
      <c r="C102" s="51">
        <f>SUM(C98:C101)</f>
        <v>0</v>
      </c>
      <c r="D102" s="51" t="e">
        <f>SUM(D98:D101)</f>
        <v>#DIV/0!</v>
      </c>
      <c r="E102" s="51" t="e">
        <f>SUM(E98:E101)</f>
        <v>#DIV/0!</v>
      </c>
      <c r="F102" s="51" t="e">
        <f>SUM(F98:F101)</f>
        <v>#DIV/0!</v>
      </c>
    </row>
    <row r="103" spans="1:6" ht="25.5" customHeight="1" thickBot="1" x14ac:dyDescent="0.55000000000000004">
      <c r="C103" s="3"/>
      <c r="D103" s="3"/>
      <c r="E103" s="3"/>
    </row>
    <row r="104" spans="1:6" ht="25.5" customHeight="1" thickBot="1" x14ac:dyDescent="0.55000000000000004">
      <c r="C104" s="357" t="s">
        <v>164</v>
      </c>
      <c r="D104" s="358"/>
      <c r="E104" s="358"/>
      <c r="F104" s="359"/>
    </row>
    <row r="107" spans="1:6" x14ac:dyDescent="0.5">
      <c r="A107" s="188" t="s">
        <v>268</v>
      </c>
    </row>
    <row r="108" spans="1:6" x14ac:dyDescent="0.5">
      <c r="A108" s="188"/>
    </row>
    <row r="109" spans="1:6" x14ac:dyDescent="0.5">
      <c r="A109" s="2" t="s">
        <v>269</v>
      </c>
      <c r="C109" s="2">
        <f>Assumptions.1!I12</f>
        <v>0</v>
      </c>
      <c r="D109" s="2">
        <f>Assumptions.1!I13</f>
        <v>0</v>
      </c>
      <c r="E109" s="2">
        <f>Assumptions.1!I13</f>
        <v>0</v>
      </c>
      <c r="F109" s="2">
        <f>Assumptions.1!I13</f>
        <v>0</v>
      </c>
    </row>
    <row r="111" spans="1:6" x14ac:dyDescent="0.5">
      <c r="A111" s="2" t="s">
        <v>270</v>
      </c>
      <c r="B111" s="254">
        <v>0.75</v>
      </c>
      <c r="C111" s="6">
        <f>B111*C70</f>
        <v>0</v>
      </c>
      <c r="D111" s="6">
        <f>B111*D70</f>
        <v>0</v>
      </c>
      <c r="E111" s="6">
        <f>B111*E70</f>
        <v>0</v>
      </c>
      <c r="F111" s="6">
        <f>B111*F70</f>
        <v>0</v>
      </c>
    </row>
    <row r="112" spans="1:6" x14ac:dyDescent="0.5">
      <c r="A112" s="2" t="s">
        <v>4</v>
      </c>
      <c r="B112" s="254">
        <v>0.5</v>
      </c>
      <c r="C112" s="6">
        <f>B112*C71</f>
        <v>0</v>
      </c>
      <c r="D112" s="6" t="e">
        <f>B112*D71</f>
        <v>#DIV/0!</v>
      </c>
      <c r="E112" s="6" t="e">
        <f>B112*E71</f>
        <v>#DIV/0!</v>
      </c>
      <c r="F112" s="6" t="e">
        <f>B112*F71</f>
        <v>#DIV/0!</v>
      </c>
    </row>
    <row r="113" spans="1:6" x14ac:dyDescent="0.5">
      <c r="C113" s="6"/>
      <c r="D113" s="6"/>
      <c r="E113" s="6"/>
      <c r="F113" s="6"/>
    </row>
    <row r="114" spans="1:6" x14ac:dyDescent="0.5">
      <c r="A114" s="2" t="s">
        <v>271</v>
      </c>
      <c r="C114" s="6">
        <f>C111+C112</f>
        <v>0</v>
      </c>
      <c r="D114" s="6" t="e">
        <f t="shared" ref="D114:F114" si="1">D111+D112</f>
        <v>#DIV/0!</v>
      </c>
      <c r="E114" s="6" t="e">
        <f t="shared" si="1"/>
        <v>#DIV/0!</v>
      </c>
      <c r="F114" s="6" t="e">
        <f t="shared" si="1"/>
        <v>#DIV/0!</v>
      </c>
    </row>
  </sheetData>
  <mergeCells count="22">
    <mergeCell ref="C93:F93"/>
    <mergeCell ref="C104:F104"/>
    <mergeCell ref="A43:F43"/>
    <mergeCell ref="A79:F79"/>
    <mergeCell ref="A44:A45"/>
    <mergeCell ref="B44:B45"/>
    <mergeCell ref="A95:F95"/>
    <mergeCell ref="A78:F78"/>
    <mergeCell ref="A94:F94"/>
    <mergeCell ref="C61:F61"/>
    <mergeCell ref="A41:F41"/>
    <mergeCell ref="C77:F77"/>
    <mergeCell ref="M3:O3"/>
    <mergeCell ref="A4:F4"/>
    <mergeCell ref="A39:F39"/>
    <mergeCell ref="A40:F40"/>
    <mergeCell ref="C37:F37"/>
    <mergeCell ref="A1:F1"/>
    <mergeCell ref="A2:F2"/>
    <mergeCell ref="A3:F3"/>
    <mergeCell ref="A5:A6"/>
    <mergeCell ref="B5:B6"/>
  </mergeCells>
  <phoneticPr fontId="2" type="noConversion"/>
  <pageMargins left="0.23622047244094491" right="0.19685039370078741" top="0.39370078740157483" bottom="0.3" header="0.23622047244094491" footer="0.16"/>
  <pageSetup scale="47" orientation="portrait" r:id="rId1"/>
  <headerFooter alignWithMargins="0"/>
  <rowBreaks count="2" manualBreakCount="2">
    <brk id="38" max="5" man="1"/>
    <brk id="77" max="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6"/>
  <sheetViews>
    <sheetView tabSelected="1" view="pageBreakPreview" topLeftCell="A25" zoomScale="60" zoomScaleNormal="55" workbookViewId="0">
      <selection activeCell="I30" sqref="I30"/>
    </sheetView>
  </sheetViews>
  <sheetFormatPr defaultColWidth="21.77734375" defaultRowHeight="25.8" x14ac:dyDescent="0.5"/>
  <cols>
    <col min="1" max="1" width="79.21875" style="388" bestFit="1" customWidth="1"/>
    <col min="2" max="2" width="25.21875" style="388" customWidth="1"/>
    <col min="3" max="3" width="27.21875" style="388" customWidth="1"/>
    <col min="4" max="4" width="30.21875" style="388" customWidth="1"/>
    <col min="5" max="5" width="31" style="388" customWidth="1"/>
    <col min="6" max="16384" width="21.77734375" style="388"/>
  </cols>
  <sheetData>
    <row r="1" spans="1:19" x14ac:dyDescent="0.5">
      <c r="A1" s="387"/>
      <c r="B1" s="387"/>
      <c r="C1" s="387"/>
      <c r="D1" s="387"/>
      <c r="E1" s="387"/>
    </row>
    <row r="2" spans="1:19" x14ac:dyDescent="0.5">
      <c r="A2" s="387"/>
      <c r="B2" s="387"/>
      <c r="C2" s="387"/>
      <c r="D2" s="387"/>
      <c r="E2" s="387"/>
    </row>
    <row r="3" spans="1:19" ht="29.25" customHeight="1" x14ac:dyDescent="0.7">
      <c r="A3" s="389" t="s">
        <v>215</v>
      </c>
      <c r="B3" s="389"/>
      <c r="C3" s="389"/>
      <c r="D3" s="389"/>
      <c r="E3" s="389"/>
      <c r="L3" s="390"/>
      <c r="M3" s="390"/>
      <c r="N3" s="390"/>
    </row>
    <row r="4" spans="1:19" ht="57" customHeight="1" x14ac:dyDescent="0.9">
      <c r="A4" s="391" t="s">
        <v>214</v>
      </c>
      <c r="B4" s="391"/>
      <c r="C4" s="391"/>
      <c r="D4" s="391"/>
      <c r="E4" s="391"/>
      <c r="G4" s="392"/>
    </row>
    <row r="5" spans="1:19" ht="28.5" customHeight="1" x14ac:dyDescent="0.5">
      <c r="A5" s="393" t="s">
        <v>0</v>
      </c>
      <c r="B5" s="394" t="str">
        <f>wp!C44</f>
        <v xml:space="preserve">Audited </v>
      </c>
      <c r="C5" s="394" t="str">
        <f>wp!D44</f>
        <v>Estimated</v>
      </c>
      <c r="D5" s="394" t="str">
        <f>wp!E44</f>
        <v>Projected</v>
      </c>
      <c r="E5" s="394" t="str">
        <f>wp!F44</f>
        <v>Projected</v>
      </c>
      <c r="G5" s="395"/>
    </row>
    <row r="6" spans="1:19" ht="37.5" customHeight="1" thickBot="1" x14ac:dyDescent="0.55000000000000004">
      <c r="A6" s="396"/>
      <c r="B6" s="397">
        <f>wp!C45</f>
        <v>0</v>
      </c>
      <c r="C6" s="397">
        <f>wp!D45</f>
        <v>0</v>
      </c>
      <c r="D6" s="397">
        <f>wp!E45</f>
        <v>0</v>
      </c>
      <c r="E6" s="397">
        <f>wp!F45</f>
        <v>0</v>
      </c>
      <c r="F6" s="398"/>
    </row>
    <row r="7" spans="1:19" ht="37.5" customHeight="1" thickTop="1" x14ac:dyDescent="0.5">
      <c r="A7" s="399"/>
      <c r="B7" s="400" t="s">
        <v>231</v>
      </c>
      <c r="C7" s="400" t="s">
        <v>232</v>
      </c>
      <c r="D7" s="400" t="s">
        <v>232</v>
      </c>
      <c r="E7" s="400" t="s">
        <v>232</v>
      </c>
      <c r="F7" s="398"/>
    </row>
    <row r="8" spans="1:19" s="398" customFormat="1" ht="53.25" customHeight="1" x14ac:dyDescent="0.5">
      <c r="A8" s="401" t="s">
        <v>228</v>
      </c>
    </row>
    <row r="9" spans="1:19" s="398" customFormat="1" ht="33" customHeight="1" x14ac:dyDescent="0.5">
      <c r="A9" s="388" t="s">
        <v>302</v>
      </c>
      <c r="B9" s="413">
        <f>wp!C10</f>
        <v>0</v>
      </c>
      <c r="C9" s="413" t="e">
        <f>wp!D10</f>
        <v>#DIV/0!</v>
      </c>
      <c r="D9" s="413" t="e">
        <f>wp!E10</f>
        <v>#DIV/0!</v>
      </c>
      <c r="E9" s="413" t="e">
        <f>wp!F10</f>
        <v>#DIV/0!</v>
      </c>
    </row>
    <row r="10" spans="1:19" ht="37.5" customHeight="1" x14ac:dyDescent="0.5">
      <c r="A10" s="388" t="s">
        <v>96</v>
      </c>
      <c r="B10" s="414">
        <f>wp!C17</f>
        <v>0</v>
      </c>
      <c r="C10" s="415" t="e">
        <f>wp!D17</f>
        <v>#DIV/0!</v>
      </c>
      <c r="D10" s="415" t="e">
        <f>wp!E17</f>
        <v>#DIV/0!</v>
      </c>
      <c r="E10" s="415" t="e">
        <f>wp!F17</f>
        <v>#DIV/0!</v>
      </c>
      <c r="K10" s="395"/>
      <c r="S10" s="402"/>
    </row>
    <row r="11" spans="1:19" ht="36" customHeight="1" x14ac:dyDescent="0.5">
      <c r="A11" s="388" t="s">
        <v>298</v>
      </c>
      <c r="B11" s="414">
        <f>wp!C18</f>
        <v>0</v>
      </c>
      <c r="C11" s="414">
        <f>wp!D18</f>
        <v>0</v>
      </c>
      <c r="D11" s="414">
        <f>wp!E18</f>
        <v>0</v>
      </c>
      <c r="E11" s="415">
        <f>wp!F18</f>
        <v>0</v>
      </c>
    </row>
    <row r="12" spans="1:19" s="398" customFormat="1" ht="40.5" customHeight="1" x14ac:dyDescent="0.5">
      <c r="A12" s="388" t="s">
        <v>188</v>
      </c>
      <c r="B12" s="413">
        <f>wp!C23</f>
        <v>0</v>
      </c>
      <c r="C12" s="413">
        <f>wp!D23</f>
        <v>0</v>
      </c>
      <c r="D12" s="413">
        <f>wp!E23</f>
        <v>0</v>
      </c>
      <c r="E12" s="413">
        <f>wp!F23</f>
        <v>0</v>
      </c>
    </row>
    <row r="13" spans="1:19" s="398" customFormat="1" ht="40.5" customHeight="1" x14ac:dyDescent="0.5">
      <c r="A13" s="388" t="s">
        <v>163</v>
      </c>
      <c r="B13" s="416">
        <f>wp!C83</f>
        <v>0</v>
      </c>
      <c r="C13" s="413">
        <f>wp!D83</f>
        <v>0</v>
      </c>
      <c r="D13" s="413">
        <f>wp!E83</f>
        <v>0</v>
      </c>
      <c r="E13" s="413">
        <f>wp!F83</f>
        <v>0</v>
      </c>
    </row>
    <row r="14" spans="1:19" s="398" customFormat="1" ht="40.5" customHeight="1" x14ac:dyDescent="0.5">
      <c r="A14" s="388" t="s">
        <v>70</v>
      </c>
      <c r="B14" s="416">
        <f>wp!C84</f>
        <v>0</v>
      </c>
      <c r="C14" s="413" t="e">
        <f>wp!D84</f>
        <v>#DIV/0!</v>
      </c>
      <c r="D14" s="413" t="e">
        <f>wp!E84</f>
        <v>#DIV/0!</v>
      </c>
      <c r="E14" s="413" t="e">
        <f>wp!F84</f>
        <v>#DIV/0!</v>
      </c>
    </row>
    <row r="15" spans="1:19" s="398" customFormat="1" ht="40.5" customHeight="1" x14ac:dyDescent="0.5">
      <c r="A15" s="388" t="s">
        <v>69</v>
      </c>
      <c r="B15" s="416">
        <f>wp!C85</f>
        <v>0</v>
      </c>
      <c r="C15" s="413" t="e">
        <f>wp!D85</f>
        <v>#DIV/0!</v>
      </c>
      <c r="D15" s="413" t="e">
        <f>wp!E85</f>
        <v>#DIV/0!</v>
      </c>
      <c r="E15" s="413" t="e">
        <f>wp!F85</f>
        <v>#DIV/0!</v>
      </c>
    </row>
    <row r="16" spans="1:19" s="398" customFormat="1" ht="40.5" customHeight="1" x14ac:dyDescent="0.5">
      <c r="A16" s="388" t="s">
        <v>162</v>
      </c>
      <c r="B16" s="416">
        <f>wp!C87</f>
        <v>0</v>
      </c>
      <c r="C16" s="413" t="e">
        <f>wp!D87</f>
        <v>#DIV/0!</v>
      </c>
      <c r="D16" s="413" t="e">
        <f>wp!E87</f>
        <v>#DIV/0!</v>
      </c>
      <c r="E16" s="413" t="e">
        <f>wp!F87</f>
        <v>#DIV/0!</v>
      </c>
    </row>
    <row r="17" spans="1:7" s="398" customFormat="1" ht="40.5" customHeight="1" x14ac:dyDescent="0.5">
      <c r="A17" s="388" t="s">
        <v>136</v>
      </c>
      <c r="B17" s="415">
        <f>wp!C98</f>
        <v>0</v>
      </c>
      <c r="C17" s="415" t="e">
        <f>B17*C22/B22</f>
        <v>#DIV/0!</v>
      </c>
      <c r="D17" s="415">
        <f>IF(C22=0,0,C17*D22/C22)</f>
        <v>0</v>
      </c>
      <c r="E17" s="415">
        <f>IF(D22=0,0,D17*E22/D22)</f>
        <v>0</v>
      </c>
    </row>
    <row r="18" spans="1:7" s="398" customFormat="1" ht="40.5" customHeight="1" x14ac:dyDescent="0.5">
      <c r="A18" s="388" t="s">
        <v>75</v>
      </c>
      <c r="B18" s="415">
        <f>wp!C99</f>
        <v>0</v>
      </c>
      <c r="C18" s="415" t="e">
        <f>wp!D99</f>
        <v>#DIV/0!</v>
      </c>
      <c r="D18" s="415" t="e">
        <f>wp!E99</f>
        <v>#DIV/0!</v>
      </c>
      <c r="E18" s="415" t="e">
        <f>wp!F99</f>
        <v>#DIV/0!</v>
      </c>
    </row>
    <row r="19" spans="1:7" s="398" customFormat="1" ht="40.5" customHeight="1" x14ac:dyDescent="0.5">
      <c r="A19" s="388" t="s">
        <v>297</v>
      </c>
      <c r="B19" s="403">
        <f>PLBS!C35</f>
        <v>0</v>
      </c>
      <c r="C19" s="403" t="e">
        <f>PLBS!D35</f>
        <v>#DIV/0!</v>
      </c>
      <c r="D19" s="403" t="e">
        <f>PLBS!E35</f>
        <v>#DIV/0!</v>
      </c>
      <c r="E19" s="403" t="e">
        <f>PLBS!F35</f>
        <v>#DIV/0!</v>
      </c>
    </row>
    <row r="20" spans="1:7" s="398" customFormat="1" ht="40.5" customHeight="1" x14ac:dyDescent="0.5">
      <c r="A20" s="388"/>
      <c r="B20" s="403"/>
      <c r="C20" s="402"/>
      <c r="D20" s="402"/>
      <c r="E20" s="402"/>
    </row>
    <row r="21" spans="1:7" s="398" customFormat="1" ht="40.5" customHeight="1" x14ac:dyDescent="0.5">
      <c r="A21" s="401" t="s">
        <v>229</v>
      </c>
      <c r="B21" s="402"/>
      <c r="C21" s="402"/>
      <c r="D21" s="402"/>
      <c r="E21" s="402"/>
    </row>
    <row r="22" spans="1:7" ht="39" customHeight="1" x14ac:dyDescent="0.5">
      <c r="A22" s="388" t="s">
        <v>230</v>
      </c>
      <c r="B22" s="414">
        <f>wp!C51</f>
        <v>0</v>
      </c>
      <c r="C22" s="415">
        <f>wp!D51</f>
        <v>0</v>
      </c>
      <c r="D22" s="415">
        <f>wp!E51</f>
        <v>0</v>
      </c>
      <c r="E22" s="415">
        <f>wp!F51</f>
        <v>0</v>
      </c>
    </row>
    <row r="23" spans="1:7" ht="42.75" customHeight="1" x14ac:dyDescent="0.5">
      <c r="A23" s="388" t="s">
        <v>144</v>
      </c>
      <c r="B23" s="415">
        <f>wp!C55</f>
        <v>0</v>
      </c>
      <c r="C23" s="415" t="e">
        <f>wp!D55</f>
        <v>#DIV/0!</v>
      </c>
      <c r="D23" s="415" t="e">
        <f>wp!E55</f>
        <v>#DIV/0!</v>
      </c>
      <c r="E23" s="415" t="e">
        <f>wp!F55</f>
        <v>#DIV/0!</v>
      </c>
      <c r="F23" s="403"/>
    </row>
    <row r="24" spans="1:7" ht="51" customHeight="1" x14ac:dyDescent="0.5">
      <c r="A24" s="388" t="s">
        <v>139</v>
      </c>
      <c r="B24" s="416">
        <f>wp!C56</f>
        <v>0</v>
      </c>
      <c r="C24" s="416">
        <f>wp!D56</f>
        <v>0</v>
      </c>
      <c r="D24" s="416">
        <f>wp!E56</f>
        <v>0</v>
      </c>
      <c r="E24" s="416">
        <f>wp!F56</f>
        <v>0</v>
      </c>
      <c r="G24" s="404"/>
    </row>
    <row r="25" spans="1:7" ht="31.5" customHeight="1" x14ac:dyDescent="0.5">
      <c r="A25" s="388" t="s">
        <v>204</v>
      </c>
      <c r="B25" s="416">
        <f>wp!C66</f>
        <v>0</v>
      </c>
      <c r="C25" s="416">
        <f>wp!D66</f>
        <v>0</v>
      </c>
      <c r="D25" s="416">
        <f>wp!E66</f>
        <v>0</v>
      </c>
      <c r="E25" s="416">
        <f>wp!F66</f>
        <v>0</v>
      </c>
      <c r="G25" s="404"/>
    </row>
    <row r="26" spans="1:7" ht="42.75" customHeight="1" x14ac:dyDescent="0.5">
      <c r="A26" s="388" t="s">
        <v>141</v>
      </c>
      <c r="B26" s="416">
        <f>wp!C69</f>
        <v>0</v>
      </c>
      <c r="C26" s="416">
        <f>wp!D69</f>
        <v>0</v>
      </c>
      <c r="D26" s="416">
        <f>wp!E69</f>
        <v>0</v>
      </c>
      <c r="E26" s="416">
        <f>wp!F69</f>
        <v>0</v>
      </c>
      <c r="G26" s="404"/>
    </row>
    <row r="27" spans="1:7" ht="44.25" customHeight="1" x14ac:dyDescent="0.5">
      <c r="A27" s="388" t="s">
        <v>4</v>
      </c>
      <c r="B27" s="416">
        <f>wp!C71</f>
        <v>0</v>
      </c>
      <c r="C27" s="413" t="e">
        <f>wp!D71</f>
        <v>#DIV/0!</v>
      </c>
      <c r="D27" s="413" t="e">
        <f>wp!E71</f>
        <v>#DIV/0!</v>
      </c>
      <c r="E27" s="413" t="e">
        <f>wp!F71</f>
        <v>#DIV/0!</v>
      </c>
    </row>
    <row r="28" spans="1:7" ht="39" customHeight="1" x14ac:dyDescent="0.5">
      <c r="A28" s="388" t="s">
        <v>65</v>
      </c>
      <c r="B28" s="416">
        <f>wp!C72</f>
        <v>0</v>
      </c>
      <c r="C28" s="416" t="e">
        <f>wp!D72</f>
        <v>#DIV/0!</v>
      </c>
      <c r="D28" s="416" t="e">
        <f>wp!E72</f>
        <v>#DIV/0!</v>
      </c>
      <c r="E28" s="416" t="e">
        <f>wp!F72</f>
        <v>#DIV/0!</v>
      </c>
    </row>
    <row r="29" spans="1:7" ht="33" customHeight="1" x14ac:dyDescent="0.5">
      <c r="B29" s="403"/>
      <c r="C29" s="402"/>
      <c r="D29" s="402"/>
      <c r="E29" s="402"/>
    </row>
    <row r="30" spans="1:7" ht="44.25" customHeight="1" x14ac:dyDescent="0.5">
      <c r="A30" s="401" t="s">
        <v>233</v>
      </c>
      <c r="B30" s="403"/>
      <c r="C30" s="402"/>
      <c r="D30" s="402"/>
      <c r="E30" s="402"/>
    </row>
    <row r="31" spans="1:7" ht="41.25" customHeight="1" x14ac:dyDescent="0.5">
      <c r="A31" s="388" t="s">
        <v>222</v>
      </c>
      <c r="B31" s="405" t="e">
        <f>RATIO!C22</f>
        <v>#DIV/0!</v>
      </c>
      <c r="C31" s="405" t="e">
        <f>RATIO!D22</f>
        <v>#DIV/0!</v>
      </c>
      <c r="D31" s="405" t="e">
        <f>RATIO!E22</f>
        <v>#DIV/0!</v>
      </c>
      <c r="E31" s="405" t="e">
        <f>RATIO!F22</f>
        <v>#DIV/0!</v>
      </c>
    </row>
    <row r="32" spans="1:7" ht="32.25" customHeight="1" x14ac:dyDescent="0.5">
      <c r="A32" s="388" t="s">
        <v>223</v>
      </c>
      <c r="B32" s="406" t="e">
        <f>RATIO!C30</f>
        <v>#DIV/0!</v>
      </c>
      <c r="C32" s="406" t="e">
        <f>RATIO!D30</f>
        <v>#DIV/0!</v>
      </c>
      <c r="D32" s="406" t="e">
        <f>RATIO!E30</f>
        <v>#DIV/0!</v>
      </c>
      <c r="E32" s="406" t="e">
        <f>RATIO!F30</f>
        <v>#DIV/0!</v>
      </c>
    </row>
    <row r="33" spans="1:5" ht="33.75" customHeight="1" x14ac:dyDescent="0.5">
      <c r="A33" s="388" t="s">
        <v>224</v>
      </c>
      <c r="B33" s="406" t="e">
        <f>RATIO!C46</f>
        <v>#DIV/0!</v>
      </c>
      <c r="C33" s="406" t="e">
        <f>RATIO!D46</f>
        <v>#DIV/0!</v>
      </c>
      <c r="D33" s="406" t="e">
        <f>RATIO!E46</f>
        <v>#DIV/0!</v>
      </c>
      <c r="E33" s="406" t="e">
        <f>RATIO!F46</f>
        <v>#DIV/0!</v>
      </c>
    </row>
    <row r="34" spans="1:5" ht="39.75" customHeight="1" x14ac:dyDescent="0.5">
      <c r="A34" s="388" t="s">
        <v>212</v>
      </c>
      <c r="B34" s="406" t="e">
        <f>RATIO!C11</f>
        <v>#DIV/0!</v>
      </c>
      <c r="C34" s="406" t="e">
        <f>RATIO!D11</f>
        <v>#DIV/0!</v>
      </c>
      <c r="D34" s="406" t="e">
        <f>RATIO!E11</f>
        <v>#DIV/0!</v>
      </c>
      <c r="E34" s="406" t="e">
        <f>RATIO!F11</f>
        <v>#DIV/0!</v>
      </c>
    </row>
    <row r="35" spans="1:5" ht="37.5" customHeight="1" x14ac:dyDescent="0.5">
      <c r="A35" s="388" t="s">
        <v>213</v>
      </c>
      <c r="B35" s="406" t="e">
        <f>RATIO!C56</f>
        <v>#DIV/0!</v>
      </c>
      <c r="C35" s="406" t="e">
        <f>RATIO!D56</f>
        <v>#DIV/0!</v>
      </c>
      <c r="D35" s="406" t="e">
        <f>RATIO!E56</f>
        <v>#DIV/0!</v>
      </c>
      <c r="E35" s="406" t="e">
        <f>RATIO!F56</f>
        <v>#DIV/0!</v>
      </c>
    </row>
    <row r="36" spans="1:5" ht="37.5" customHeight="1" x14ac:dyDescent="0.5">
      <c r="B36" s="406"/>
      <c r="C36" s="406"/>
      <c r="D36" s="406"/>
      <c r="E36" s="406"/>
    </row>
    <row r="37" spans="1:5" ht="37.5" customHeight="1" x14ac:dyDescent="0.5">
      <c r="A37" s="401" t="s">
        <v>293</v>
      </c>
      <c r="B37" s="406"/>
      <c r="C37" s="406"/>
      <c r="D37" s="406"/>
      <c r="E37" s="406"/>
    </row>
    <row r="38" spans="1:5" ht="37.5" customHeight="1" x14ac:dyDescent="0.5">
      <c r="A38" s="388" t="s">
        <v>294</v>
      </c>
      <c r="B38" s="417"/>
      <c r="C38" s="413" t="e">
        <f>'MPBF '!B28</f>
        <v>#DIV/0!</v>
      </c>
      <c r="D38" s="413" t="e">
        <f>'MPBF '!C28</f>
        <v>#DIV/0!</v>
      </c>
      <c r="E38" s="413" t="e">
        <f>'MPBF '!D28</f>
        <v>#DIV/0!</v>
      </c>
    </row>
    <row r="39" spans="1:5" ht="37.5" customHeight="1" x14ac:dyDescent="0.5">
      <c r="A39" s="388" t="s">
        <v>295</v>
      </c>
      <c r="B39" s="417"/>
      <c r="C39" s="413" t="e">
        <f>'MPBF '!B55</f>
        <v>#DIV/0!</v>
      </c>
      <c r="D39" s="413" t="e">
        <f>'MPBF '!C55</f>
        <v>#DIV/0!</v>
      </c>
      <c r="E39" s="413" t="e">
        <f>'MPBF '!D55</f>
        <v>#DIV/0!</v>
      </c>
    </row>
    <row r="40" spans="1:5" ht="37.5" customHeight="1" x14ac:dyDescent="0.5">
      <c r="A40" s="388" t="s">
        <v>296</v>
      </c>
      <c r="B40" s="417"/>
      <c r="C40" s="413" t="e">
        <f>nayak!C23</f>
        <v>#DIV/0!</v>
      </c>
      <c r="D40" s="413" t="e">
        <f>nayak!D23</f>
        <v>#DIV/0!</v>
      </c>
      <c r="E40" s="413" t="e">
        <f>nayak!E23</f>
        <v>#DIV/0!</v>
      </c>
    </row>
    <row r="41" spans="1:5" ht="26.4" thickBot="1" x14ac:dyDescent="0.55000000000000004">
      <c r="A41" s="407"/>
      <c r="B41" s="407"/>
      <c r="C41" s="407"/>
      <c r="D41" s="407"/>
      <c r="E41" s="407"/>
    </row>
    <row r="42" spans="1:5" ht="26.4" thickBot="1" x14ac:dyDescent="0.55000000000000004"/>
    <row r="43" spans="1:5" ht="30.75" customHeight="1" x14ac:dyDescent="0.5">
      <c r="B43" s="408"/>
      <c r="C43" s="409"/>
    </row>
    <row r="44" spans="1:5" ht="30.75" customHeight="1" thickBot="1" x14ac:dyDescent="0.55000000000000004">
      <c r="B44" s="410"/>
      <c r="C44" s="411"/>
    </row>
    <row r="46" spans="1:5" ht="30.6" x14ac:dyDescent="0.55000000000000004">
      <c r="A46" s="412"/>
      <c r="B46" s="412"/>
      <c r="C46" s="412"/>
      <c r="D46" s="412"/>
      <c r="E46" s="412"/>
    </row>
  </sheetData>
  <mergeCells count="7">
    <mergeCell ref="A46:E46"/>
    <mergeCell ref="B43:C44"/>
    <mergeCell ref="A1:E1"/>
    <mergeCell ref="A2:E2"/>
    <mergeCell ref="A3:E3"/>
    <mergeCell ref="A4:E4"/>
    <mergeCell ref="A5:A6"/>
  </mergeCells>
  <pageMargins left="0.7" right="0.7" top="0.75" bottom="0.75" header="0.3" footer="0.3"/>
  <pageSetup scale="4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V38"/>
  <sheetViews>
    <sheetView view="pageBreakPreview" zoomScale="60" zoomScaleNormal="55" workbookViewId="0">
      <selection activeCell="T33" sqref="T33"/>
    </sheetView>
  </sheetViews>
  <sheetFormatPr defaultColWidth="9.21875" defaultRowHeight="23.4" x14ac:dyDescent="0.45"/>
  <cols>
    <col min="1" max="2" width="5.44140625" style="68" customWidth="1"/>
    <col min="3" max="3" width="8" style="68" customWidth="1"/>
    <col min="4" max="4" width="11" style="68" customWidth="1"/>
    <col min="5" max="5" width="10.5546875" style="68" customWidth="1"/>
    <col min="6" max="6" width="11.77734375" style="68" customWidth="1"/>
    <col min="7" max="7" width="12.5546875" style="68" customWidth="1"/>
    <col min="8" max="8" width="12.44140625" style="68" customWidth="1"/>
    <col min="9" max="9" width="9.21875" style="68"/>
    <col min="10" max="11" width="9.21875" style="68" customWidth="1"/>
    <col min="12" max="12" width="6" style="68" customWidth="1"/>
    <col min="13" max="13" width="5.5546875" style="68" customWidth="1"/>
    <col min="14" max="19" width="9.21875" style="68"/>
    <col min="20" max="20" width="73.21875" style="68" bestFit="1" customWidth="1"/>
    <col min="21" max="21" width="32.44140625" style="68" bestFit="1" customWidth="1"/>
    <col min="22" max="16384" width="9.21875" style="68"/>
  </cols>
  <sheetData>
    <row r="1" spans="2:22" ht="24" thickBot="1" x14ac:dyDescent="0.5"/>
    <row r="2" spans="2:22" x14ac:dyDescent="0.45">
      <c r="B2" s="71"/>
      <c r="C2" s="72"/>
      <c r="D2" s="72"/>
      <c r="E2" s="72"/>
      <c r="F2" s="72"/>
      <c r="G2" s="72"/>
      <c r="H2" s="72"/>
      <c r="I2" s="72"/>
      <c r="J2" s="72"/>
      <c r="K2" s="72"/>
      <c r="L2" s="73"/>
    </row>
    <row r="3" spans="2:22" x14ac:dyDescent="0.45">
      <c r="B3" s="74"/>
      <c r="C3" s="75"/>
      <c r="D3" s="75"/>
      <c r="E3" s="75"/>
      <c r="F3" s="75"/>
      <c r="G3" s="75"/>
      <c r="H3" s="75"/>
      <c r="I3" s="75"/>
      <c r="J3" s="75"/>
      <c r="K3" s="75"/>
      <c r="L3" s="76"/>
    </row>
    <row r="4" spans="2:22" x14ac:dyDescent="0.45">
      <c r="B4" s="74"/>
      <c r="C4" s="75"/>
      <c r="D4" s="75"/>
      <c r="E4" s="75"/>
      <c r="F4" s="75"/>
      <c r="G4" s="75"/>
      <c r="H4" s="75"/>
      <c r="I4" s="75"/>
      <c r="J4" s="75"/>
      <c r="K4" s="75"/>
      <c r="L4" s="76"/>
    </row>
    <row r="5" spans="2:22" x14ac:dyDescent="0.45">
      <c r="B5" s="74"/>
      <c r="C5" s="75"/>
      <c r="K5" s="75"/>
      <c r="L5" s="76"/>
    </row>
    <row r="6" spans="2:22" x14ac:dyDescent="0.45">
      <c r="B6" s="74"/>
      <c r="C6" s="75"/>
      <c r="D6" s="364" t="s">
        <v>272</v>
      </c>
      <c r="E6" s="364"/>
      <c r="F6" s="364"/>
      <c r="G6" s="364"/>
      <c r="H6" s="364"/>
      <c r="I6" s="364"/>
      <c r="J6" s="364"/>
      <c r="K6" s="249"/>
      <c r="L6" s="76"/>
    </row>
    <row r="7" spans="2:22" x14ac:dyDescent="0.45">
      <c r="B7" s="74"/>
      <c r="C7" s="75"/>
      <c r="K7" s="75"/>
      <c r="L7" s="76"/>
    </row>
    <row r="8" spans="2:22" x14ac:dyDescent="0.45">
      <c r="B8" s="74"/>
      <c r="C8" s="75"/>
      <c r="E8" s="364" t="s">
        <v>93</v>
      </c>
      <c r="F8" s="364"/>
      <c r="G8" s="364"/>
      <c r="H8" s="364"/>
      <c r="I8" s="364"/>
      <c r="J8" s="66"/>
      <c r="K8" s="249"/>
      <c r="L8" s="76"/>
      <c r="T8" s="67" t="s">
        <v>251</v>
      </c>
    </row>
    <row r="9" spans="2:22" x14ac:dyDescent="0.45">
      <c r="B9" s="74"/>
      <c r="C9" s="75"/>
      <c r="E9" s="66"/>
      <c r="F9" s="66"/>
      <c r="G9" s="66"/>
      <c r="H9" s="66"/>
      <c r="I9" s="66"/>
      <c r="J9" s="66"/>
      <c r="K9" s="249"/>
      <c r="L9" s="76"/>
      <c r="T9" s="67"/>
    </row>
    <row r="10" spans="2:22" ht="32.25" customHeight="1" x14ac:dyDescent="0.45">
      <c r="B10" s="74"/>
      <c r="C10" s="75"/>
      <c r="D10" s="364">
        <f>Assumptions.1!I3</f>
        <v>0</v>
      </c>
      <c r="E10" s="364"/>
      <c r="F10" s="364"/>
      <c r="G10" s="364"/>
      <c r="H10" s="364"/>
      <c r="I10" s="364"/>
      <c r="J10" s="364"/>
      <c r="K10" s="249"/>
      <c r="L10" s="76"/>
    </row>
    <row r="11" spans="2:22" ht="32.25" customHeight="1" x14ac:dyDescent="0.45">
      <c r="B11" s="74"/>
      <c r="C11" s="75"/>
      <c r="D11" s="66"/>
      <c r="E11" s="66"/>
      <c r="F11" s="66"/>
      <c r="G11" s="66"/>
      <c r="H11" s="66"/>
      <c r="I11" s="66"/>
      <c r="J11" s="66"/>
      <c r="K11" s="249"/>
      <c r="L11" s="76"/>
      <c r="T11" s="246" t="s">
        <v>252</v>
      </c>
      <c r="U11" s="246" t="s">
        <v>253</v>
      </c>
      <c r="V11" s="67"/>
    </row>
    <row r="12" spans="2:22" ht="21.75" customHeight="1" x14ac:dyDescent="0.45">
      <c r="B12" s="74"/>
      <c r="C12" s="75"/>
      <c r="K12" s="75"/>
      <c r="L12" s="76"/>
      <c r="T12" s="247" t="s">
        <v>254</v>
      </c>
      <c r="U12" s="247" t="s">
        <v>255</v>
      </c>
    </row>
    <row r="13" spans="2:22" x14ac:dyDescent="0.45">
      <c r="B13" s="74"/>
      <c r="C13" s="75"/>
      <c r="D13" s="364">
        <f>Assumptions.1!I5</f>
        <v>0</v>
      </c>
      <c r="E13" s="364"/>
      <c r="F13" s="364"/>
      <c r="G13" s="364"/>
      <c r="H13" s="364"/>
      <c r="I13" s="364"/>
      <c r="J13" s="364"/>
      <c r="K13" s="249"/>
      <c r="L13" s="76"/>
      <c r="T13" s="247" t="s">
        <v>250</v>
      </c>
      <c r="U13" s="247" t="s">
        <v>95</v>
      </c>
    </row>
    <row r="14" spans="2:22" ht="24" thickBot="1" x14ac:dyDescent="0.5">
      <c r="B14" s="74"/>
      <c r="C14" s="75"/>
      <c r="E14" s="69"/>
      <c r="F14" s="69"/>
      <c r="G14" s="69"/>
      <c r="H14" s="69"/>
      <c r="I14" s="69"/>
      <c r="K14" s="75"/>
      <c r="L14" s="76"/>
      <c r="T14" s="247" t="s">
        <v>256</v>
      </c>
      <c r="U14" s="247" t="s">
        <v>257</v>
      </c>
    </row>
    <row r="15" spans="2:22" x14ac:dyDescent="0.45">
      <c r="B15" s="74"/>
      <c r="C15" s="75"/>
      <c r="K15" s="75"/>
      <c r="L15" s="76"/>
      <c r="T15" s="247" t="s">
        <v>258</v>
      </c>
      <c r="U15" s="247" t="s">
        <v>259</v>
      </c>
    </row>
    <row r="16" spans="2:22" x14ac:dyDescent="0.45">
      <c r="B16" s="74"/>
      <c r="C16" s="75"/>
      <c r="D16" s="365"/>
      <c r="E16" s="365"/>
      <c r="F16" s="365"/>
      <c r="G16" s="365"/>
      <c r="H16" s="365"/>
      <c r="I16" s="365"/>
      <c r="J16" s="365"/>
      <c r="K16" s="250"/>
      <c r="L16" s="76"/>
    </row>
    <row r="17" spans="2:12" x14ac:dyDescent="0.45">
      <c r="B17" s="74"/>
      <c r="C17" s="75"/>
      <c r="K17" s="75"/>
      <c r="L17" s="76"/>
    </row>
    <row r="18" spans="2:12" ht="12.75" customHeight="1" x14ac:dyDescent="0.45">
      <c r="B18" s="74"/>
      <c r="C18" s="75"/>
      <c r="D18" s="366">
        <f>Assumptions.1!I8</f>
        <v>0</v>
      </c>
      <c r="E18" s="366"/>
      <c r="F18" s="366"/>
      <c r="G18" s="366"/>
      <c r="H18" s="366"/>
      <c r="I18" s="366"/>
      <c r="J18" s="366"/>
      <c r="K18" s="248"/>
      <c r="L18" s="78"/>
    </row>
    <row r="19" spans="2:12" ht="12.75" customHeight="1" x14ac:dyDescent="0.45">
      <c r="B19" s="74"/>
      <c r="C19" s="75"/>
      <c r="D19" s="366"/>
      <c r="E19" s="366"/>
      <c r="F19" s="366"/>
      <c r="G19" s="366"/>
      <c r="H19" s="366"/>
      <c r="I19" s="366"/>
      <c r="J19" s="366"/>
      <c r="K19" s="248"/>
      <c r="L19" s="78"/>
    </row>
    <row r="20" spans="2:12" ht="12.75" customHeight="1" x14ac:dyDescent="0.45">
      <c r="B20" s="74"/>
      <c r="C20" s="75"/>
      <c r="D20" s="366"/>
      <c r="E20" s="366"/>
      <c r="F20" s="366"/>
      <c r="G20" s="366"/>
      <c r="H20" s="366"/>
      <c r="I20" s="366"/>
      <c r="J20" s="366"/>
      <c r="K20" s="248"/>
      <c r="L20" s="78"/>
    </row>
    <row r="21" spans="2:12" ht="12.75" customHeight="1" x14ac:dyDescent="0.45">
      <c r="B21" s="74"/>
      <c r="C21" s="75"/>
      <c r="D21" s="366"/>
      <c r="E21" s="366"/>
      <c r="F21" s="366"/>
      <c r="G21" s="366"/>
      <c r="H21" s="366"/>
      <c r="I21" s="366"/>
      <c r="J21" s="366"/>
      <c r="K21" s="248"/>
      <c r="L21" s="78"/>
    </row>
    <row r="22" spans="2:12" x14ac:dyDescent="0.45">
      <c r="B22" s="74"/>
      <c r="C22" s="75"/>
      <c r="D22" s="367">
        <f>Assumptions.1!I6</f>
        <v>0</v>
      </c>
      <c r="E22" s="367"/>
      <c r="F22" s="367"/>
      <c r="G22" s="367"/>
      <c r="H22" s="367"/>
      <c r="I22" s="367"/>
      <c r="J22" s="367"/>
      <c r="K22" s="251"/>
      <c r="L22" s="76"/>
    </row>
    <row r="23" spans="2:12" x14ac:dyDescent="0.45">
      <c r="B23" s="74"/>
      <c r="C23" s="75"/>
      <c r="D23" s="367"/>
      <c r="E23" s="367"/>
      <c r="F23" s="367"/>
      <c r="G23" s="367"/>
      <c r="H23" s="367"/>
      <c r="I23" s="367"/>
      <c r="J23" s="367"/>
      <c r="K23" s="251"/>
      <c r="L23" s="76"/>
    </row>
    <row r="24" spans="2:12" x14ac:dyDescent="0.45">
      <c r="B24" s="74"/>
      <c r="C24" s="75"/>
      <c r="D24" s="367"/>
      <c r="E24" s="367"/>
      <c r="F24" s="367"/>
      <c r="G24" s="367"/>
      <c r="H24" s="367"/>
      <c r="I24" s="367"/>
      <c r="J24" s="367"/>
      <c r="K24" s="251"/>
      <c r="L24" s="76"/>
    </row>
    <row r="25" spans="2:12" x14ac:dyDescent="0.45">
      <c r="B25" s="74"/>
      <c r="C25" s="75"/>
      <c r="E25" s="368"/>
      <c r="F25" s="368"/>
      <c r="G25" s="67"/>
      <c r="H25" s="67"/>
      <c r="I25" s="67"/>
      <c r="J25" s="66"/>
      <c r="K25" s="249"/>
      <c r="L25" s="76"/>
    </row>
    <row r="26" spans="2:12" x14ac:dyDescent="0.45">
      <c r="B26" s="74"/>
      <c r="C26" s="75"/>
      <c r="D26" s="364" t="s">
        <v>292</v>
      </c>
      <c r="E26" s="364"/>
      <c r="F26" s="364"/>
      <c r="G26" s="364"/>
      <c r="H26" s="364">
        <f>Assumptions.1!I12</f>
        <v>0</v>
      </c>
      <c r="I26" s="364"/>
      <c r="J26" s="364"/>
      <c r="K26" s="249"/>
      <c r="L26" s="76"/>
    </row>
    <row r="27" spans="2:12" ht="18" customHeight="1" x14ac:dyDescent="0.45">
      <c r="B27" s="74"/>
      <c r="C27" s="75"/>
      <c r="E27" s="67"/>
      <c r="F27" s="67"/>
      <c r="G27" s="67"/>
      <c r="H27" s="67"/>
      <c r="K27" s="75"/>
      <c r="L27" s="78"/>
    </row>
    <row r="28" spans="2:12" ht="24" thickBot="1" x14ac:dyDescent="0.5">
      <c r="B28" s="74"/>
      <c r="C28" s="75"/>
      <c r="E28" s="69"/>
      <c r="F28" s="69"/>
      <c r="G28" s="69"/>
      <c r="H28" s="69"/>
      <c r="I28" s="69"/>
      <c r="K28" s="75"/>
      <c r="L28" s="76"/>
    </row>
    <row r="29" spans="2:12" x14ac:dyDescent="0.45">
      <c r="B29" s="74"/>
      <c r="C29" s="75"/>
      <c r="K29" s="75"/>
      <c r="L29" s="76"/>
    </row>
    <row r="30" spans="2:12" x14ac:dyDescent="0.45">
      <c r="B30" s="74"/>
      <c r="C30" s="75"/>
      <c r="E30" s="369" t="s">
        <v>94</v>
      </c>
      <c r="F30" s="369"/>
      <c r="G30" s="369"/>
      <c r="H30" s="369"/>
      <c r="I30" s="369"/>
      <c r="J30" s="70"/>
      <c r="K30" s="252"/>
      <c r="L30" s="76"/>
    </row>
    <row r="31" spans="2:12" x14ac:dyDescent="0.45">
      <c r="B31" s="74"/>
      <c r="C31" s="75"/>
      <c r="E31" s="67"/>
      <c r="F31" s="67"/>
      <c r="G31" s="67"/>
      <c r="H31" s="67"/>
      <c r="I31" s="67"/>
      <c r="J31" s="67"/>
      <c r="K31" s="253"/>
      <c r="L31" s="76"/>
    </row>
    <row r="32" spans="2:12" x14ac:dyDescent="0.45">
      <c r="B32" s="74"/>
      <c r="C32" s="75"/>
      <c r="D32" s="364" t="s">
        <v>235</v>
      </c>
      <c r="E32" s="364"/>
      <c r="F32" s="364"/>
      <c r="G32" s="364"/>
      <c r="H32" s="364"/>
      <c r="I32" s="364"/>
      <c r="J32" s="364"/>
      <c r="K32" s="249"/>
      <c r="L32" s="76"/>
    </row>
    <row r="33" spans="2:12" x14ac:dyDescent="0.45">
      <c r="B33" s="74"/>
      <c r="C33" s="75"/>
      <c r="D33" s="364" t="s">
        <v>234</v>
      </c>
      <c r="E33" s="364"/>
      <c r="F33" s="364"/>
      <c r="G33" s="364"/>
      <c r="H33" s="364"/>
      <c r="I33" s="364"/>
      <c r="J33" s="364"/>
      <c r="K33" s="249"/>
      <c r="L33" s="76"/>
    </row>
    <row r="34" spans="2:12" x14ac:dyDescent="0.45">
      <c r="B34" s="74"/>
      <c r="C34" s="75"/>
      <c r="D34" s="364" t="s">
        <v>236</v>
      </c>
      <c r="E34" s="364"/>
      <c r="F34" s="364"/>
      <c r="G34" s="364"/>
      <c r="H34" s="364"/>
      <c r="I34" s="364"/>
      <c r="J34" s="364"/>
      <c r="K34" s="249"/>
      <c r="L34" s="76"/>
    </row>
    <row r="35" spans="2:12" x14ac:dyDescent="0.45">
      <c r="B35" s="74"/>
      <c r="C35" s="75"/>
      <c r="E35" s="67"/>
      <c r="F35" s="67"/>
      <c r="G35" s="67"/>
      <c r="H35" s="67"/>
      <c r="I35" s="67"/>
      <c r="J35" s="67"/>
      <c r="K35" s="253"/>
      <c r="L35" s="76"/>
    </row>
    <row r="36" spans="2:12" x14ac:dyDescent="0.45">
      <c r="B36" s="74"/>
      <c r="C36" s="75"/>
      <c r="D36" s="75"/>
      <c r="E36" s="75"/>
      <c r="F36" s="75"/>
      <c r="G36" s="75"/>
      <c r="H36" s="75"/>
      <c r="I36" s="75"/>
      <c r="J36" s="75"/>
      <c r="K36" s="75"/>
      <c r="L36" s="76"/>
    </row>
    <row r="37" spans="2:12" x14ac:dyDescent="0.45">
      <c r="B37" s="74"/>
      <c r="C37" s="75"/>
      <c r="D37" s="75"/>
      <c r="E37" s="75"/>
      <c r="F37" s="75"/>
      <c r="G37" s="75"/>
      <c r="H37" s="75"/>
      <c r="I37" s="75"/>
      <c r="J37" s="75"/>
      <c r="K37" s="75"/>
      <c r="L37" s="76"/>
    </row>
    <row r="38" spans="2:12" ht="24" thickBot="1" x14ac:dyDescent="0.5">
      <c r="B38" s="77"/>
      <c r="C38" s="80"/>
      <c r="D38" s="80"/>
      <c r="E38" s="80"/>
      <c r="F38" s="80"/>
      <c r="G38" s="80"/>
      <c r="H38" s="80"/>
      <c r="I38" s="80"/>
      <c r="J38" s="80"/>
      <c r="K38" s="80"/>
      <c r="L38" s="79"/>
    </row>
  </sheetData>
  <mergeCells count="14">
    <mergeCell ref="D6:J6"/>
    <mergeCell ref="E8:I8"/>
    <mergeCell ref="D10:J10"/>
    <mergeCell ref="D13:J13"/>
    <mergeCell ref="D33:J33"/>
    <mergeCell ref="D34:J34"/>
    <mergeCell ref="D16:J16"/>
    <mergeCell ref="D18:J21"/>
    <mergeCell ref="D22:J24"/>
    <mergeCell ref="E25:F25"/>
    <mergeCell ref="H26:J26"/>
    <mergeCell ref="D26:G26"/>
    <mergeCell ref="D32:J32"/>
    <mergeCell ref="E30:I30"/>
  </mergeCells>
  <pageMargins left="0.26" right="0.17" top="0.43307086614173229" bottom="0.2" header="0.31496062992125984" footer="0.16"/>
  <pageSetup scale="8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96"/>
  <sheetViews>
    <sheetView view="pageBreakPreview" topLeftCell="A73" zoomScale="60" zoomScaleNormal="70" workbookViewId="0">
      <selection activeCell="A91" sqref="A91"/>
    </sheetView>
  </sheetViews>
  <sheetFormatPr defaultColWidth="21.77734375" defaultRowHeight="25.8" x14ac:dyDescent="0.5"/>
  <cols>
    <col min="1" max="1" width="66.21875" style="2" customWidth="1"/>
    <col min="2" max="2" width="19" style="2" customWidth="1"/>
    <col min="3" max="3" width="20.44140625" style="2" bestFit="1" customWidth="1"/>
    <col min="4" max="6" width="21.77734375" style="2" bestFit="1" customWidth="1"/>
    <col min="7" max="16384" width="21.77734375" style="2"/>
  </cols>
  <sheetData>
    <row r="1" spans="1:15" x14ac:dyDescent="0.5">
      <c r="A1" s="350">
        <f>Assumptions.1!I3</f>
        <v>0</v>
      </c>
      <c r="B1" s="350"/>
      <c r="C1" s="350"/>
      <c r="D1" s="350"/>
      <c r="E1" s="350"/>
      <c r="F1" s="350"/>
    </row>
    <row r="2" spans="1:15" x14ac:dyDescent="0.5">
      <c r="A2" s="350">
        <f>Assumptions.1!I5</f>
        <v>0</v>
      </c>
      <c r="B2" s="350"/>
      <c r="C2" s="350"/>
      <c r="D2" s="350"/>
      <c r="E2" s="350"/>
      <c r="F2" s="350"/>
    </row>
    <row r="3" spans="1:15" ht="29.25" customHeight="1" x14ac:dyDescent="0.7">
      <c r="A3" s="350">
        <f>Assumptions.1!I6</f>
        <v>0</v>
      </c>
      <c r="B3" s="350"/>
      <c r="C3" s="350"/>
      <c r="D3" s="350"/>
      <c r="E3" s="350"/>
      <c r="F3" s="350"/>
      <c r="M3" s="107"/>
      <c r="N3" s="107"/>
      <c r="O3" s="107"/>
    </row>
    <row r="4" spans="1:15" ht="57" customHeight="1" x14ac:dyDescent="0.9">
      <c r="A4" s="363" t="s">
        <v>7</v>
      </c>
      <c r="B4" s="363"/>
      <c r="C4" s="363"/>
      <c r="D4" s="363"/>
      <c r="E4" s="363"/>
      <c r="F4" s="363"/>
      <c r="H4" s="126"/>
    </row>
    <row r="5" spans="1:15" ht="28.5" customHeight="1" x14ac:dyDescent="0.5">
      <c r="A5" s="352" t="s">
        <v>0</v>
      </c>
      <c r="B5" s="354" t="s">
        <v>36</v>
      </c>
      <c r="C5" s="89" t="str">
        <f>FinalWorkings!B5</f>
        <v xml:space="preserve">Audited </v>
      </c>
      <c r="D5" s="89" t="str">
        <f>FinalWorkings!C5</f>
        <v>Estimated</v>
      </c>
      <c r="E5" s="89" t="str">
        <f>FinalWorkings!D5</f>
        <v>Projected</v>
      </c>
      <c r="F5" s="89" t="str">
        <f>FinalWorkings!E5</f>
        <v>Projected</v>
      </c>
      <c r="H5"/>
    </row>
    <row r="6" spans="1:15" ht="37.5" customHeight="1" thickBot="1" x14ac:dyDescent="0.55000000000000004">
      <c r="A6" s="353"/>
      <c r="B6" s="355"/>
      <c r="C6" s="138">
        <f>FinalWorkings!B6</f>
        <v>0</v>
      </c>
      <c r="D6" s="138">
        <f>FinalWorkings!C6</f>
        <v>0</v>
      </c>
      <c r="E6" s="138">
        <f>FinalWorkings!D6</f>
        <v>0</v>
      </c>
      <c r="F6" s="138">
        <f>FinalWorkings!E6</f>
        <v>0</v>
      </c>
      <c r="G6" s="3"/>
    </row>
    <row r="7" spans="1:15" s="3" customFormat="1" ht="26.4" thickTop="1" x14ac:dyDescent="0.5">
      <c r="E7" s="4"/>
    </row>
    <row r="8" spans="1:15" s="3" customFormat="1" ht="30.6" x14ac:dyDescent="0.55000000000000004">
      <c r="A8" s="5" t="s">
        <v>303</v>
      </c>
      <c r="D8" s="141"/>
      <c r="E8" s="141"/>
      <c r="F8" s="141"/>
    </row>
    <row r="9" spans="1:15" s="3" customFormat="1" x14ac:dyDescent="0.5">
      <c r="A9" s="5"/>
      <c r="D9" s="4"/>
      <c r="E9" s="4"/>
    </row>
    <row r="10" spans="1:15" s="3" customFormat="1" ht="33" customHeight="1" x14ac:dyDescent="0.5">
      <c r="A10" s="2" t="s">
        <v>304</v>
      </c>
      <c r="B10" s="2"/>
      <c r="C10" s="6">
        <f>wp!C10</f>
        <v>0</v>
      </c>
      <c r="D10" s="6" t="e">
        <f>ROUND(FinalWorkings!C9,-4)</f>
        <v>#DIV/0!</v>
      </c>
      <c r="E10" s="6" t="e">
        <f>ROUND(FinalWorkings!D9,-4)</f>
        <v>#DIV/0!</v>
      </c>
      <c r="F10" s="6" t="e">
        <f>ROUND(FinalWorkings!E9,-4)</f>
        <v>#DIV/0!</v>
      </c>
    </row>
    <row r="11" spans="1:15" s="3" customFormat="1" ht="33" customHeight="1" x14ac:dyDescent="0.5">
      <c r="A11" s="2"/>
      <c r="B11" s="2"/>
      <c r="C11" s="6"/>
      <c r="D11" s="6"/>
      <c r="E11" s="6"/>
      <c r="F11" s="6"/>
    </row>
    <row r="12" spans="1:15" ht="38.25" customHeight="1" x14ac:dyDescent="0.5">
      <c r="C12" s="7">
        <f>SUM(C10:C11)</f>
        <v>0</v>
      </c>
      <c r="D12" s="7" t="e">
        <f>SUM(D10:D11)</f>
        <v>#DIV/0!</v>
      </c>
      <c r="E12" s="3" t="e">
        <f>SUM(E10:E11)</f>
        <v>#DIV/0!</v>
      </c>
      <c r="F12" s="7" t="e">
        <f>SUM(F10:F11)</f>
        <v>#DIV/0!</v>
      </c>
    </row>
    <row r="14" spans="1:15" x14ac:dyDescent="0.5">
      <c r="A14" s="5" t="s">
        <v>6</v>
      </c>
    </row>
    <row r="15" spans="1:15" x14ac:dyDescent="0.5">
      <c r="A15" s="5"/>
    </row>
    <row r="16" spans="1:15" ht="35.25" customHeight="1" x14ac:dyDescent="0.5">
      <c r="A16" s="2" t="s">
        <v>1</v>
      </c>
      <c r="B16" s="1"/>
      <c r="C16" s="50">
        <f>wp!C16</f>
        <v>0</v>
      </c>
      <c r="D16" s="50">
        <f>wp!D16</f>
        <v>0</v>
      </c>
      <c r="E16" s="50">
        <f>wp!E16</f>
        <v>0</v>
      </c>
      <c r="F16" s="50">
        <f>wp!F16</f>
        <v>0</v>
      </c>
    </row>
    <row r="17" spans="1:22" ht="37.5" customHeight="1" x14ac:dyDescent="0.5">
      <c r="A17" s="2" t="s">
        <v>96</v>
      </c>
      <c r="B17" s="1"/>
      <c r="C17" s="50">
        <f>wp!C17</f>
        <v>0</v>
      </c>
      <c r="D17" s="48" t="e">
        <f>ROUND(FinalWorkings!C10,-4)</f>
        <v>#DIV/0!</v>
      </c>
      <c r="E17" s="48" t="e">
        <f>ROUND(FinalWorkings!D10,-4)</f>
        <v>#DIV/0!</v>
      </c>
      <c r="F17" s="48" t="e">
        <f>ROUND(FinalWorkings!E10,-4)</f>
        <v>#DIV/0!</v>
      </c>
      <c r="L17"/>
      <c r="T17" s="6"/>
    </row>
    <row r="18" spans="1:22" ht="36" customHeight="1" x14ac:dyDescent="0.5">
      <c r="A18" s="2" t="s">
        <v>298</v>
      </c>
      <c r="B18" s="1"/>
      <c r="C18" s="50">
        <f>wp!C18</f>
        <v>0</v>
      </c>
      <c r="D18" s="48">
        <f>ROUND(FinalWorkings!C11,-3)</f>
        <v>0</v>
      </c>
      <c r="E18" s="48">
        <f>ROUND(FinalWorkings!D11,-3)</f>
        <v>0</v>
      </c>
      <c r="F18" s="48">
        <f>ROUND(FinalWorkings!E11,-3)</f>
        <v>0</v>
      </c>
    </row>
    <row r="19" spans="1:22" ht="39.75" customHeight="1" x14ac:dyDescent="0.5">
      <c r="A19" s="3" t="s">
        <v>66</v>
      </c>
      <c r="C19" s="3">
        <f>C16+C17-C18</f>
        <v>0</v>
      </c>
      <c r="D19" s="7" t="e">
        <f>D16+D17-D18</f>
        <v>#DIV/0!</v>
      </c>
      <c r="E19" s="7" t="e">
        <f>E16+E17-E18</f>
        <v>#DIV/0!</v>
      </c>
      <c r="F19" s="7" t="e">
        <f>F16+F17-F18</f>
        <v>#DIV/0!</v>
      </c>
    </row>
    <row r="20" spans="1:22" ht="46.5" customHeight="1" x14ac:dyDescent="0.5">
      <c r="A20" s="5"/>
      <c r="C20" s="3"/>
      <c r="D20" s="6"/>
    </row>
    <row r="21" spans="1:22" s="3" customFormat="1" ht="55.5" customHeight="1" x14ac:dyDescent="0.5">
      <c r="A21" s="5" t="s">
        <v>187</v>
      </c>
      <c r="C21" s="7">
        <f>C12-C19</f>
        <v>0</v>
      </c>
      <c r="D21" s="7" t="e">
        <f>D12-D19</f>
        <v>#DIV/0!</v>
      </c>
      <c r="E21" s="7" t="e">
        <f>E12-E19</f>
        <v>#DIV/0!</v>
      </c>
      <c r="F21" s="7" t="e">
        <f>F12-F19</f>
        <v>#DIV/0!</v>
      </c>
      <c r="H21" s="82"/>
      <c r="I21" s="82"/>
      <c r="J21" s="82"/>
      <c r="K21" s="82"/>
      <c r="L21" s="82"/>
    </row>
    <row r="22" spans="1:22" s="3" customFormat="1" ht="40.5" customHeight="1" x14ac:dyDescent="0.5">
      <c r="A22" s="5"/>
      <c r="C22" s="135"/>
      <c r="D22" s="135"/>
      <c r="E22" s="135"/>
      <c r="F22" s="135"/>
    </row>
    <row r="23" spans="1:22" s="3" customFormat="1" ht="40.5" customHeight="1" x14ac:dyDescent="0.5">
      <c r="A23" s="2" t="s">
        <v>188</v>
      </c>
      <c r="B23" s="2"/>
      <c r="C23" s="7">
        <f>wp!C23</f>
        <v>0</v>
      </c>
      <c r="D23" s="7">
        <f>ROUND(FinalWorkings!C12,-3)</f>
        <v>0</v>
      </c>
      <c r="E23" s="7">
        <f>ROUND(FinalWorkings!D12,-3)</f>
        <v>0</v>
      </c>
      <c r="F23" s="7">
        <f>ROUND(FinalWorkings!E12,-3)</f>
        <v>0</v>
      </c>
    </row>
    <row r="24" spans="1:22" s="3" customFormat="1" ht="40.5" customHeight="1" x14ac:dyDescent="0.5">
      <c r="A24" s="2"/>
      <c r="C24" s="7"/>
      <c r="D24" s="7"/>
      <c r="E24" s="7"/>
      <c r="F24" s="7"/>
      <c r="V24"/>
    </row>
    <row r="25" spans="1:22" ht="43.5" customHeight="1" x14ac:dyDescent="0.5">
      <c r="A25" s="2" t="s">
        <v>238</v>
      </c>
      <c r="B25" s="10" t="s">
        <v>237</v>
      </c>
      <c r="C25" s="6">
        <f>C85</f>
        <v>0</v>
      </c>
      <c r="D25" s="6" t="e">
        <f>D85</f>
        <v>#DIV/0!</v>
      </c>
      <c r="E25" s="6" t="e">
        <f>E85</f>
        <v>#DIV/0!</v>
      </c>
      <c r="F25" s="6" t="e">
        <f>F85</f>
        <v>#DIV/0!</v>
      </c>
      <c r="H25" s="86"/>
      <c r="I25" s="86"/>
      <c r="J25" s="86"/>
      <c r="K25" s="86"/>
      <c r="L25" s="86"/>
    </row>
    <row r="26" spans="1:22" ht="43.5" customHeight="1" x14ac:dyDescent="0.5">
      <c r="B26" s="10"/>
      <c r="H26" s="83"/>
      <c r="I26" s="83"/>
      <c r="J26" s="83"/>
      <c r="K26" s="83"/>
      <c r="L26" s="83"/>
    </row>
    <row r="27" spans="1:22" ht="43.5" customHeight="1" x14ac:dyDescent="0.5">
      <c r="A27" s="5" t="s">
        <v>189</v>
      </c>
      <c r="B27" s="10"/>
      <c r="C27" s="14">
        <f>C21+C23-C25</f>
        <v>0</v>
      </c>
      <c r="D27" s="14" t="e">
        <f>D21+D23-D25</f>
        <v>#DIV/0!</v>
      </c>
      <c r="E27" s="14" t="e">
        <f>E21+E23-E25</f>
        <v>#DIV/0!</v>
      </c>
      <c r="F27" s="14" t="e">
        <f>F21+F23-F25</f>
        <v>#DIV/0!</v>
      </c>
      <c r="H27" s="83"/>
      <c r="I27" s="83"/>
      <c r="J27" s="83"/>
      <c r="K27" s="83"/>
      <c r="L27" s="83"/>
    </row>
    <row r="28" spans="1:22" ht="31.5" customHeight="1" x14ac:dyDescent="0.5">
      <c r="A28" s="3"/>
      <c r="B28" s="10"/>
      <c r="H28" s="86"/>
      <c r="I28" s="86"/>
      <c r="J28" s="86"/>
      <c r="K28" s="86"/>
      <c r="L28" s="86"/>
    </row>
    <row r="29" spans="1:22" ht="43.5" customHeight="1" x14ac:dyDescent="0.5">
      <c r="A29" s="2" t="s">
        <v>190</v>
      </c>
      <c r="B29" s="10"/>
      <c r="C29" s="6">
        <f>wp!C29</f>
        <v>0</v>
      </c>
      <c r="D29" s="6">
        <f>wp!D29</f>
        <v>0</v>
      </c>
      <c r="E29" s="6">
        <f>wp!E29</f>
        <v>0</v>
      </c>
      <c r="F29" s="6">
        <f>wp!F29</f>
        <v>0</v>
      </c>
      <c r="H29" s="83"/>
      <c r="I29" s="83"/>
      <c r="J29" s="83"/>
      <c r="K29" s="83"/>
      <c r="L29" s="83"/>
    </row>
    <row r="30" spans="1:22" ht="43.5" customHeight="1" x14ac:dyDescent="0.5">
      <c r="B30" s="10"/>
      <c r="C30" s="6"/>
      <c r="D30" s="6"/>
      <c r="E30" s="6"/>
      <c r="F30" s="6"/>
      <c r="H30" s="83"/>
      <c r="I30" s="83"/>
      <c r="J30" s="83"/>
      <c r="K30" s="83"/>
      <c r="L30" s="83"/>
    </row>
    <row r="31" spans="1:22" s="15" customFormat="1" ht="40.5" customHeight="1" x14ac:dyDescent="0.5">
      <c r="A31" s="5" t="s">
        <v>191</v>
      </c>
      <c r="C31" s="14">
        <f>C27-C29</f>
        <v>0</v>
      </c>
      <c r="D31" s="14" t="e">
        <f>D27-D29</f>
        <v>#DIV/0!</v>
      </c>
      <c r="E31" s="14" t="e">
        <f>E27-E29</f>
        <v>#DIV/0!</v>
      </c>
      <c r="F31" s="14" t="e">
        <f>F27-F29</f>
        <v>#DIV/0!</v>
      </c>
      <c r="H31" s="84"/>
      <c r="I31" s="84"/>
      <c r="J31" s="84"/>
      <c r="K31" s="84"/>
      <c r="L31" s="84"/>
    </row>
    <row r="32" spans="1:22" ht="31.5" customHeight="1" x14ac:dyDescent="0.5">
      <c r="A32" s="3"/>
      <c r="D32" s="6"/>
      <c r="E32" s="6"/>
      <c r="F32" s="6"/>
      <c r="H32" s="83"/>
      <c r="I32" s="83"/>
      <c r="J32" s="83"/>
      <c r="K32" s="83"/>
      <c r="L32" s="83"/>
    </row>
    <row r="33" spans="1:14" ht="40.5" customHeight="1" x14ac:dyDescent="0.5">
      <c r="A33" s="2" t="s">
        <v>192</v>
      </c>
      <c r="B33" s="10" t="s">
        <v>39</v>
      </c>
      <c r="C33" s="6">
        <f>C94</f>
        <v>0</v>
      </c>
      <c r="D33" s="6" t="e">
        <f>D94</f>
        <v>#DIV/0!</v>
      </c>
      <c r="E33" s="6" t="e">
        <f>E94</f>
        <v>#DIV/0!</v>
      </c>
      <c r="F33" s="6" t="e">
        <f>F94</f>
        <v>#DIV/0!</v>
      </c>
      <c r="H33" s="83"/>
      <c r="I33" s="83"/>
      <c r="J33" s="83"/>
      <c r="K33" s="83"/>
      <c r="L33" s="83"/>
    </row>
    <row r="34" spans="1:14" x14ac:dyDescent="0.5">
      <c r="H34" s="83"/>
      <c r="I34" s="83"/>
      <c r="J34" s="83"/>
      <c r="K34" s="83"/>
      <c r="L34" s="83"/>
    </row>
    <row r="35" spans="1:14" s="3" customFormat="1" ht="48" customHeight="1" x14ac:dyDescent="0.5">
      <c r="A35" s="8" t="s">
        <v>193</v>
      </c>
      <c r="B35" s="9"/>
      <c r="C35" s="13">
        <f>C31-C33</f>
        <v>0</v>
      </c>
      <c r="D35" s="13" t="e">
        <f>D31-D33</f>
        <v>#DIV/0!</v>
      </c>
      <c r="E35" s="13" t="e">
        <f>E31-E33</f>
        <v>#DIV/0!</v>
      </c>
      <c r="F35" s="13" t="e">
        <f>F31-F33</f>
        <v>#DIV/0!</v>
      </c>
      <c r="H35" s="85"/>
      <c r="I35" s="85"/>
      <c r="J35" s="85"/>
      <c r="K35" s="85"/>
      <c r="L35" s="85"/>
    </row>
    <row r="36" spans="1:14" ht="26.4" thickBot="1" x14ac:dyDescent="0.55000000000000004">
      <c r="A36" s="11"/>
      <c r="B36" s="11"/>
      <c r="C36" s="11"/>
      <c r="D36" s="11"/>
      <c r="E36" s="11"/>
      <c r="F36" s="11"/>
    </row>
    <row r="37" spans="1:14" x14ac:dyDescent="0.5">
      <c r="C37" s="120"/>
      <c r="D37" s="120"/>
      <c r="E37" s="120"/>
      <c r="F37" s="120"/>
    </row>
    <row r="38" spans="1:14" ht="35.25" customHeight="1" x14ac:dyDescent="0.5">
      <c r="A38" s="350">
        <f>A1</f>
        <v>0</v>
      </c>
      <c r="B38" s="350"/>
      <c r="C38" s="350"/>
      <c r="D38" s="350"/>
      <c r="E38" s="350"/>
      <c r="F38" s="350"/>
    </row>
    <row r="39" spans="1:14" ht="39" customHeight="1" x14ac:dyDescent="0.5">
      <c r="A39" s="350">
        <f>A2</f>
        <v>0</v>
      </c>
      <c r="B39" s="350"/>
      <c r="C39" s="350"/>
      <c r="D39" s="350"/>
      <c r="E39" s="350"/>
      <c r="F39" s="350"/>
    </row>
    <row r="40" spans="1:14" ht="44.25" customHeight="1" x14ac:dyDescent="0.5">
      <c r="A40" s="350">
        <f>A3</f>
        <v>0</v>
      </c>
      <c r="B40" s="350"/>
      <c r="C40" s="350"/>
      <c r="D40" s="350"/>
      <c r="E40" s="350"/>
      <c r="F40" s="350"/>
    </row>
    <row r="41" spans="1:14" ht="44.25" customHeight="1" x14ac:dyDescent="0.7">
      <c r="A41" s="1"/>
      <c r="B41" s="1"/>
      <c r="C41" s="1"/>
      <c r="D41" s="1"/>
      <c r="E41" s="1"/>
      <c r="F41" s="1"/>
      <c r="N41" s="107"/>
    </row>
    <row r="42" spans="1:14" ht="48.75" customHeight="1" x14ac:dyDescent="0.9">
      <c r="A42" s="363" t="s">
        <v>10</v>
      </c>
      <c r="B42" s="363"/>
      <c r="C42" s="363"/>
      <c r="D42" s="363"/>
      <c r="E42" s="363"/>
      <c r="F42" s="363"/>
      <c r="H42" s="126"/>
    </row>
    <row r="43" spans="1:14" ht="30.75" customHeight="1" x14ac:dyDescent="0.5">
      <c r="A43" s="354" t="s">
        <v>23</v>
      </c>
      <c r="B43" s="354" t="s">
        <v>36</v>
      </c>
      <c r="C43" s="89" t="str">
        <f t="shared" ref="C43:F44" si="0">C5</f>
        <v xml:space="preserve">Audited </v>
      </c>
      <c r="D43" s="89" t="str">
        <f t="shared" si="0"/>
        <v>Estimated</v>
      </c>
      <c r="E43" s="89" t="str">
        <f t="shared" si="0"/>
        <v>Projected</v>
      </c>
      <c r="F43" s="89" t="str">
        <f t="shared" si="0"/>
        <v>Projected</v>
      </c>
    </row>
    <row r="44" spans="1:14" ht="30.75" customHeight="1" thickBot="1" x14ac:dyDescent="0.55000000000000004">
      <c r="A44" s="355"/>
      <c r="B44" s="355"/>
      <c r="C44" s="138">
        <f t="shared" si="0"/>
        <v>0</v>
      </c>
      <c r="D44" s="138">
        <f t="shared" si="0"/>
        <v>0</v>
      </c>
      <c r="E44" s="138">
        <f t="shared" si="0"/>
        <v>0</v>
      </c>
      <c r="F44" s="138">
        <f t="shared" si="0"/>
        <v>0</v>
      </c>
      <c r="H44"/>
    </row>
    <row r="45" spans="1:14" ht="33.75" customHeight="1" thickTop="1" x14ac:dyDescent="0.5">
      <c r="A45" s="43" t="s">
        <v>8</v>
      </c>
    </row>
    <row r="46" spans="1:14" ht="30.6" x14ac:dyDescent="0.55000000000000004">
      <c r="D46" s="141"/>
      <c r="E46" s="141"/>
      <c r="F46" s="141"/>
    </row>
    <row r="47" spans="1:14" ht="42.75" customHeight="1" x14ac:dyDescent="0.5">
      <c r="A47" s="2" t="s">
        <v>305</v>
      </c>
      <c r="C47" s="6">
        <f>wp!C48</f>
        <v>0</v>
      </c>
      <c r="D47" s="6" t="e">
        <f>D56-SUM(D48:D55)</f>
        <v>#DIV/0!</v>
      </c>
      <c r="E47" s="6" t="e">
        <f>E56-SUM(E48:E55)</f>
        <v>#DIV/0!</v>
      </c>
      <c r="F47" s="6" t="e">
        <f>F56-SUM(F48:F55)</f>
        <v>#DIV/0!</v>
      </c>
      <c r="G47" s="6"/>
      <c r="H47" s="6"/>
    </row>
    <row r="48" spans="1:14" ht="42.75" customHeight="1" x14ac:dyDescent="0.5">
      <c r="A48" s="56" t="s">
        <v>79</v>
      </c>
      <c r="B48" s="54"/>
      <c r="J48"/>
    </row>
    <row r="49" spans="1:7" ht="42.75" customHeight="1" x14ac:dyDescent="0.5">
      <c r="A49" s="3" t="s">
        <v>77</v>
      </c>
      <c r="B49" s="54"/>
    </row>
    <row r="50" spans="1:7" ht="39" customHeight="1" x14ac:dyDescent="0.5">
      <c r="A50" s="2" t="s">
        <v>137</v>
      </c>
      <c r="C50" s="50">
        <f>wp!C51</f>
        <v>0</v>
      </c>
      <c r="D50" s="48">
        <f>ROUND(FinalWorkings!C22,-3)</f>
        <v>0</v>
      </c>
      <c r="E50" s="48">
        <f>ROUND(FinalWorkings!D22,-3)</f>
        <v>0</v>
      </c>
      <c r="F50" s="48">
        <f>ROUND(FinalWorkings!E22,-3)</f>
        <v>0</v>
      </c>
    </row>
    <row r="51" spans="1:7" ht="42.75" customHeight="1" x14ac:dyDescent="0.5">
      <c r="B51" s="54"/>
      <c r="C51" s="48"/>
      <c r="D51" s="48"/>
      <c r="E51" s="48"/>
      <c r="F51" s="48"/>
    </row>
    <row r="52" spans="1:7" ht="42.75" customHeight="1" x14ac:dyDescent="0.5">
      <c r="A52" s="3" t="s">
        <v>84</v>
      </c>
      <c r="B52" s="1"/>
    </row>
    <row r="53" spans="1:7" ht="42.75" customHeight="1" x14ac:dyDescent="0.5">
      <c r="A53" s="2" t="s">
        <v>144</v>
      </c>
      <c r="B53" s="54"/>
      <c r="C53" s="48">
        <f>wp!C55</f>
        <v>0</v>
      </c>
      <c r="D53" s="48" t="e">
        <f>wp!D55</f>
        <v>#DIV/0!</v>
      </c>
      <c r="E53" s="48" t="e">
        <f>wp!E55</f>
        <v>#DIV/0!</v>
      </c>
      <c r="F53" s="48" t="e">
        <f>wp!F55</f>
        <v>#DIV/0!</v>
      </c>
      <c r="G53" s="48"/>
    </row>
    <row r="54" spans="1:7" ht="51" customHeight="1" x14ac:dyDescent="0.5">
      <c r="A54" s="2" t="s">
        <v>139</v>
      </c>
      <c r="C54" s="2">
        <f>wp!C56</f>
        <v>0</v>
      </c>
      <c r="D54" s="2">
        <f>ROUND(FinalWorkings!C24,-4)</f>
        <v>0</v>
      </c>
      <c r="E54" s="2">
        <f>ROUND(FinalWorkings!D24,-4)</f>
        <v>0</v>
      </c>
      <c r="F54" s="2">
        <f>ROUND(FinalWorkings!E24,-4)</f>
        <v>0</v>
      </c>
    </row>
    <row r="55" spans="1:7" ht="45" customHeight="1" x14ac:dyDescent="0.5">
      <c r="B55" s="54"/>
      <c r="C55" s="6"/>
      <c r="D55" s="6"/>
      <c r="E55" s="6"/>
      <c r="F55" s="6"/>
    </row>
    <row r="56" spans="1:7" ht="47.25" customHeight="1" thickBot="1" x14ac:dyDescent="0.55000000000000004">
      <c r="C56" s="12">
        <f>SUM(C47:C55)</f>
        <v>0</v>
      </c>
      <c r="D56" s="12" t="e">
        <f>D70</f>
        <v>#DIV/0!</v>
      </c>
      <c r="E56" s="12" t="e">
        <f>E70</f>
        <v>#DIV/0!</v>
      </c>
      <c r="F56" s="12" t="e">
        <f>F70</f>
        <v>#DIV/0!</v>
      </c>
    </row>
    <row r="57" spans="1:7" ht="47.25" customHeight="1" thickTop="1" x14ac:dyDescent="0.5">
      <c r="C57" s="7"/>
      <c r="D57" s="7"/>
      <c r="E57" s="7"/>
      <c r="F57" s="7"/>
    </row>
    <row r="58" spans="1:7" ht="36.75" customHeight="1" x14ac:dyDescent="0.5">
      <c r="A58" s="43" t="s">
        <v>9</v>
      </c>
    </row>
    <row r="59" spans="1:7" ht="36.75" customHeight="1" x14ac:dyDescent="0.5">
      <c r="A59" s="5"/>
    </row>
    <row r="60" spans="1:7" ht="36.75" customHeight="1" x14ac:dyDescent="0.5">
      <c r="A60" s="3" t="s">
        <v>80</v>
      </c>
      <c r="C60" s="6">
        <f>wp!C64</f>
        <v>0</v>
      </c>
      <c r="D60" s="6">
        <f>wp!D64</f>
        <v>0</v>
      </c>
      <c r="E60" s="6">
        <f>wp!E64</f>
        <v>0</v>
      </c>
      <c r="F60" s="6">
        <f>wp!F64</f>
        <v>0</v>
      </c>
      <c r="G60" s="6"/>
    </row>
    <row r="61" spans="1:7" ht="31.5" customHeight="1" x14ac:dyDescent="0.5">
      <c r="C61" s="6"/>
      <c r="D61" s="6"/>
      <c r="E61" s="6"/>
      <c r="F61" s="6"/>
    </row>
    <row r="62" spans="1:7" ht="31.5" customHeight="1" x14ac:dyDescent="0.5">
      <c r="A62" s="3" t="s">
        <v>140</v>
      </c>
      <c r="C62" s="2">
        <f>wp!C66</f>
        <v>0</v>
      </c>
      <c r="D62" s="2">
        <f>ROUND(FinalWorkings!C25,-4)</f>
        <v>0</v>
      </c>
      <c r="E62" s="2">
        <f>ROUND(FinalWorkings!D25,-4)</f>
        <v>0</v>
      </c>
      <c r="F62" s="2">
        <f>ROUND(FinalWorkings!E25,-4)</f>
        <v>0</v>
      </c>
    </row>
    <row r="63" spans="1:7" ht="31.5" customHeight="1" x14ac:dyDescent="0.5">
      <c r="C63" s="6"/>
      <c r="D63" s="6"/>
      <c r="E63" s="6"/>
      <c r="F63" s="6"/>
    </row>
    <row r="64" spans="1:7" ht="42.75" customHeight="1" x14ac:dyDescent="0.5">
      <c r="A64" s="3" t="s">
        <v>81</v>
      </c>
      <c r="B64" s="54"/>
    </row>
    <row r="65" spans="1:14" ht="42.75" customHeight="1" x14ac:dyDescent="0.5">
      <c r="A65" s="2" t="s">
        <v>141</v>
      </c>
      <c r="C65" s="2">
        <f>wp!C69</f>
        <v>0</v>
      </c>
      <c r="D65" s="2">
        <f>ROUND(FinalWorkings!C26,-4)</f>
        <v>0</v>
      </c>
      <c r="E65" s="2">
        <f>ROUND(FinalWorkings!D26,-4)</f>
        <v>0</v>
      </c>
      <c r="F65" s="2">
        <f>ROUND(FinalWorkings!E26,-4)</f>
        <v>0</v>
      </c>
    </row>
    <row r="66" spans="1:14" ht="42.75" customHeight="1" x14ac:dyDescent="0.5">
      <c r="A66" s="2" t="str">
        <f>A18</f>
        <v>Closing Stock / WIP</v>
      </c>
      <c r="B66" s="54"/>
      <c r="C66" s="2">
        <f>C18</f>
        <v>0</v>
      </c>
      <c r="D66" s="2">
        <f>D18</f>
        <v>0</v>
      </c>
      <c r="E66" s="6">
        <f>E18</f>
        <v>0</v>
      </c>
      <c r="F66" s="6">
        <f>F18</f>
        <v>0</v>
      </c>
    </row>
    <row r="67" spans="1:14" ht="44.25" customHeight="1" x14ac:dyDescent="0.5">
      <c r="A67" s="2" t="s">
        <v>4</v>
      </c>
      <c r="C67" s="2">
        <f>wp!C71</f>
        <v>0</v>
      </c>
      <c r="D67" s="6" t="e">
        <f>ROUND(FinalWorkings!C27,-4)</f>
        <v>#DIV/0!</v>
      </c>
      <c r="E67" s="6" t="e">
        <f>ROUND(FinalWorkings!D27,-4)</f>
        <v>#DIV/0!</v>
      </c>
      <c r="F67" s="6" t="e">
        <f>ROUND(FinalWorkings!E27,-4)</f>
        <v>#DIV/0!</v>
      </c>
      <c r="G67" s="6"/>
    </row>
    <row r="68" spans="1:14" ht="39" customHeight="1" x14ac:dyDescent="0.5">
      <c r="A68" s="2" t="s">
        <v>65</v>
      </c>
      <c r="C68" s="2">
        <f>wp!C72</f>
        <v>0</v>
      </c>
      <c r="D68" s="6" t="e">
        <f>ROUND(FinalWorkings!C28,-4)</f>
        <v>#DIV/0!</v>
      </c>
      <c r="E68" s="6" t="e">
        <f>ROUND(FinalWorkings!D28,-4)</f>
        <v>#DIV/0!</v>
      </c>
      <c r="F68" s="6" t="e">
        <f>ROUND(FinalWorkings!E28,-4)</f>
        <v>#DIV/0!</v>
      </c>
    </row>
    <row r="69" spans="1:14" ht="39" customHeight="1" x14ac:dyDescent="0.5"/>
    <row r="70" spans="1:14" ht="53.25" customHeight="1" thickBot="1" x14ac:dyDescent="0.55000000000000004">
      <c r="C70" s="12">
        <f>SUM(C60:C69)</f>
        <v>0</v>
      </c>
      <c r="D70" s="12" t="e">
        <f>SUM(D60:D69)</f>
        <v>#DIV/0!</v>
      </c>
      <c r="E70" s="12" t="e">
        <f>SUM(E60:E69)</f>
        <v>#DIV/0!</v>
      </c>
      <c r="F70" s="12" t="e">
        <f>SUM(F60:F69)</f>
        <v>#DIV/0!</v>
      </c>
    </row>
    <row r="71" spans="1:14" ht="30.75" customHeight="1" thickTop="1" thickBot="1" x14ac:dyDescent="0.55000000000000004">
      <c r="A71" s="11"/>
      <c r="B71" s="11"/>
      <c r="C71" s="142">
        <f>C56-C70</f>
        <v>0</v>
      </c>
      <c r="D71" s="142" t="e">
        <f>D56-D70</f>
        <v>#DIV/0!</v>
      </c>
      <c r="E71" s="142" t="e">
        <f>E56-E70</f>
        <v>#DIV/0!</v>
      </c>
      <c r="F71" s="142" t="e">
        <f>F56-F70</f>
        <v>#DIV/0!</v>
      </c>
    </row>
    <row r="72" spans="1:14" ht="51.75" customHeight="1" x14ac:dyDescent="0.55000000000000004">
      <c r="C72" s="7"/>
      <c r="D72" s="7"/>
      <c r="E72" s="7"/>
      <c r="F72" s="7"/>
      <c r="H72" s="139"/>
      <c r="I72" s="139"/>
      <c r="J72" s="139"/>
      <c r="K72" s="139"/>
      <c r="L72" s="139"/>
      <c r="M72" s="139"/>
      <c r="N72" s="140"/>
    </row>
    <row r="73" spans="1:14" ht="30" customHeight="1" x14ac:dyDescent="0.55000000000000004">
      <c r="A73" s="363" t="s">
        <v>37</v>
      </c>
      <c r="B73" s="363"/>
      <c r="C73" s="363"/>
      <c r="D73" s="363"/>
      <c r="E73" s="363"/>
      <c r="F73" s="363"/>
      <c r="H73" s="139"/>
      <c r="I73" s="139"/>
      <c r="J73" s="139"/>
      <c r="K73" s="139"/>
      <c r="L73" s="139"/>
      <c r="M73" s="139"/>
      <c r="N73" s="140"/>
    </row>
    <row r="74" spans="1:14" ht="95.25" customHeight="1" thickBot="1" x14ac:dyDescent="0.55000000000000004">
      <c r="A74" s="57"/>
      <c r="B74" s="57"/>
      <c r="C74" s="58">
        <f>C44</f>
        <v>0</v>
      </c>
      <c r="D74" s="58">
        <f>D44</f>
        <v>0</v>
      </c>
      <c r="E74" s="58">
        <f>E44</f>
        <v>0</v>
      </c>
      <c r="F74" s="58">
        <f>F44</f>
        <v>0</v>
      </c>
    </row>
    <row r="75" spans="1:14" ht="26.4" thickTop="1" x14ac:dyDescent="0.5"/>
    <row r="76" spans="1:14" x14ac:dyDescent="0.5">
      <c r="G76" s="6"/>
    </row>
    <row r="77" spans="1:14" x14ac:dyDescent="0.5">
      <c r="A77" s="2" t="s">
        <v>163</v>
      </c>
      <c r="C77" s="2">
        <f>wp!C83</f>
        <v>0</v>
      </c>
      <c r="D77" s="6">
        <f>ROUND(FinalWorkings!C13,-3)</f>
        <v>0</v>
      </c>
      <c r="E77" s="6">
        <f>ROUND(FinalWorkings!D13,-3)</f>
        <v>0</v>
      </c>
      <c r="F77" s="6">
        <f>ROUND(FinalWorkings!E13,-3)</f>
        <v>0</v>
      </c>
      <c r="G77" s="6"/>
    </row>
    <row r="78" spans="1:14" ht="35.25" customHeight="1" x14ac:dyDescent="0.5">
      <c r="A78" s="2" t="s">
        <v>70</v>
      </c>
      <c r="C78" s="2">
        <f>wp!C84</f>
        <v>0</v>
      </c>
      <c r="D78" s="6" t="e">
        <f>ROUND(FinalWorkings!C14,-3)</f>
        <v>#DIV/0!</v>
      </c>
      <c r="E78" s="6" t="e">
        <f>ROUND(FinalWorkings!D14,-3)</f>
        <v>#DIV/0!</v>
      </c>
      <c r="F78" s="6" t="e">
        <f>ROUND(FinalWorkings!E14,-3)</f>
        <v>#DIV/0!</v>
      </c>
      <c r="I78" s="6"/>
      <c r="J78" s="6"/>
      <c r="K78" s="6"/>
      <c r="L78" s="6"/>
    </row>
    <row r="79" spans="1:14" ht="35.25" customHeight="1" x14ac:dyDescent="0.5">
      <c r="A79" s="2" t="s">
        <v>69</v>
      </c>
      <c r="C79" s="2">
        <f>wp!C85</f>
        <v>0</v>
      </c>
      <c r="D79" s="6" t="e">
        <f>ROUND(FinalWorkings!C15,-3)</f>
        <v>#DIV/0!</v>
      </c>
      <c r="E79" s="6" t="e">
        <f>ROUND(FinalWorkings!D15,-3)</f>
        <v>#DIV/0!</v>
      </c>
      <c r="F79" s="6" t="e">
        <f>ROUND(FinalWorkings!E15,-3)</f>
        <v>#DIV/0!</v>
      </c>
      <c r="I79" s="6"/>
      <c r="J79" s="6"/>
      <c r="K79" s="6"/>
      <c r="L79" s="6"/>
    </row>
    <row r="80" spans="1:14" ht="35.25" customHeight="1" x14ac:dyDescent="0.5">
      <c r="A80" s="2" t="s">
        <v>76</v>
      </c>
      <c r="C80" s="2">
        <f>wp!C86</f>
        <v>0</v>
      </c>
      <c r="D80" s="6">
        <f>wp!D86</f>
        <v>0</v>
      </c>
      <c r="E80" s="6">
        <f>wp!E86</f>
        <v>0</v>
      </c>
      <c r="F80" s="6">
        <f>wp!F86</f>
        <v>0</v>
      </c>
      <c r="I80" s="6"/>
      <c r="J80" s="6"/>
      <c r="K80" s="6"/>
      <c r="L80" s="6"/>
    </row>
    <row r="81" spans="1:11" ht="41.25" customHeight="1" x14ac:dyDescent="0.5">
      <c r="A81" s="2" t="s">
        <v>300</v>
      </c>
      <c r="C81" s="2">
        <f>wp!C87</f>
        <v>0</v>
      </c>
      <c r="D81" s="6" t="e">
        <f>ROUND(FinalWorkings!C16,-4)</f>
        <v>#DIV/0!</v>
      </c>
      <c r="E81" s="6" t="e">
        <f>ROUND(FinalWorkings!D16,-4)</f>
        <v>#DIV/0!</v>
      </c>
      <c r="F81" s="6" t="e">
        <f>ROUND(FinalWorkings!E16,-4)</f>
        <v>#DIV/0!</v>
      </c>
      <c r="I81" s="87"/>
      <c r="J81" s="87"/>
      <c r="K81" s="87"/>
    </row>
    <row r="82" spans="1:11" ht="27.75" customHeight="1" x14ac:dyDescent="0.5">
      <c r="D82" s="6"/>
      <c r="E82" s="6"/>
      <c r="F82" s="6"/>
    </row>
    <row r="83" spans="1:11" ht="27.75" customHeight="1" x14ac:dyDescent="0.5">
      <c r="E83" s="6"/>
      <c r="F83" s="6"/>
    </row>
    <row r="85" spans="1:11" ht="50.25" customHeight="1" x14ac:dyDescent="0.5">
      <c r="C85" s="51">
        <f>SUM(C75:C84)</f>
        <v>0</v>
      </c>
      <c r="D85" s="51" t="e">
        <f>SUM(D75:D84)</f>
        <v>#DIV/0!</v>
      </c>
      <c r="E85" s="51" t="e">
        <f>SUM(E75:E84)</f>
        <v>#DIV/0!</v>
      </c>
      <c r="F85" s="51" t="e">
        <f>SUM(F75:F84)</f>
        <v>#DIV/0!</v>
      </c>
    </row>
    <row r="86" spans="1:11" ht="34.5" customHeight="1" x14ac:dyDescent="0.5">
      <c r="C86" s="68"/>
      <c r="D86" s="68"/>
      <c r="E86" s="68"/>
      <c r="F86" s="68"/>
      <c r="I86" s="6"/>
    </row>
    <row r="87" spans="1:11" ht="40.5" customHeight="1" x14ac:dyDescent="0.5">
      <c r="A87" s="363" t="s">
        <v>38</v>
      </c>
      <c r="B87" s="363"/>
      <c r="C87" s="363"/>
      <c r="D87" s="363"/>
      <c r="E87" s="363"/>
      <c r="F87" s="363"/>
    </row>
    <row r="88" spans="1:11" ht="98.25" customHeight="1" thickBot="1" x14ac:dyDescent="0.55000000000000004">
      <c r="A88" s="57"/>
      <c r="B88" s="57"/>
      <c r="C88" s="58">
        <f>C74</f>
        <v>0</v>
      </c>
      <c r="D88" s="58">
        <f>D74</f>
        <v>0</v>
      </c>
      <c r="E88" s="58">
        <f>E74</f>
        <v>0</v>
      </c>
      <c r="F88" s="58">
        <f>F74</f>
        <v>0</v>
      </c>
    </row>
    <row r="89" spans="1:11" ht="32.25" customHeight="1" thickTop="1" x14ac:dyDescent="0.5">
      <c r="C89" s="4"/>
      <c r="D89" s="4"/>
      <c r="E89" s="4"/>
      <c r="F89" s="4"/>
    </row>
    <row r="90" spans="1:11" ht="33" customHeight="1" x14ac:dyDescent="0.5">
      <c r="A90" s="2" t="s">
        <v>136</v>
      </c>
      <c r="C90" s="48">
        <f>FinalWorkings!B17</f>
        <v>0</v>
      </c>
      <c r="D90" s="6" t="e">
        <f>ROUND(FinalWorkings!C17,-4)</f>
        <v>#DIV/0!</v>
      </c>
      <c r="E90" s="6">
        <f>ROUND(FinalWorkings!D17,-4)</f>
        <v>0</v>
      </c>
      <c r="F90" s="6">
        <f>ROUND(FinalWorkings!E17,-4)</f>
        <v>0</v>
      </c>
    </row>
    <row r="91" spans="1:11" ht="33" customHeight="1" x14ac:dyDescent="0.5">
      <c r="A91" s="2" t="s">
        <v>306</v>
      </c>
      <c r="C91" s="48">
        <f>FinalWorkings!B18</f>
        <v>0</v>
      </c>
      <c r="D91" s="6" t="e">
        <f>ROUND(FinalWorkings!C18,-3)</f>
        <v>#DIV/0!</v>
      </c>
      <c r="E91" s="6" t="e">
        <f>ROUND(FinalWorkings!D18,-3)</f>
        <v>#DIV/0!</v>
      </c>
      <c r="F91" s="6" t="e">
        <f>ROUND(FinalWorkings!E18,-3)</f>
        <v>#DIV/0!</v>
      </c>
    </row>
    <row r="92" spans="1:11" ht="33" customHeight="1" x14ac:dyDescent="0.5">
      <c r="C92" s="48"/>
      <c r="D92" s="6"/>
      <c r="E92" s="6"/>
      <c r="F92" s="6"/>
    </row>
    <row r="93" spans="1:11" ht="34.5" customHeight="1" x14ac:dyDescent="0.5">
      <c r="C93" s="48"/>
      <c r="D93" s="52"/>
      <c r="E93" s="52"/>
      <c r="F93" s="52"/>
    </row>
    <row r="94" spans="1:11" ht="46.5" customHeight="1" x14ac:dyDescent="0.5">
      <c r="C94" s="51">
        <f>SUM(C89:C93)</f>
        <v>0</v>
      </c>
      <c r="D94" s="51" t="e">
        <f>SUM(D89:D93)</f>
        <v>#DIV/0!</v>
      </c>
      <c r="E94" s="51" t="e">
        <f>SUM(E89:E93)</f>
        <v>#DIV/0!</v>
      </c>
      <c r="F94" s="51" t="e">
        <f>SUM(F89:F93)</f>
        <v>#DIV/0!</v>
      </c>
    </row>
    <row r="95" spans="1:11" ht="25.5" customHeight="1" x14ac:dyDescent="0.5">
      <c r="C95" s="3"/>
      <c r="D95" s="3"/>
      <c r="E95" s="3"/>
    </row>
    <row r="96" spans="1:11" ht="25.5" customHeight="1" x14ac:dyDescent="0.5">
      <c r="C96" s="68"/>
      <c r="D96" s="68"/>
      <c r="E96" s="68"/>
      <c r="F96" s="68"/>
    </row>
  </sheetData>
  <mergeCells count="14">
    <mergeCell ref="A73:F73"/>
    <mergeCell ref="A87:F87"/>
    <mergeCell ref="A38:F38"/>
    <mergeCell ref="A39:F39"/>
    <mergeCell ref="A40:F40"/>
    <mergeCell ref="A42:F42"/>
    <mergeCell ref="A43:A44"/>
    <mergeCell ref="B43:B44"/>
    <mergeCell ref="A1:F1"/>
    <mergeCell ref="A2:F2"/>
    <mergeCell ref="A3:F3"/>
    <mergeCell ref="A4:F4"/>
    <mergeCell ref="A5:A6"/>
    <mergeCell ref="B5:B6"/>
  </mergeCells>
  <pageMargins left="0.56000000000000005" right="0.15748031496062992" top="0.39370078740157483" bottom="0.44" header="0.31496062992125984" footer="0.31496062992125984"/>
  <pageSetup scale="53" orientation="portrait" r:id="rId1"/>
  <rowBreaks count="1" manualBreakCount="1">
    <brk id="3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2"/>
  <sheetViews>
    <sheetView view="pageBreakPreview" topLeftCell="A13" zoomScale="70" zoomScaleSheetLayoutView="70" workbookViewId="0">
      <selection activeCell="A105" sqref="A105"/>
    </sheetView>
  </sheetViews>
  <sheetFormatPr defaultColWidth="9.21875" defaultRowHeight="14.4" x14ac:dyDescent="0.35"/>
  <cols>
    <col min="1" max="1" width="27.5546875" style="17" customWidth="1"/>
    <col min="2" max="2" width="11.44140625" style="17" customWidth="1"/>
    <col min="3" max="5" width="12.44140625" style="17" bestFit="1" customWidth="1"/>
    <col min="6" max="6" width="11.5546875" style="17" bestFit="1" customWidth="1"/>
    <col min="7" max="7" width="11.21875" style="17" customWidth="1"/>
    <col min="8" max="16384" width="9.21875" style="17"/>
  </cols>
  <sheetData>
    <row r="1" spans="1:7" ht="15" x14ac:dyDescent="0.35">
      <c r="A1" s="370">
        <f>Assumptions.1!I3</f>
        <v>0</v>
      </c>
      <c r="B1" s="370"/>
      <c r="C1" s="370"/>
      <c r="D1" s="370"/>
      <c r="E1" s="370"/>
      <c r="F1" s="370"/>
      <c r="G1" s="40"/>
    </row>
    <row r="2" spans="1:7" ht="15" x14ac:dyDescent="0.35">
      <c r="A2" s="370">
        <f>Assumptions.1!I5</f>
        <v>0</v>
      </c>
      <c r="B2" s="370"/>
      <c r="C2" s="370"/>
      <c r="D2" s="370"/>
      <c r="E2" s="370"/>
      <c r="F2" s="370"/>
      <c r="G2" s="40"/>
    </row>
    <row r="3" spans="1:7" ht="15" x14ac:dyDescent="0.35">
      <c r="A3" s="370">
        <f>Assumptions.1!I6</f>
        <v>0</v>
      </c>
      <c r="B3" s="370"/>
      <c r="C3" s="370"/>
      <c r="D3" s="370"/>
      <c r="E3" s="370"/>
      <c r="F3" s="370"/>
      <c r="G3" s="40"/>
    </row>
    <row r="5" spans="1:7" ht="15" x14ac:dyDescent="0.35">
      <c r="A5" s="371" t="s">
        <v>20</v>
      </c>
      <c r="B5" s="371"/>
      <c r="C5" s="371"/>
      <c r="D5" s="371"/>
      <c r="E5" s="371"/>
      <c r="F5" s="371"/>
      <c r="G5" s="16"/>
    </row>
    <row r="6" spans="1:7" x14ac:dyDescent="0.35">
      <c r="A6" s="16"/>
      <c r="B6" s="16"/>
      <c r="C6" s="16"/>
      <c r="D6" s="16"/>
      <c r="E6" s="16"/>
      <c r="F6" s="16"/>
      <c r="G6" s="16"/>
    </row>
    <row r="7" spans="1:7" x14ac:dyDescent="0.35">
      <c r="A7" s="255" t="s">
        <v>260</v>
      </c>
      <c r="B7" s="16"/>
      <c r="C7" s="16"/>
      <c r="D7" s="16"/>
      <c r="E7" s="16"/>
      <c r="G7" s="16"/>
    </row>
    <row r="8" spans="1:7" x14ac:dyDescent="0.35">
      <c r="A8" s="36"/>
      <c r="D8" s="377" t="s">
        <v>276</v>
      </c>
      <c r="E8" s="377"/>
      <c r="F8" s="377"/>
      <c r="G8" s="16"/>
    </row>
    <row r="9" spans="1:7" ht="40.5" customHeight="1" thickBot="1" x14ac:dyDescent="0.4">
      <c r="A9" s="62" t="s">
        <v>23</v>
      </c>
      <c r="B9" s="60"/>
      <c r="C9" s="61">
        <f>C98</f>
        <v>0</v>
      </c>
      <c r="D9" s="61">
        <f>D98</f>
        <v>0</v>
      </c>
      <c r="E9" s="61">
        <f>E98</f>
        <v>0</v>
      </c>
      <c r="F9" s="61">
        <f>F98</f>
        <v>0</v>
      </c>
      <c r="G9" s="16"/>
    </row>
    <row r="10" spans="1:7" ht="16.2" x14ac:dyDescent="0.35">
      <c r="E10" s="34"/>
      <c r="G10" s="16"/>
    </row>
    <row r="11" spans="1:7" x14ac:dyDescent="0.35">
      <c r="A11" s="17" t="s">
        <v>26</v>
      </c>
      <c r="C11" s="26" t="e">
        <f>C13/C14</f>
        <v>#DIV/0!</v>
      </c>
      <c r="D11" s="26" t="e">
        <f>D13/D14</f>
        <v>#DIV/0!</v>
      </c>
      <c r="E11" s="26" t="e">
        <f>E13/E14</f>
        <v>#DIV/0!</v>
      </c>
      <c r="F11" s="26" t="e">
        <f>F13/F14</f>
        <v>#DIV/0!</v>
      </c>
      <c r="G11" s="16"/>
    </row>
    <row r="12" spans="1:7" x14ac:dyDescent="0.35">
      <c r="C12" s="26"/>
      <c r="D12" s="26"/>
      <c r="E12" s="26"/>
      <c r="G12" s="16"/>
    </row>
    <row r="13" spans="1:7" x14ac:dyDescent="0.35">
      <c r="A13" s="17" t="s">
        <v>27</v>
      </c>
      <c r="C13" s="32">
        <f>SUM(PLBS!C65:C69)</f>
        <v>0</v>
      </c>
      <c r="D13" s="32" t="e">
        <f>SUM(PLBS!D65:D69)</f>
        <v>#DIV/0!</v>
      </c>
      <c r="E13" s="32" t="e">
        <f>SUM(PLBS!E65:E69)</f>
        <v>#DIV/0!</v>
      </c>
      <c r="F13" s="32" t="e">
        <f>SUM(PLBS!F65:F69)</f>
        <v>#DIV/0!</v>
      </c>
      <c r="G13" s="16"/>
    </row>
    <row r="14" spans="1:7" x14ac:dyDescent="0.35">
      <c r="A14" s="17" t="s">
        <v>3</v>
      </c>
      <c r="C14" s="32">
        <f>SUM(PLBS!C53:C55)</f>
        <v>0</v>
      </c>
      <c r="D14" s="32" t="e">
        <f>SUM(PLBS!D53:D55)</f>
        <v>#DIV/0!</v>
      </c>
      <c r="E14" s="32" t="e">
        <f>SUM(PLBS!E53:E55)</f>
        <v>#DIV/0!</v>
      </c>
      <c r="F14" s="32" t="e">
        <f>SUM(PLBS!F53:F55)</f>
        <v>#DIV/0!</v>
      </c>
      <c r="G14" s="16"/>
    </row>
    <row r="15" spans="1:7" x14ac:dyDescent="0.35">
      <c r="C15" s="32"/>
      <c r="D15" s="32"/>
      <c r="E15" s="32"/>
      <c r="G15" s="16"/>
    </row>
    <row r="16" spans="1:7" ht="16.8" thickBot="1" x14ac:dyDescent="0.4">
      <c r="A16" s="21" t="s">
        <v>59</v>
      </c>
      <c r="B16" s="21"/>
      <c r="C16" s="21"/>
      <c r="D16" s="21"/>
      <c r="E16" s="35"/>
      <c r="F16" s="21"/>
      <c r="G16" s="16"/>
    </row>
    <row r="17" spans="1:7" x14ac:dyDescent="0.35">
      <c r="A17" s="16"/>
      <c r="B17" s="16"/>
      <c r="C17" s="16"/>
      <c r="D17" s="16"/>
      <c r="E17" s="16"/>
      <c r="F17" s="16"/>
      <c r="G17" s="16"/>
    </row>
    <row r="18" spans="1:7" x14ac:dyDescent="0.35">
      <c r="A18" s="255" t="s">
        <v>82</v>
      </c>
      <c r="G18" s="16"/>
    </row>
    <row r="19" spans="1:7" x14ac:dyDescent="0.35">
      <c r="A19" s="36"/>
      <c r="G19" s="16"/>
    </row>
    <row r="20" spans="1:7" ht="36.75" customHeight="1" thickBot="1" x14ac:dyDescent="0.4">
      <c r="A20" s="62" t="s">
        <v>23</v>
      </c>
      <c r="B20" s="60"/>
      <c r="C20" s="61">
        <f>C63</f>
        <v>0</v>
      </c>
      <c r="D20" s="61">
        <f>D63</f>
        <v>0</v>
      </c>
      <c r="E20" s="61">
        <f>E63</f>
        <v>0</v>
      </c>
      <c r="F20" s="61">
        <f>F63</f>
        <v>0</v>
      </c>
      <c r="G20" s="16"/>
    </row>
    <row r="21" spans="1:7" x14ac:dyDescent="0.35">
      <c r="G21" s="16"/>
    </row>
    <row r="22" spans="1:7" x14ac:dyDescent="0.35">
      <c r="A22" s="17" t="s">
        <v>21</v>
      </c>
      <c r="C22" s="26" t="e">
        <f>PLBS!C21/PLBS!C10*100</f>
        <v>#DIV/0!</v>
      </c>
      <c r="D22" s="26" t="e">
        <f>PLBS!D21/PLBS!D10*100</f>
        <v>#DIV/0!</v>
      </c>
      <c r="E22" s="26" t="e">
        <f>PLBS!E21/PLBS!E10*100</f>
        <v>#DIV/0!</v>
      </c>
      <c r="F22" s="26" t="e">
        <f>PLBS!F21/PLBS!F10*100</f>
        <v>#DIV/0!</v>
      </c>
      <c r="G22" s="16"/>
    </row>
    <row r="23" spans="1:7" x14ac:dyDescent="0.35">
      <c r="C23" s="26"/>
      <c r="D23" s="26"/>
      <c r="E23" s="26"/>
      <c r="G23" s="16"/>
    </row>
    <row r="24" spans="1:7" ht="15" thickBot="1" x14ac:dyDescent="0.4">
      <c r="A24" s="33" t="s">
        <v>57</v>
      </c>
      <c r="B24" s="21"/>
      <c r="C24" s="21"/>
      <c r="D24" s="21"/>
      <c r="E24" s="21"/>
      <c r="F24" s="21"/>
      <c r="G24" s="16"/>
    </row>
    <row r="25" spans="1:7" ht="16.2" x14ac:dyDescent="0.35">
      <c r="E25" s="34"/>
      <c r="G25" s="16"/>
    </row>
    <row r="26" spans="1:7" ht="16.2" x14ac:dyDescent="0.35">
      <c r="A26" s="255" t="s">
        <v>83</v>
      </c>
      <c r="E26" s="34"/>
      <c r="G26" s="16"/>
    </row>
    <row r="27" spans="1:7" ht="16.2" x14ac:dyDescent="0.35">
      <c r="A27" s="36"/>
      <c r="E27" s="34"/>
      <c r="G27" s="16"/>
    </row>
    <row r="28" spans="1:7" ht="36.75" customHeight="1" thickBot="1" x14ac:dyDescent="0.4">
      <c r="A28" s="62" t="s">
        <v>23</v>
      </c>
      <c r="B28" s="60"/>
      <c r="C28" s="61">
        <f>C20</f>
        <v>0</v>
      </c>
      <c r="D28" s="61">
        <f>D20</f>
        <v>0</v>
      </c>
      <c r="E28" s="61">
        <f>E20</f>
        <v>0</v>
      </c>
      <c r="F28" s="61">
        <f>F20</f>
        <v>0</v>
      </c>
      <c r="G28" s="16"/>
    </row>
    <row r="29" spans="1:7" ht="16.2" x14ac:dyDescent="0.35">
      <c r="E29" s="34"/>
      <c r="G29" s="16"/>
    </row>
    <row r="30" spans="1:7" x14ac:dyDescent="0.35">
      <c r="A30" s="17" t="s">
        <v>22</v>
      </c>
      <c r="C30" s="26" t="e">
        <f>PLBS!C35/PLBS!C10*100</f>
        <v>#DIV/0!</v>
      </c>
      <c r="D30" s="26" t="e">
        <f>PLBS!D35/PLBS!D10*100</f>
        <v>#DIV/0!</v>
      </c>
      <c r="E30" s="26" t="e">
        <f>PLBS!E35/PLBS!E10*100</f>
        <v>#DIV/0!</v>
      </c>
      <c r="F30" s="26" t="e">
        <f>PLBS!F35/PLBS!F10*100</f>
        <v>#DIV/0!</v>
      </c>
      <c r="G30" s="16"/>
    </row>
    <row r="31" spans="1:7" x14ac:dyDescent="0.35">
      <c r="C31" s="26"/>
      <c r="D31" s="26"/>
      <c r="E31" s="26"/>
      <c r="G31" s="16"/>
    </row>
    <row r="32" spans="1:7" ht="16.8" thickBot="1" x14ac:dyDescent="0.4">
      <c r="A32" s="33" t="s">
        <v>58</v>
      </c>
      <c r="B32" s="21"/>
      <c r="C32" s="21"/>
      <c r="D32" s="21"/>
      <c r="E32" s="35"/>
      <c r="F32" s="21"/>
      <c r="G32" s="16"/>
    </row>
    <row r="33" spans="1:9" x14ac:dyDescent="0.35">
      <c r="A33" s="16"/>
      <c r="B33" s="16"/>
      <c r="C33" s="16"/>
      <c r="D33" s="16"/>
      <c r="E33" s="16"/>
      <c r="F33" s="16"/>
      <c r="G33" s="16"/>
    </row>
    <row r="34" spans="1:9" x14ac:dyDescent="0.35">
      <c r="A34" s="16"/>
      <c r="B34" s="16"/>
      <c r="C34" s="16"/>
      <c r="D34" s="16"/>
      <c r="E34" s="16"/>
      <c r="F34" s="16"/>
      <c r="G34" s="16"/>
    </row>
    <row r="35" spans="1:9" x14ac:dyDescent="0.35">
      <c r="A35" s="16"/>
      <c r="B35" s="16"/>
      <c r="C35" s="16"/>
      <c r="D35" s="16"/>
      <c r="E35" s="16"/>
      <c r="F35" s="16"/>
      <c r="G35" s="16"/>
    </row>
    <row r="36" spans="1:9" x14ac:dyDescent="0.35">
      <c r="A36" s="16"/>
      <c r="B36" s="16"/>
      <c r="C36" s="16"/>
      <c r="D36" s="16"/>
      <c r="E36" s="16"/>
      <c r="F36" s="16"/>
      <c r="G36" s="16"/>
    </row>
    <row r="37" spans="1:9" x14ac:dyDescent="0.35">
      <c r="A37" s="256" t="s">
        <v>261</v>
      </c>
    </row>
    <row r="38" spans="1:9" ht="33" customHeight="1" thickBot="1" x14ac:dyDescent="0.4">
      <c r="A38" s="62" t="s">
        <v>23</v>
      </c>
      <c r="B38" s="60"/>
      <c r="C38" s="61">
        <f>C86</f>
        <v>0</v>
      </c>
      <c r="D38" s="61">
        <f>D86</f>
        <v>0</v>
      </c>
      <c r="E38" s="61">
        <f>E86</f>
        <v>0</v>
      </c>
      <c r="F38" s="61">
        <f>F86</f>
        <v>0</v>
      </c>
      <c r="G38" s="25"/>
    </row>
    <row r="39" spans="1:9" ht="15" x14ac:dyDescent="0.35">
      <c r="A39" s="24"/>
      <c r="B39" s="27"/>
      <c r="C39" s="25"/>
      <c r="D39" s="25"/>
      <c r="E39" s="25"/>
    </row>
    <row r="40" spans="1:9" x14ac:dyDescent="0.35">
      <c r="A40" s="17" t="s">
        <v>18</v>
      </c>
      <c r="C40" s="26" t="e">
        <f>PLBS!C10/PLBS!C67</f>
        <v>#DIV/0!</v>
      </c>
      <c r="D40" s="26" t="e">
        <f>PLBS!D10/PLBS!D67</f>
        <v>#DIV/0!</v>
      </c>
      <c r="E40" s="26" t="e">
        <f>PLBS!E10/PLBS!E67</f>
        <v>#DIV/0!</v>
      </c>
      <c r="F40" s="26" t="e">
        <f>PLBS!F10/PLBS!F67</f>
        <v>#DIV/0!</v>
      </c>
      <c r="G40" s="26"/>
    </row>
    <row r="41" spans="1:9" x14ac:dyDescent="0.35">
      <c r="A41" s="380" t="s">
        <v>19</v>
      </c>
      <c r="B41" s="380"/>
    </row>
    <row r="43" spans="1:9" x14ac:dyDescent="0.35">
      <c r="A43" s="378" t="s">
        <v>63</v>
      </c>
      <c r="B43" s="379"/>
      <c r="C43" s="379"/>
      <c r="D43" s="379"/>
      <c r="E43" s="379"/>
      <c r="F43" s="379"/>
      <c r="G43" s="379"/>
      <c r="H43" s="379"/>
      <c r="I43" s="379"/>
    </row>
    <row r="44" spans="1:9" x14ac:dyDescent="0.35">
      <c r="A44" s="17" t="s">
        <v>17</v>
      </c>
    </row>
    <row r="46" spans="1:9" x14ac:dyDescent="0.35">
      <c r="A46" s="46" t="s">
        <v>64</v>
      </c>
      <c r="B46" s="27"/>
      <c r="C46" s="28" t="e">
        <f>B49/C40</f>
        <v>#DIV/0!</v>
      </c>
      <c r="D46" s="28" t="e">
        <f>B49/D40</f>
        <v>#DIV/0!</v>
      </c>
      <c r="E46" s="28" t="e">
        <f>B49/E40</f>
        <v>#DIV/0!</v>
      </c>
      <c r="F46" s="28" t="e">
        <f>B49/F40</f>
        <v>#DIV/0!</v>
      </c>
      <c r="G46" s="28"/>
    </row>
    <row r="47" spans="1:9" x14ac:dyDescent="0.35">
      <c r="A47" s="378" t="s">
        <v>15</v>
      </c>
      <c r="B47" s="379"/>
    </row>
    <row r="49" spans="1:7" ht="15" thickBot="1" x14ac:dyDescent="0.4">
      <c r="A49" s="29" t="s">
        <v>14</v>
      </c>
      <c r="B49" s="30">
        <v>365</v>
      </c>
      <c r="C49" s="21"/>
      <c r="D49" s="21"/>
      <c r="E49" s="21"/>
      <c r="F49" s="21"/>
    </row>
    <row r="50" spans="1:7" x14ac:dyDescent="0.35">
      <c r="A50" s="16"/>
      <c r="B50" s="16"/>
      <c r="C50" s="16"/>
      <c r="D50" s="16"/>
      <c r="E50" s="16"/>
      <c r="F50" s="16"/>
      <c r="G50" s="16"/>
    </row>
    <row r="51" spans="1:7" x14ac:dyDescent="0.35">
      <c r="A51" s="16"/>
      <c r="B51" s="16"/>
      <c r="C51" s="16"/>
      <c r="D51" s="16"/>
      <c r="E51" s="16"/>
      <c r="F51" s="16"/>
      <c r="G51" s="16"/>
    </row>
    <row r="52" spans="1:7" ht="16.2" x14ac:dyDescent="0.35">
      <c r="A52" s="255" t="s">
        <v>262</v>
      </c>
      <c r="E52" s="34"/>
    </row>
    <row r="53" spans="1:7" ht="16.2" x14ac:dyDescent="0.35">
      <c r="A53" s="36"/>
      <c r="E53" s="34"/>
      <c r="G53" s="44"/>
    </row>
    <row r="54" spans="1:7" ht="33.75" customHeight="1" thickBot="1" x14ac:dyDescent="0.4">
      <c r="A54" s="62" t="s">
        <v>23</v>
      </c>
      <c r="B54" s="60"/>
      <c r="C54" s="61">
        <f>C9</f>
        <v>0</v>
      </c>
      <c r="D54" s="61">
        <f>D9</f>
        <v>0</v>
      </c>
      <c r="E54" s="61">
        <f>E9</f>
        <v>0</v>
      </c>
      <c r="F54" s="61">
        <f>F9</f>
        <v>0</v>
      </c>
      <c r="G54" s="25"/>
    </row>
    <row r="55" spans="1:7" ht="16.2" x14ac:dyDescent="0.35">
      <c r="E55" s="34"/>
    </row>
    <row r="56" spans="1:7" x14ac:dyDescent="0.35">
      <c r="A56" s="17" t="s">
        <v>67</v>
      </c>
      <c r="C56" s="26" t="e">
        <f>SUM(PLBS!C49:C55)/PLBS!C47</f>
        <v>#DIV/0!</v>
      </c>
      <c r="D56" s="26" t="e">
        <f>SUM(PLBS!D49:D55)/PLBS!D47</f>
        <v>#DIV/0!</v>
      </c>
      <c r="E56" s="26" t="e">
        <f>SUM(PLBS!E49:E55)/PLBS!E47</f>
        <v>#DIV/0!</v>
      </c>
      <c r="F56" s="26" t="e">
        <f>SUM(PLBS!F49:F55)/PLBS!F47</f>
        <v>#DIV/0!</v>
      </c>
      <c r="G56" s="26"/>
    </row>
    <row r="57" spans="1:7" x14ac:dyDescent="0.35">
      <c r="C57" s="26"/>
      <c r="D57" s="26"/>
      <c r="E57" s="26"/>
      <c r="G57" s="26"/>
    </row>
    <row r="58" spans="1:7" ht="16.8" thickBot="1" x14ac:dyDescent="0.4">
      <c r="A58" s="21" t="s">
        <v>60</v>
      </c>
      <c r="B58" s="21"/>
      <c r="C58" s="21"/>
      <c r="D58" s="21"/>
      <c r="E58" s="35"/>
      <c r="F58" s="21"/>
      <c r="G58" s="32"/>
    </row>
    <row r="59" spans="1:7" x14ac:dyDescent="0.35">
      <c r="G59" s="32"/>
    </row>
    <row r="61" spans="1:7" x14ac:dyDescent="0.35">
      <c r="A61" s="255" t="s">
        <v>263</v>
      </c>
    </row>
    <row r="62" spans="1:7" x14ac:dyDescent="0.35">
      <c r="E62" s="375" t="s">
        <v>29</v>
      </c>
      <c r="F62" s="375"/>
      <c r="G62" s="25"/>
    </row>
    <row r="63" spans="1:7" ht="31.5" customHeight="1" thickBot="1" x14ac:dyDescent="0.4">
      <c r="A63" s="59" t="s">
        <v>24</v>
      </c>
      <c r="B63" s="60"/>
      <c r="C63" s="61">
        <f>wp!C6</f>
        <v>0</v>
      </c>
      <c r="D63" s="61">
        <f>wp!D6</f>
        <v>0</v>
      </c>
      <c r="E63" s="61">
        <f>wp!E6</f>
        <v>0</v>
      </c>
      <c r="F63" s="61">
        <f>wp!F6</f>
        <v>0</v>
      </c>
    </row>
    <row r="64" spans="1:7" x14ac:dyDescent="0.35">
      <c r="G64" s="26"/>
    </row>
    <row r="65" spans="1:7" x14ac:dyDescent="0.35">
      <c r="A65" s="17" t="s">
        <v>35</v>
      </c>
      <c r="C65" s="26" t="e">
        <f>C67/C68</f>
        <v>#DIV/0!</v>
      </c>
      <c r="D65" s="26" t="e">
        <f>D67/D68</f>
        <v>#DIV/0!</v>
      </c>
      <c r="E65" s="26" t="e">
        <f>E67/E68</f>
        <v>#DIV/0!</v>
      </c>
      <c r="F65" s="26" t="e">
        <f>F67/F68</f>
        <v>#DIV/0!</v>
      </c>
    </row>
    <row r="66" spans="1:7" x14ac:dyDescent="0.35">
      <c r="C66" s="26"/>
      <c r="D66" s="26"/>
      <c r="E66" s="26"/>
      <c r="F66" s="26"/>
    </row>
    <row r="67" spans="1:7" x14ac:dyDescent="0.35">
      <c r="A67" s="17" t="s">
        <v>34</v>
      </c>
      <c r="C67" s="32">
        <f>PLBS!C31</f>
        <v>0</v>
      </c>
      <c r="D67" s="32" t="e">
        <f>PLBS!D31</f>
        <v>#DIV/0!</v>
      </c>
      <c r="E67" s="32" t="e">
        <f>PLBS!E31</f>
        <v>#DIV/0!</v>
      </c>
      <c r="F67" s="32" t="e">
        <f>PLBS!F31</f>
        <v>#DIV/0!</v>
      </c>
    </row>
    <row r="68" spans="1:7" x14ac:dyDescent="0.35">
      <c r="A68" s="17" t="s">
        <v>5</v>
      </c>
      <c r="C68" s="32">
        <f>PLBS!C94</f>
        <v>0</v>
      </c>
      <c r="D68" s="32" t="e">
        <f>PLBS!D94</f>
        <v>#DIV/0!</v>
      </c>
      <c r="E68" s="32" t="e">
        <f>PLBS!E94</f>
        <v>#DIV/0!</v>
      </c>
      <c r="F68" s="32" t="e">
        <f>PLBS!F94</f>
        <v>#DIV/0!</v>
      </c>
    </row>
    <row r="69" spans="1:7" x14ac:dyDescent="0.35">
      <c r="C69" s="26"/>
      <c r="D69" s="26"/>
      <c r="E69" s="26"/>
    </row>
    <row r="70" spans="1:7" ht="48.75" customHeight="1" thickBot="1" x14ac:dyDescent="0.4">
      <c r="A70" s="21" t="s">
        <v>62</v>
      </c>
      <c r="B70" s="21"/>
      <c r="C70" s="21"/>
      <c r="D70" s="21"/>
      <c r="E70" s="21"/>
      <c r="F70" s="21"/>
      <c r="G70" s="25"/>
    </row>
    <row r="72" spans="1:7" x14ac:dyDescent="0.35">
      <c r="G72" s="26"/>
    </row>
    <row r="74" spans="1:7" x14ac:dyDescent="0.35">
      <c r="A74" s="376" t="s">
        <v>264</v>
      </c>
      <c r="B74" s="376"/>
      <c r="C74" s="376"/>
      <c r="D74" s="16"/>
      <c r="E74" s="16"/>
      <c r="G74" s="16"/>
    </row>
    <row r="75" spans="1:7" x14ac:dyDescent="0.35">
      <c r="A75" s="16"/>
      <c r="B75" s="16"/>
      <c r="C75" s="16"/>
      <c r="D75" s="16"/>
      <c r="E75" s="16"/>
      <c r="G75" s="16"/>
    </row>
    <row r="76" spans="1:7" ht="33" customHeight="1" thickBot="1" x14ac:dyDescent="0.4">
      <c r="A76" s="59" t="s">
        <v>23</v>
      </c>
      <c r="B76" s="63"/>
      <c r="C76" s="59">
        <f>C28</f>
        <v>0</v>
      </c>
      <c r="D76" s="59">
        <f>D28</f>
        <v>0</v>
      </c>
      <c r="E76" s="59">
        <f>E28</f>
        <v>0</v>
      </c>
      <c r="F76" s="59">
        <f>F28</f>
        <v>0</v>
      </c>
      <c r="G76" s="16"/>
    </row>
    <row r="77" spans="1:7" x14ac:dyDescent="0.35">
      <c r="A77" s="16"/>
      <c r="B77" s="16"/>
      <c r="C77" s="16"/>
      <c r="D77" s="16"/>
      <c r="E77" s="16"/>
      <c r="G77" s="16"/>
    </row>
    <row r="78" spans="1:7" x14ac:dyDescent="0.35">
      <c r="A78" s="17" t="s">
        <v>28</v>
      </c>
      <c r="B78" s="16"/>
      <c r="C78" s="49">
        <f>C13-C14</f>
        <v>0</v>
      </c>
      <c r="D78" s="49" t="e">
        <f>D13-D14</f>
        <v>#DIV/0!</v>
      </c>
      <c r="E78" s="49" t="e">
        <f>E13-E14</f>
        <v>#DIV/0!</v>
      </c>
      <c r="F78" s="49" t="e">
        <f>F13-F14</f>
        <v>#DIV/0!</v>
      </c>
      <c r="G78" s="16"/>
    </row>
    <row r="79" spans="1:7" x14ac:dyDescent="0.35">
      <c r="B79" s="16"/>
      <c r="C79" s="22"/>
      <c r="D79" s="22"/>
      <c r="E79" s="22"/>
      <c r="G79" s="16"/>
    </row>
    <row r="80" spans="1:7" x14ac:dyDescent="0.35">
      <c r="A80" s="23" t="s">
        <v>25</v>
      </c>
      <c r="B80" s="16"/>
      <c r="C80" s="19" t="e">
        <f>wp!C10/RATIO!C78</f>
        <v>#DIV/0!</v>
      </c>
      <c r="D80" s="19" t="e">
        <f>wp!D10/RATIO!D78</f>
        <v>#DIV/0!</v>
      </c>
      <c r="E80" s="19" t="e">
        <f>wp!E10/RATIO!E78</f>
        <v>#DIV/0!</v>
      </c>
      <c r="F80" s="19" t="e">
        <f>wp!F10/RATIO!F78</f>
        <v>#DIV/0!</v>
      </c>
      <c r="G80" s="16"/>
    </row>
    <row r="81" spans="1:7" x14ac:dyDescent="0.35">
      <c r="A81" s="16"/>
      <c r="B81" s="16"/>
      <c r="C81" s="16"/>
      <c r="D81" s="16"/>
      <c r="E81" s="16"/>
      <c r="G81" s="16"/>
    </row>
    <row r="82" spans="1:7" ht="15" thickBot="1" x14ac:dyDescent="0.4">
      <c r="A82" s="374" t="s">
        <v>55</v>
      </c>
      <c r="B82" s="374"/>
      <c r="C82" s="374"/>
      <c r="D82" s="20"/>
      <c r="E82" s="20"/>
      <c r="F82" s="21"/>
      <c r="G82" s="16"/>
    </row>
    <row r="83" spans="1:7" x14ac:dyDescent="0.35">
      <c r="A83" s="16"/>
      <c r="B83" s="16"/>
      <c r="C83" s="16"/>
      <c r="D83" s="16"/>
      <c r="E83" s="16"/>
      <c r="G83" s="16"/>
    </row>
    <row r="84" spans="1:7" x14ac:dyDescent="0.35">
      <c r="A84" s="256" t="s">
        <v>265</v>
      </c>
      <c r="B84" s="16"/>
      <c r="C84" s="16"/>
      <c r="D84" s="16"/>
      <c r="E84" s="16"/>
      <c r="F84" s="16"/>
      <c r="G84" s="16"/>
    </row>
    <row r="85" spans="1:7" x14ac:dyDescent="0.35">
      <c r="A85" s="45"/>
      <c r="G85" s="16"/>
    </row>
    <row r="86" spans="1:7" ht="37.5" customHeight="1" thickBot="1" x14ac:dyDescent="0.4">
      <c r="A86" s="62" t="s">
        <v>23</v>
      </c>
      <c r="B86" s="64"/>
      <c r="C86" s="61">
        <f>C76</f>
        <v>0</v>
      </c>
      <c r="D86" s="61">
        <f>D76</f>
        <v>0</v>
      </c>
      <c r="E86" s="61">
        <f>E76</f>
        <v>0</v>
      </c>
      <c r="F86" s="61">
        <f>F76</f>
        <v>0</v>
      </c>
      <c r="G86" s="16"/>
    </row>
    <row r="87" spans="1:7" ht="15" x14ac:dyDescent="0.35">
      <c r="A87" s="24"/>
      <c r="C87" s="25"/>
      <c r="D87" s="25"/>
      <c r="E87" s="25"/>
    </row>
    <row r="88" spans="1:7" x14ac:dyDescent="0.35">
      <c r="A88" s="47" t="s">
        <v>11</v>
      </c>
      <c r="C88" s="17">
        <f>PLBS!C19</f>
        <v>0</v>
      </c>
      <c r="D88" s="17" t="e">
        <f>PLBS!D19</f>
        <v>#DIV/0!</v>
      </c>
      <c r="E88" s="17" t="e">
        <f>PLBS!E19</f>
        <v>#DIV/0!</v>
      </c>
      <c r="F88" s="17" t="e">
        <f>PLBS!F19</f>
        <v>#DIV/0!</v>
      </c>
    </row>
    <row r="89" spans="1:7" x14ac:dyDescent="0.35">
      <c r="A89" s="17" t="s">
        <v>12</v>
      </c>
      <c r="C89" s="17">
        <f>(PLBS!C16+PLBS!C18)/2</f>
        <v>0</v>
      </c>
      <c r="D89" s="17">
        <f>(PLBS!D16+PLBS!D18)/2</f>
        <v>0</v>
      </c>
      <c r="E89" s="17">
        <f>(PLBS!E16+PLBS!E18)/2</f>
        <v>0</v>
      </c>
      <c r="F89" s="17">
        <f>(PLBS!F16+PLBS!F18)/2</f>
        <v>0</v>
      </c>
    </row>
    <row r="90" spans="1:7" x14ac:dyDescent="0.35">
      <c r="A90" s="17" t="s">
        <v>31</v>
      </c>
      <c r="C90" s="26" t="e">
        <f>C88/C89</f>
        <v>#DIV/0!</v>
      </c>
      <c r="D90" s="26" t="e">
        <f>D88/D89</f>
        <v>#DIV/0!</v>
      </c>
      <c r="E90" s="26" t="e">
        <f>E88/E89</f>
        <v>#DIV/0!</v>
      </c>
      <c r="F90" s="26" t="e">
        <f>F88/F89</f>
        <v>#DIV/0!</v>
      </c>
    </row>
    <row r="91" spans="1:7" ht="6.75" customHeight="1" x14ac:dyDescent="0.35"/>
    <row r="92" spans="1:7" ht="14.25" customHeight="1" x14ac:dyDescent="0.35">
      <c r="A92" s="17" t="s">
        <v>56</v>
      </c>
    </row>
    <row r="93" spans="1:7" x14ac:dyDescent="0.35">
      <c r="A93" s="17" t="s">
        <v>16</v>
      </c>
    </row>
    <row r="94" spans="1:7" ht="15" thickBot="1" x14ac:dyDescent="0.4">
      <c r="A94" s="372" t="s">
        <v>13</v>
      </c>
      <c r="B94" s="372"/>
      <c r="C94" s="372"/>
      <c r="D94" s="372"/>
      <c r="E94" s="372"/>
      <c r="F94" s="21"/>
    </row>
    <row r="95" spans="1:7" x14ac:dyDescent="0.35">
      <c r="A95" s="23"/>
      <c r="B95" s="23"/>
      <c r="C95" s="23"/>
      <c r="D95" s="23"/>
      <c r="E95" s="23"/>
    </row>
    <row r="96" spans="1:7" x14ac:dyDescent="0.35">
      <c r="A96" s="381" t="s">
        <v>266</v>
      </c>
      <c r="B96" s="381"/>
      <c r="C96" s="16"/>
      <c r="D96" s="16"/>
      <c r="E96" s="16"/>
    </row>
    <row r="97" spans="1:6" x14ac:dyDescent="0.35">
      <c r="A97" s="16"/>
      <c r="B97" s="16"/>
      <c r="C97" s="16"/>
      <c r="D97" s="16"/>
      <c r="E97" s="16"/>
    </row>
    <row r="98" spans="1:6" ht="29.25" customHeight="1" thickBot="1" x14ac:dyDescent="0.4">
      <c r="A98" s="59" t="s">
        <v>23</v>
      </c>
      <c r="B98" s="59"/>
      <c r="C98" s="59">
        <f>C38</f>
        <v>0</v>
      </c>
      <c r="D98" s="59">
        <f>D38</f>
        <v>0</v>
      </c>
      <c r="E98" s="59">
        <f>E38</f>
        <v>0</v>
      </c>
      <c r="F98" s="59">
        <f>F38</f>
        <v>0</v>
      </c>
    </row>
    <row r="99" spans="1:6" ht="16.5" customHeight="1" x14ac:dyDescent="0.35">
      <c r="A99" s="16"/>
      <c r="B99" s="16"/>
      <c r="C99" s="16"/>
      <c r="D99" s="16"/>
      <c r="E99" s="16"/>
    </row>
    <row r="100" spans="1:6" x14ac:dyDescent="0.35">
      <c r="A100" s="373" t="s">
        <v>30</v>
      </c>
      <c r="B100" s="16"/>
      <c r="C100" s="99" t="e">
        <f>PLBS!C10/(PLBS!C47+PLBS!C50)</f>
        <v>#DIV/0!</v>
      </c>
      <c r="D100" s="99" t="e">
        <f>PLBS!D10/(PLBS!D47+PLBS!D50)</f>
        <v>#DIV/0!</v>
      </c>
      <c r="E100" s="99" t="e">
        <f>PLBS!E10/(PLBS!E47+PLBS!E50)</f>
        <v>#DIV/0!</v>
      </c>
      <c r="F100" s="99" t="e">
        <f>PLBS!F10/(PLBS!F47+PLBS!F50)</f>
        <v>#DIV/0!</v>
      </c>
    </row>
    <row r="101" spans="1:6" x14ac:dyDescent="0.35">
      <c r="A101" s="373"/>
      <c r="B101" s="16"/>
      <c r="C101" s="16"/>
      <c r="D101" s="16"/>
      <c r="E101" s="16"/>
    </row>
    <row r="102" spans="1:6" x14ac:dyDescent="0.35">
      <c r="A102" s="18"/>
      <c r="B102" s="16"/>
      <c r="C102" s="16"/>
      <c r="D102" s="16"/>
      <c r="E102" s="16"/>
    </row>
    <row r="103" spans="1:6" ht="15" thickBot="1" x14ac:dyDescent="0.4">
      <c r="A103" s="372" t="s">
        <v>54</v>
      </c>
      <c r="B103" s="372"/>
      <c r="C103" s="372"/>
      <c r="D103" s="20"/>
      <c r="E103" s="20"/>
      <c r="F103" s="21"/>
    </row>
    <row r="104" spans="1:6" x14ac:dyDescent="0.35">
      <c r="D104" s="16"/>
      <c r="E104" s="16"/>
    </row>
    <row r="105" spans="1:6" x14ac:dyDescent="0.35">
      <c r="A105" s="255" t="s">
        <v>267</v>
      </c>
    </row>
    <row r="107" spans="1:6" ht="36.75" customHeight="1" thickBot="1" x14ac:dyDescent="0.4">
      <c r="A107" s="59" t="s">
        <v>23</v>
      </c>
      <c r="B107" s="60"/>
      <c r="C107" s="61">
        <f>C54</f>
        <v>0</v>
      </c>
      <c r="D107" s="61">
        <f>D54</f>
        <v>0</v>
      </c>
      <c r="E107" s="61">
        <f>E54</f>
        <v>0</v>
      </c>
      <c r="F107" s="61">
        <f>F54</f>
        <v>0</v>
      </c>
    </row>
    <row r="109" spans="1:6" x14ac:dyDescent="0.35">
      <c r="A109" s="17" t="s">
        <v>32</v>
      </c>
      <c r="C109" s="26" t="e">
        <f>PLBS!C35/(PLBS!C47+PLBS!C50)</f>
        <v>#DIV/0!</v>
      </c>
      <c r="D109" s="26" t="e">
        <f>PLBS!D35/(PLBS!D47+PLBS!D50)</f>
        <v>#DIV/0!</v>
      </c>
      <c r="E109" s="26" t="e">
        <f>PLBS!E35/(PLBS!E47+PLBS!E50)</f>
        <v>#DIV/0!</v>
      </c>
      <c r="F109" s="26" t="e">
        <f>PLBS!F35/(PLBS!F47+PLBS!F50)</f>
        <v>#DIV/0!</v>
      </c>
    </row>
    <row r="111" spans="1:6" ht="15" thickBot="1" x14ac:dyDescent="0.4">
      <c r="A111" s="21" t="s">
        <v>61</v>
      </c>
      <c r="B111" s="21"/>
      <c r="C111" s="21"/>
      <c r="D111" s="21"/>
      <c r="E111" s="21"/>
      <c r="F111" s="21"/>
    </row>
    <row r="112" spans="1:6" ht="16.2" x14ac:dyDescent="0.35">
      <c r="E112" s="34"/>
    </row>
  </sheetData>
  <mergeCells count="15">
    <mergeCell ref="A1:F1"/>
    <mergeCell ref="A2:F2"/>
    <mergeCell ref="A3:F3"/>
    <mergeCell ref="A5:F5"/>
    <mergeCell ref="A103:C103"/>
    <mergeCell ref="A100:A101"/>
    <mergeCell ref="A82:C82"/>
    <mergeCell ref="E62:F62"/>
    <mergeCell ref="A74:C74"/>
    <mergeCell ref="D8:F8"/>
    <mergeCell ref="A94:E94"/>
    <mergeCell ref="A43:I43"/>
    <mergeCell ref="A41:B41"/>
    <mergeCell ref="A96:B96"/>
    <mergeCell ref="A47:B47"/>
  </mergeCells>
  <phoneticPr fontId="2" type="noConversion"/>
  <pageMargins left="0.35433070866141736" right="0.23622047244094491" top="0.62992125984251968" bottom="0.31496062992125984" header="0.51181102362204722" footer="0.19685039370078741"/>
  <pageSetup scale="110" orientation="portrait" r:id="rId1"/>
  <headerFooter alignWithMargins="0"/>
  <rowBreaks count="2" manualBreakCount="2">
    <brk id="34" max="5" man="1"/>
    <brk id="72" max="5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7"/>
  <sheetViews>
    <sheetView view="pageBreakPreview" topLeftCell="A25" zoomScale="93" zoomScaleSheetLayoutView="93" workbookViewId="0">
      <selection activeCell="B39" sqref="B39"/>
    </sheetView>
  </sheetViews>
  <sheetFormatPr defaultColWidth="9.21875" defaultRowHeight="14.4" x14ac:dyDescent="0.3"/>
  <cols>
    <col min="1" max="1" width="44.44140625" style="37" customWidth="1"/>
    <col min="2" max="2" width="14.77734375" style="37" customWidth="1"/>
    <col min="3" max="4" width="14.21875" style="37" customWidth="1"/>
    <col min="5" max="16384" width="9.21875" style="37"/>
  </cols>
  <sheetData>
    <row r="1" spans="1:4" x14ac:dyDescent="0.3">
      <c r="A1" s="370">
        <f>Assumptions.1!I3</f>
        <v>0</v>
      </c>
      <c r="B1" s="370"/>
      <c r="C1" s="370"/>
      <c r="D1" s="370"/>
    </row>
    <row r="2" spans="1:4" x14ac:dyDescent="0.3">
      <c r="A2" s="370">
        <f>Assumptions.1!I5</f>
        <v>0</v>
      </c>
      <c r="B2" s="370"/>
      <c r="C2" s="370"/>
      <c r="D2" s="370"/>
    </row>
    <row r="3" spans="1:4" x14ac:dyDescent="0.3">
      <c r="A3" s="370">
        <f>Assumptions.1!I6</f>
        <v>0</v>
      </c>
      <c r="B3" s="370"/>
      <c r="C3" s="370"/>
      <c r="D3" s="370"/>
    </row>
    <row r="5" spans="1:4" x14ac:dyDescent="0.3">
      <c r="A5" s="371" t="s">
        <v>50</v>
      </c>
      <c r="B5" s="371"/>
      <c r="C5" s="371"/>
      <c r="D5" s="371"/>
    </row>
    <row r="7" spans="1:4" ht="16.2" x14ac:dyDescent="0.35">
      <c r="A7" s="134" t="s">
        <v>73</v>
      </c>
    </row>
    <row r="8" spans="1:4" ht="16.5" customHeight="1" x14ac:dyDescent="0.3">
      <c r="A8" s="121" t="s">
        <v>23</v>
      </c>
      <c r="B8" s="122" t="str">
        <f>wp!D5</f>
        <v>Estimated</v>
      </c>
      <c r="C8" s="122" t="str">
        <f>wp!E5</f>
        <v>Projected</v>
      </c>
      <c r="D8" s="122" t="str">
        <f>wp!F5</f>
        <v>Projected</v>
      </c>
    </row>
    <row r="9" spans="1:4" ht="15" customHeight="1" thickBot="1" x14ac:dyDescent="0.35">
      <c r="A9" s="123"/>
      <c r="B9" s="124">
        <f>wp!D6</f>
        <v>0</v>
      </c>
      <c r="C9" s="124">
        <f>wp!E6</f>
        <v>0</v>
      </c>
      <c r="D9" s="124">
        <f>wp!F6</f>
        <v>0</v>
      </c>
    </row>
    <row r="10" spans="1:4" ht="22.5" customHeight="1" thickTop="1" x14ac:dyDescent="0.3">
      <c r="B10" s="41"/>
      <c r="C10" s="41"/>
      <c r="D10" s="41"/>
    </row>
    <row r="11" spans="1:4" ht="21" customHeight="1" x14ac:dyDescent="0.3">
      <c r="A11" s="37" t="s">
        <v>41</v>
      </c>
      <c r="B11" s="42" t="e">
        <f>SUM(PLBS!D64:D69)</f>
        <v>#DIV/0!</v>
      </c>
      <c r="C11" s="42" t="e">
        <f>SUM(PLBS!E64:E69)</f>
        <v>#DIV/0!</v>
      </c>
      <c r="D11" s="42" t="e">
        <f>SUM(PLBS!F64:F69)</f>
        <v>#DIV/0!</v>
      </c>
    </row>
    <row r="12" spans="1:4" ht="21" customHeight="1" x14ac:dyDescent="0.3">
      <c r="B12" s="42"/>
      <c r="C12" s="42"/>
      <c r="D12" s="42"/>
    </row>
    <row r="13" spans="1:4" ht="19.5" customHeight="1" x14ac:dyDescent="0.3">
      <c r="A13" s="37" t="s">
        <v>42</v>
      </c>
      <c r="B13" s="42">
        <f>SUM(wp!D56:D57)</f>
        <v>0</v>
      </c>
      <c r="C13" s="42">
        <f>SUM(wp!E56:E57)</f>
        <v>0</v>
      </c>
      <c r="D13" s="42">
        <f>SUM(wp!F56:F57)</f>
        <v>0</v>
      </c>
    </row>
    <row r="14" spans="1:4" ht="17.25" customHeight="1" x14ac:dyDescent="0.3">
      <c r="A14" s="37" t="s">
        <v>43</v>
      </c>
    </row>
    <row r="15" spans="1:4" ht="17.25" customHeight="1" x14ac:dyDescent="0.3"/>
    <row r="16" spans="1:4" ht="19.5" customHeight="1" x14ac:dyDescent="0.3">
      <c r="A16" s="37" t="s">
        <v>44</v>
      </c>
      <c r="B16" s="42" t="e">
        <f>+B11-B13</f>
        <v>#DIV/0!</v>
      </c>
      <c r="C16" s="42" t="e">
        <f>+C11-C13</f>
        <v>#DIV/0!</v>
      </c>
      <c r="D16" s="42" t="e">
        <f>+D11-D13</f>
        <v>#DIV/0!</v>
      </c>
    </row>
    <row r="17" spans="1:4" ht="19.5" customHeight="1" x14ac:dyDescent="0.3">
      <c r="B17" s="42"/>
      <c r="C17" s="42"/>
      <c r="D17" s="42"/>
    </row>
    <row r="18" spans="1:4" ht="19.5" customHeight="1" x14ac:dyDescent="0.3">
      <c r="A18" s="37" t="s">
        <v>51</v>
      </c>
    </row>
    <row r="19" spans="1:4" ht="16.5" customHeight="1" x14ac:dyDescent="0.3">
      <c r="A19" s="37" t="s">
        <v>52</v>
      </c>
      <c r="B19" s="42" t="e">
        <f>+B16*0.25</f>
        <v>#DIV/0!</v>
      </c>
      <c r="C19" s="42" t="e">
        <f>+C16*0.25</f>
        <v>#DIV/0!</v>
      </c>
      <c r="D19" s="42" t="e">
        <f>+D16*0.25</f>
        <v>#DIV/0!</v>
      </c>
    </row>
    <row r="20" spans="1:4" ht="18.75" customHeight="1" x14ac:dyDescent="0.3">
      <c r="A20" s="37" t="s">
        <v>53</v>
      </c>
    </row>
    <row r="22" spans="1:4" x14ac:dyDescent="0.3">
      <c r="A22" s="37" t="s">
        <v>45</v>
      </c>
      <c r="B22" s="42" t="e">
        <f>RATIO!D13-RATIO!D14</f>
        <v>#DIV/0!</v>
      </c>
      <c r="C22" s="42" t="e">
        <f>RATIO!E13-RATIO!E14</f>
        <v>#DIV/0!</v>
      </c>
      <c r="D22" s="42" t="e">
        <f>RATIO!F13-RATIO!F14</f>
        <v>#DIV/0!</v>
      </c>
    </row>
    <row r="23" spans="1:4" x14ac:dyDescent="0.3">
      <c r="B23" s="42"/>
      <c r="C23" s="42"/>
      <c r="D23" s="42"/>
    </row>
    <row r="24" spans="1:4" x14ac:dyDescent="0.3">
      <c r="A24" s="37" t="s">
        <v>46</v>
      </c>
      <c r="B24" s="42" t="e">
        <f>+B16-B19</f>
        <v>#DIV/0!</v>
      </c>
      <c r="C24" s="42" t="e">
        <f>+C16-C19</f>
        <v>#DIV/0!</v>
      </c>
      <c r="D24" s="42" t="e">
        <f>+D16-D19</f>
        <v>#DIV/0!</v>
      </c>
    </row>
    <row r="25" spans="1:4" x14ac:dyDescent="0.3">
      <c r="B25" s="42"/>
      <c r="C25" s="42"/>
      <c r="D25" s="42"/>
    </row>
    <row r="26" spans="1:4" x14ac:dyDescent="0.3">
      <c r="A26" s="37" t="s">
        <v>47</v>
      </c>
      <c r="B26" s="42" t="e">
        <f>B16-B22</f>
        <v>#DIV/0!</v>
      </c>
      <c r="C26" s="42" t="e">
        <f>C16-C22</f>
        <v>#DIV/0!</v>
      </c>
      <c r="D26" s="42" t="e">
        <f>D16-D22</f>
        <v>#DIV/0!</v>
      </c>
    </row>
    <row r="27" spans="1:4" x14ac:dyDescent="0.3">
      <c r="B27" s="42"/>
      <c r="C27" s="42"/>
      <c r="D27" s="42"/>
    </row>
    <row r="28" spans="1:4" x14ac:dyDescent="0.3">
      <c r="A28" s="39" t="s">
        <v>48</v>
      </c>
      <c r="B28" s="65" t="e">
        <f>IF(B24&lt;B26,B24,B26)</f>
        <v>#DIV/0!</v>
      </c>
      <c r="C28" s="65" t="e">
        <f>IF(C24&lt;C26,C24,C26)</f>
        <v>#DIV/0!</v>
      </c>
      <c r="D28" s="65" t="e">
        <f>IF(D24&lt;D26,D24,D26)</f>
        <v>#DIV/0!</v>
      </c>
    </row>
    <row r="29" spans="1:4" x14ac:dyDescent="0.3">
      <c r="A29" s="39" t="s">
        <v>49</v>
      </c>
      <c r="B29" s="39"/>
      <c r="C29" s="39"/>
      <c r="D29" s="39"/>
    </row>
    <row r="30" spans="1:4" ht="15" thickBot="1" x14ac:dyDescent="0.35">
      <c r="A30" s="55"/>
      <c r="B30" s="55"/>
      <c r="C30" s="55"/>
      <c r="D30" s="55"/>
    </row>
    <row r="33" spans="1:5" x14ac:dyDescent="0.3">
      <c r="A33" s="371" t="str">
        <f>A5</f>
        <v>CALCULATION OF MAXIMUM PERMISSIBLE BANK FINANCE</v>
      </c>
      <c r="B33" s="371"/>
      <c r="C33" s="371"/>
      <c r="D33" s="371"/>
    </row>
    <row r="35" spans="1:5" ht="16.2" x14ac:dyDescent="0.35">
      <c r="A35" s="134" t="s">
        <v>74</v>
      </c>
    </row>
    <row r="36" spans="1:5" ht="16.5" customHeight="1" x14ac:dyDescent="0.3">
      <c r="A36" s="121" t="s">
        <v>23</v>
      </c>
      <c r="B36" s="122" t="str">
        <f t="shared" ref="B36:D37" si="0">B8</f>
        <v>Estimated</v>
      </c>
      <c r="C36" s="125" t="str">
        <f t="shared" si="0"/>
        <v>Projected</v>
      </c>
      <c r="D36" s="125" t="str">
        <f t="shared" si="0"/>
        <v>Projected</v>
      </c>
    </row>
    <row r="37" spans="1:5" ht="16.5" customHeight="1" thickBot="1" x14ac:dyDescent="0.35">
      <c r="A37" s="123"/>
      <c r="B37" s="124">
        <f t="shared" si="0"/>
        <v>0</v>
      </c>
      <c r="C37" s="124">
        <f t="shared" si="0"/>
        <v>0</v>
      </c>
      <c r="D37" s="124">
        <f t="shared" si="0"/>
        <v>0</v>
      </c>
    </row>
    <row r="38" spans="1:5" ht="15" thickTop="1" x14ac:dyDescent="0.3">
      <c r="B38" s="41"/>
      <c r="C38" s="41"/>
      <c r="D38" s="41"/>
    </row>
    <row r="39" spans="1:5" x14ac:dyDescent="0.3">
      <c r="A39" s="37" t="s">
        <v>41</v>
      </c>
      <c r="B39" s="42" t="e">
        <f>B11</f>
        <v>#DIV/0!</v>
      </c>
      <c r="C39" s="42" t="e">
        <f>C11</f>
        <v>#DIV/0!</v>
      </c>
      <c r="D39" s="42" t="e">
        <f>D11</f>
        <v>#DIV/0!</v>
      </c>
    </row>
    <row r="40" spans="1:5" x14ac:dyDescent="0.3">
      <c r="B40" s="42"/>
      <c r="C40" s="42"/>
      <c r="D40" s="42"/>
    </row>
    <row r="41" spans="1:5" x14ac:dyDescent="0.3">
      <c r="A41" s="37" t="s">
        <v>42</v>
      </c>
      <c r="B41" s="42">
        <f>B13</f>
        <v>0</v>
      </c>
      <c r="C41" s="42">
        <f>C13</f>
        <v>0</v>
      </c>
      <c r="D41" s="42">
        <f>D13</f>
        <v>0</v>
      </c>
    </row>
    <row r="42" spans="1:5" x14ac:dyDescent="0.3">
      <c r="A42" s="37" t="s">
        <v>43</v>
      </c>
    </row>
    <row r="44" spans="1:5" x14ac:dyDescent="0.3">
      <c r="A44" s="37" t="s">
        <v>44</v>
      </c>
      <c r="B44" s="42" t="e">
        <f>+B39-B41</f>
        <v>#DIV/0!</v>
      </c>
      <c r="C44" s="42" t="e">
        <f>+C39-C41</f>
        <v>#DIV/0!</v>
      </c>
      <c r="D44" s="42" t="e">
        <f>+D39-D41</f>
        <v>#DIV/0!</v>
      </c>
    </row>
    <row r="45" spans="1:5" x14ac:dyDescent="0.3">
      <c r="B45" s="42"/>
      <c r="C45" s="42"/>
      <c r="D45" s="42"/>
    </row>
    <row r="46" spans="1:5" x14ac:dyDescent="0.3">
      <c r="A46" s="37" t="s">
        <v>51</v>
      </c>
    </row>
    <row r="47" spans="1:5" x14ac:dyDescent="0.3">
      <c r="A47" s="37" t="s">
        <v>72</v>
      </c>
      <c r="B47" s="42" t="e">
        <f>25/100*B39</f>
        <v>#DIV/0!</v>
      </c>
      <c r="C47" s="42" t="e">
        <f>25/100*C39</f>
        <v>#DIV/0!</v>
      </c>
      <c r="D47" s="42" t="e">
        <f>25/100*D39</f>
        <v>#DIV/0!</v>
      </c>
      <c r="E47" s="42"/>
    </row>
    <row r="49" spans="1:4" x14ac:dyDescent="0.3">
      <c r="A49" s="37" t="s">
        <v>45</v>
      </c>
      <c r="B49" s="42" t="e">
        <f>B22</f>
        <v>#DIV/0!</v>
      </c>
      <c r="C49" s="42" t="e">
        <f>C22</f>
        <v>#DIV/0!</v>
      </c>
      <c r="D49" s="42" t="e">
        <f>D22</f>
        <v>#DIV/0!</v>
      </c>
    </row>
    <row r="50" spans="1:4" x14ac:dyDescent="0.3">
      <c r="B50" s="42"/>
      <c r="C50" s="42"/>
      <c r="D50" s="42"/>
    </row>
    <row r="51" spans="1:4" x14ac:dyDescent="0.3">
      <c r="A51" s="37" t="s">
        <v>46</v>
      </c>
      <c r="B51" s="42" t="e">
        <f>+B44-B47</f>
        <v>#DIV/0!</v>
      </c>
      <c r="C51" s="42" t="e">
        <f>+C44-C47</f>
        <v>#DIV/0!</v>
      </c>
      <c r="D51" s="42" t="e">
        <f>+D44-D47</f>
        <v>#DIV/0!</v>
      </c>
    </row>
    <row r="52" spans="1:4" x14ac:dyDescent="0.3">
      <c r="B52" s="42"/>
      <c r="C52" s="42"/>
      <c r="D52" s="42"/>
    </row>
    <row r="53" spans="1:4" x14ac:dyDescent="0.3">
      <c r="A53" s="37" t="s">
        <v>47</v>
      </c>
      <c r="B53" s="42" t="e">
        <f>B44-B49</f>
        <v>#DIV/0!</v>
      </c>
      <c r="C53" s="42" t="e">
        <f>C44-C49</f>
        <v>#DIV/0!</v>
      </c>
      <c r="D53" s="42" t="e">
        <f>D44-D49</f>
        <v>#DIV/0!</v>
      </c>
    </row>
    <row r="54" spans="1:4" x14ac:dyDescent="0.3">
      <c r="B54" s="42"/>
      <c r="C54" s="42"/>
      <c r="D54" s="42"/>
    </row>
    <row r="55" spans="1:4" x14ac:dyDescent="0.3">
      <c r="A55" s="39" t="s">
        <v>48</v>
      </c>
      <c r="B55" s="65" t="e">
        <f>IF(B51&lt;B53,B51,B53)</f>
        <v>#DIV/0!</v>
      </c>
      <c r="C55" s="65" t="e">
        <f>IF(C51&lt;C53,C51,C53)</f>
        <v>#DIV/0!</v>
      </c>
      <c r="D55" s="65" t="e">
        <f>IF(D51&lt;D53,D51,D53)</f>
        <v>#DIV/0!</v>
      </c>
    </row>
    <row r="56" spans="1:4" x14ac:dyDescent="0.3">
      <c r="A56" s="39" t="s">
        <v>49</v>
      </c>
      <c r="B56" s="39"/>
      <c r="C56" s="39"/>
      <c r="D56" s="39"/>
    </row>
    <row r="57" spans="1:4" ht="15" thickBot="1" x14ac:dyDescent="0.35">
      <c r="A57" s="55"/>
      <c r="B57" s="55"/>
      <c r="C57" s="55"/>
      <c r="D57" s="55"/>
    </row>
  </sheetData>
  <mergeCells count="5">
    <mergeCell ref="A1:D1"/>
    <mergeCell ref="A2:D2"/>
    <mergeCell ref="A3:D3"/>
    <mergeCell ref="A5:D5"/>
    <mergeCell ref="A33:D33"/>
  </mergeCells>
  <pageMargins left="0.52" right="0.15748031496062992" top="0.27559055118110237" bottom="0.27559055118110237" header="0.19685039370078741" footer="0.15748031496062992"/>
  <pageSetup scale="110" orientation="portrait" r:id="rId1"/>
  <rowBreaks count="1" manualBreakCount="1">
    <brk id="31" max="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9"/>
  <sheetViews>
    <sheetView workbookViewId="0">
      <selection activeCell="I26" sqref="I26"/>
    </sheetView>
  </sheetViews>
  <sheetFormatPr defaultColWidth="9.21875" defaultRowHeight="14.4" x14ac:dyDescent="0.3"/>
  <cols>
    <col min="1" max="1" width="22.21875" style="37" customWidth="1"/>
    <col min="2" max="2" width="10.44140625" style="37" customWidth="1"/>
    <col min="3" max="3" width="12.5546875" style="37" customWidth="1"/>
    <col min="4" max="4" width="15.21875" style="37" customWidth="1"/>
    <col min="5" max="5" width="14.77734375" style="37" customWidth="1"/>
    <col min="6" max="16384" width="9.21875" style="37"/>
  </cols>
  <sheetData>
    <row r="1" spans="1:5" ht="7.5" customHeight="1" x14ac:dyDescent="0.3"/>
    <row r="2" spans="1:5" ht="20.25" customHeight="1" x14ac:dyDescent="0.3">
      <c r="A2" s="370" t="s">
        <v>68</v>
      </c>
      <c r="B2" s="370"/>
      <c r="C2" s="370"/>
      <c r="D2" s="370"/>
      <c r="E2" s="370"/>
    </row>
    <row r="3" spans="1:5" ht="18.75" customHeight="1" x14ac:dyDescent="0.3">
      <c r="A3" s="370">
        <f>Assumptions.1!I5</f>
        <v>0</v>
      </c>
      <c r="B3" s="370"/>
      <c r="C3" s="370"/>
      <c r="D3" s="370"/>
      <c r="E3" s="370"/>
    </row>
    <row r="4" spans="1:5" ht="21.75" customHeight="1" x14ac:dyDescent="0.3">
      <c r="A4" s="370" t="s">
        <v>71</v>
      </c>
      <c r="B4" s="370"/>
      <c r="C4" s="370"/>
      <c r="D4" s="370"/>
      <c r="E4" s="370"/>
    </row>
    <row r="6" spans="1:5" ht="18.75" customHeight="1" x14ac:dyDescent="0.3">
      <c r="A6" s="371" t="s">
        <v>85</v>
      </c>
      <c r="B6" s="371"/>
      <c r="C6" s="371"/>
      <c r="D6" s="371"/>
      <c r="E6" s="371"/>
    </row>
    <row r="7" spans="1:5" x14ac:dyDescent="0.3">
      <c r="A7" s="39"/>
      <c r="B7" s="39"/>
    </row>
    <row r="8" spans="1:5" x14ac:dyDescent="0.3">
      <c r="A8" s="370" t="s">
        <v>86</v>
      </c>
      <c r="B8" s="370"/>
      <c r="C8" s="370"/>
      <c r="D8" s="370"/>
      <c r="E8" s="370"/>
    </row>
    <row r="10" spans="1:5" ht="20.25" customHeight="1" x14ac:dyDescent="0.3">
      <c r="A10" s="121" t="s">
        <v>0</v>
      </c>
      <c r="B10" s="125"/>
      <c r="C10" s="122" t="str">
        <f>'MPBF '!B8</f>
        <v>Estimated</v>
      </c>
      <c r="D10" s="122" t="str">
        <f>'MPBF '!C8</f>
        <v>Projected</v>
      </c>
      <c r="E10" s="122" t="str">
        <f>'MPBF '!D8</f>
        <v>Projected</v>
      </c>
    </row>
    <row r="11" spans="1:5" ht="17.25" customHeight="1" thickBot="1" x14ac:dyDescent="0.35">
      <c r="A11" s="123"/>
      <c r="B11" s="124"/>
      <c r="C11" s="124">
        <f>'MPBF '!B9</f>
        <v>0</v>
      </c>
      <c r="D11" s="124">
        <f>'MPBF '!C9</f>
        <v>0</v>
      </c>
      <c r="E11" s="124">
        <f>'MPBF '!D9</f>
        <v>0</v>
      </c>
    </row>
    <row r="12" spans="1:5" ht="15" thickTop="1" x14ac:dyDescent="0.3"/>
    <row r="13" spans="1:5" x14ac:dyDescent="0.3">
      <c r="A13" s="37" t="s">
        <v>40</v>
      </c>
      <c r="B13" s="42"/>
      <c r="C13" s="42" t="e">
        <f>PLBS!D10</f>
        <v>#DIV/0!</v>
      </c>
      <c r="D13" s="42" t="e">
        <f>PLBS!E10</f>
        <v>#DIV/0!</v>
      </c>
      <c r="E13" s="42" t="e">
        <f>PLBS!F10</f>
        <v>#DIV/0!</v>
      </c>
    </row>
    <row r="14" spans="1:5" x14ac:dyDescent="0.3">
      <c r="B14" s="42"/>
    </row>
    <row r="15" spans="1:5" x14ac:dyDescent="0.3">
      <c r="A15" s="37" t="s">
        <v>273</v>
      </c>
      <c r="B15" s="42"/>
      <c r="C15" s="42" t="e">
        <f>C13*25/100</f>
        <v>#DIV/0!</v>
      </c>
      <c r="D15" s="42" t="e">
        <f>D13*25/100</f>
        <v>#DIV/0!</v>
      </c>
      <c r="E15" s="42" t="e">
        <f>E13*25/100</f>
        <v>#DIV/0!</v>
      </c>
    </row>
    <row r="16" spans="1:5" x14ac:dyDescent="0.3">
      <c r="A16" s="37" t="s">
        <v>87</v>
      </c>
      <c r="B16" s="42"/>
    </row>
    <row r="17" spans="1:5" x14ac:dyDescent="0.3">
      <c r="B17" s="42"/>
    </row>
    <row r="18" spans="1:5" x14ac:dyDescent="0.3">
      <c r="A18" s="37" t="s">
        <v>274</v>
      </c>
      <c r="B18" s="42"/>
      <c r="C18" s="42" t="e">
        <f>C15*80/100</f>
        <v>#DIV/0!</v>
      </c>
      <c r="D18" s="42" t="e">
        <f>D15*80/100</f>
        <v>#DIV/0!</v>
      </c>
      <c r="E18" s="42" t="e">
        <f>E15*80/100</f>
        <v>#DIV/0!</v>
      </c>
    </row>
    <row r="19" spans="1:5" x14ac:dyDescent="0.3">
      <c r="A19" s="37" t="s">
        <v>275</v>
      </c>
      <c r="B19" s="42"/>
    </row>
    <row r="20" spans="1:5" x14ac:dyDescent="0.3">
      <c r="B20" s="42"/>
    </row>
    <row r="21" spans="1:5" x14ac:dyDescent="0.3">
      <c r="A21" s="37" t="s">
        <v>88</v>
      </c>
      <c r="B21" s="42"/>
      <c r="C21" s="42">
        <f>Assumptions.1!I13</f>
        <v>0</v>
      </c>
      <c r="D21" s="42">
        <f>C21</f>
        <v>0</v>
      </c>
      <c r="E21" s="42">
        <f>D21</f>
        <v>0</v>
      </c>
    </row>
    <row r="22" spans="1:5" x14ac:dyDescent="0.3">
      <c r="B22" s="42"/>
    </row>
    <row r="23" spans="1:5" x14ac:dyDescent="0.3">
      <c r="A23" s="37" t="s">
        <v>89</v>
      </c>
      <c r="B23" s="42"/>
      <c r="C23" s="42" t="e">
        <f>IF(C18&lt;C21,C18,C21)</f>
        <v>#DIV/0!</v>
      </c>
      <c r="D23" s="42" t="e">
        <f>IF(D18&lt;D21,D18,D21)</f>
        <v>#DIV/0!</v>
      </c>
      <c r="E23" s="42" t="e">
        <f>IF(E18&lt;E21,E18,E21)</f>
        <v>#DIV/0!</v>
      </c>
    </row>
    <row r="24" spans="1:5" ht="15" thickBot="1" x14ac:dyDescent="0.35">
      <c r="A24" s="55"/>
      <c r="B24" s="55"/>
      <c r="C24" s="55"/>
      <c r="D24" s="55"/>
      <c r="E24" s="55"/>
    </row>
    <row r="27" spans="1:5" x14ac:dyDescent="0.3">
      <c r="A27" s="39" t="s">
        <v>90</v>
      </c>
    </row>
    <row r="28" spans="1:5" x14ac:dyDescent="0.3">
      <c r="A28" s="37" t="s">
        <v>91</v>
      </c>
    </row>
    <row r="29" spans="1:5" x14ac:dyDescent="0.3">
      <c r="A29" s="37" t="s">
        <v>92</v>
      </c>
    </row>
  </sheetData>
  <mergeCells count="5">
    <mergeCell ref="A3:E3"/>
    <mergeCell ref="A2:E2"/>
    <mergeCell ref="A4:E4"/>
    <mergeCell ref="A6:E6"/>
    <mergeCell ref="A8:E8"/>
  </mergeCells>
  <pageMargins left="0.31496062992125984" right="0.33" top="0.47244094488188981" bottom="0.74803149606299213" header="0.31496062992125984" footer="0.31496062992125984"/>
  <pageSetup scale="120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94"/>
  <sheetViews>
    <sheetView workbookViewId="0">
      <selection activeCell="Q29" sqref="Q29"/>
    </sheetView>
  </sheetViews>
  <sheetFormatPr defaultColWidth="9.21875" defaultRowHeight="14.4" x14ac:dyDescent="0.35"/>
  <cols>
    <col min="1" max="1" width="26.77734375" style="17" customWidth="1"/>
    <col min="2" max="2" width="15.21875" style="17" customWidth="1"/>
    <col min="3" max="3" width="11" style="17" customWidth="1"/>
    <col min="4" max="4" width="10.77734375" style="17" customWidth="1"/>
    <col min="5" max="5" width="10.44140625" style="17" customWidth="1"/>
    <col min="6" max="6" width="10.77734375" style="17" customWidth="1"/>
    <col min="7" max="7" width="12.77734375" style="17" customWidth="1"/>
    <col min="8" max="9" width="11.5546875" style="17" customWidth="1"/>
    <col min="10" max="10" width="12.5546875" style="17" customWidth="1"/>
    <col min="11" max="11" width="11.5546875" style="17" customWidth="1"/>
    <col min="12" max="12" width="13.21875" style="17" customWidth="1"/>
    <col min="13" max="13" width="11.44140625" style="17" customWidth="1"/>
    <col min="14" max="16384" width="9.21875" style="17"/>
  </cols>
  <sheetData>
    <row r="1" spans="1:13" x14ac:dyDescent="0.35">
      <c r="A1" s="382">
        <f>Assumptions.1!I3</f>
        <v>0</v>
      </c>
      <c r="B1" s="382"/>
      <c r="C1" s="382"/>
      <c r="D1" s="382"/>
      <c r="E1" s="382"/>
      <c r="F1" s="382"/>
      <c r="G1" s="382"/>
      <c r="H1" s="382"/>
      <c r="I1" s="382"/>
      <c r="J1" s="382"/>
      <c r="K1" s="382"/>
      <c r="L1" s="382"/>
      <c r="M1" s="382"/>
    </row>
    <row r="2" spans="1:13" x14ac:dyDescent="0.35">
      <c r="A2" s="382">
        <f>Assumptions.1!I5</f>
        <v>0</v>
      </c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382"/>
      <c r="M2" s="382"/>
    </row>
    <row r="3" spans="1:13" x14ac:dyDescent="0.35">
      <c r="A3" s="382">
        <f>Assumptions.1!I6</f>
        <v>0</v>
      </c>
      <c r="B3" s="382"/>
      <c r="C3" s="382"/>
      <c r="D3" s="382"/>
      <c r="E3" s="382"/>
      <c r="F3" s="382"/>
      <c r="G3" s="382"/>
      <c r="H3" s="382"/>
      <c r="I3" s="382"/>
      <c r="J3" s="382"/>
      <c r="K3" s="382"/>
      <c r="L3" s="382"/>
      <c r="M3" s="382"/>
    </row>
    <row r="5" spans="1:13" x14ac:dyDescent="0.35">
      <c r="A5" s="382" t="s">
        <v>115</v>
      </c>
      <c r="B5" s="382"/>
      <c r="C5" s="382"/>
      <c r="D5" s="382"/>
      <c r="E5" s="382"/>
      <c r="F5" s="382"/>
      <c r="G5" s="382"/>
      <c r="H5" s="382"/>
      <c r="I5" s="382"/>
      <c r="J5" s="382"/>
      <c r="K5" s="382"/>
      <c r="L5" s="382"/>
      <c r="M5" s="382"/>
    </row>
    <row r="6" spans="1:13" x14ac:dyDescent="0.35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</row>
    <row r="7" spans="1:13" x14ac:dyDescent="0.35">
      <c r="B7" s="104"/>
      <c r="C7" s="104"/>
      <c r="M7" s="25" t="s">
        <v>116</v>
      </c>
    </row>
    <row r="8" spans="1:13" ht="15" customHeight="1" x14ac:dyDescent="0.35">
      <c r="A8" s="91"/>
      <c r="B8" s="94"/>
      <c r="C8" s="103"/>
      <c r="D8" s="92"/>
      <c r="E8" s="92"/>
      <c r="F8" s="92"/>
      <c r="G8" s="92"/>
      <c r="H8" s="92"/>
      <c r="I8" s="92"/>
      <c r="J8" s="92"/>
      <c r="K8" s="92"/>
      <c r="L8" s="92"/>
      <c r="M8" s="92"/>
    </row>
    <row r="9" spans="1:13" ht="30" customHeight="1" x14ac:dyDescent="0.35">
      <c r="A9" s="93"/>
      <c r="B9" s="384" t="str">
        <f>Assumptions.1!B99</f>
        <v>Plant and Machinery</v>
      </c>
      <c r="C9" s="383" t="str">
        <f>Assumptions.1!B109</f>
        <v>Service Equipment</v>
      </c>
      <c r="D9" s="384" t="str">
        <f>Assumptions.1!B119</f>
        <v>Shed and Civil works</v>
      </c>
      <c r="E9" s="385" t="str">
        <f>Assumptions.1!B129</f>
        <v>Land</v>
      </c>
      <c r="F9" s="384" t="str">
        <f>Assumptions.1!B132</f>
        <v>Electrical Items</v>
      </c>
      <c r="G9" s="384" t="str">
        <f>Assumptions.1!B141</f>
        <v>Electronic items</v>
      </c>
      <c r="H9" s="384" t="str">
        <f>Assumptions.1!B151</f>
        <v xml:space="preserve">Furniture and Fittings </v>
      </c>
      <c r="I9" s="386" t="str">
        <f>Assumptions.1!B161</f>
        <v>Vehicles</v>
      </c>
      <c r="J9" s="385" t="str">
        <f>Assumptions.1!B171</f>
        <v>Live stock</v>
      </c>
      <c r="K9" s="385" t="str">
        <f>Assumptions.1!B180</f>
        <v>Other Assets</v>
      </c>
      <c r="L9" s="384" t="str">
        <f>Assumptions.1!B190</f>
        <v>Other Assets (Nil Depreciation)</v>
      </c>
      <c r="M9" s="94"/>
    </row>
    <row r="10" spans="1:13" ht="7.5" customHeight="1" x14ac:dyDescent="0.35">
      <c r="A10" s="93"/>
      <c r="B10" s="384"/>
      <c r="C10" s="383"/>
      <c r="D10" s="384"/>
      <c r="E10" s="385"/>
      <c r="F10" s="384"/>
      <c r="G10" s="384"/>
      <c r="H10" s="384"/>
      <c r="I10" s="386"/>
      <c r="J10" s="385"/>
      <c r="K10" s="385"/>
      <c r="L10" s="384"/>
      <c r="M10" s="94"/>
    </row>
    <row r="11" spans="1:13" ht="17.25" customHeight="1" x14ac:dyDescent="0.35">
      <c r="A11" s="93"/>
      <c r="B11" s="94"/>
      <c r="C11" s="383"/>
      <c r="D11" s="95"/>
      <c r="E11" s="95"/>
      <c r="F11" s="95"/>
      <c r="G11" s="95"/>
      <c r="H11" s="95"/>
      <c r="I11" s="386"/>
      <c r="J11" s="95"/>
      <c r="K11" s="95"/>
      <c r="L11" s="384"/>
      <c r="M11" s="94" t="s">
        <v>117</v>
      </c>
    </row>
    <row r="12" spans="1:13" ht="15" thickBot="1" x14ac:dyDescent="0.4">
      <c r="A12" s="96"/>
      <c r="B12" s="97">
        <f>Assumptions.1!I69</f>
        <v>0.15</v>
      </c>
      <c r="C12" s="97">
        <f>Assumptions.1!I70</f>
        <v>0.15</v>
      </c>
      <c r="D12" s="97">
        <f>Assumptions.1!I71</f>
        <v>0.1</v>
      </c>
      <c r="E12" s="97">
        <f>Assumptions.1!I72</f>
        <v>0</v>
      </c>
      <c r="F12" s="97">
        <f>Assumptions.1!I74</f>
        <v>0.15</v>
      </c>
      <c r="G12" s="97">
        <f>Assumptions.1!I75</f>
        <v>0.15</v>
      </c>
      <c r="H12" s="97">
        <f>Assumptions.1!I73</f>
        <v>0.1</v>
      </c>
      <c r="I12" s="97">
        <f>Assumptions.1!I76</f>
        <v>0.15</v>
      </c>
      <c r="J12" s="97">
        <f>Assumptions.1!I77</f>
        <v>0</v>
      </c>
      <c r="K12" s="97">
        <f>Assumptions.1!I79</f>
        <v>0.1</v>
      </c>
      <c r="L12" s="97">
        <f>Assumptions.1!I78</f>
        <v>0</v>
      </c>
      <c r="M12" s="98"/>
    </row>
    <row r="13" spans="1:13" ht="15" thickTop="1" x14ac:dyDescent="0.35"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26"/>
    </row>
    <row r="14" spans="1:13" x14ac:dyDescent="0.35">
      <c r="A14" s="23"/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32"/>
    </row>
    <row r="15" spans="1:13" x14ac:dyDescent="0.35">
      <c r="A15" s="105">
        <f>Assumptions.1!I19</f>
        <v>0</v>
      </c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32"/>
    </row>
    <row r="16" spans="1:13" x14ac:dyDescent="0.35">
      <c r="A16" s="17" t="s">
        <v>173</v>
      </c>
      <c r="B16" s="100">
        <f>Assumptions.1!F99</f>
        <v>0</v>
      </c>
      <c r="C16" s="100">
        <f>Assumptions.1!F109</f>
        <v>0</v>
      </c>
      <c r="D16" s="100">
        <f>Assumptions.1!F119</f>
        <v>0</v>
      </c>
      <c r="E16" s="100">
        <f>Assumptions.1!F129</f>
        <v>0</v>
      </c>
      <c r="F16" s="100">
        <f>Assumptions.1!F132</f>
        <v>0</v>
      </c>
      <c r="G16" s="100">
        <f>Assumptions.1!F141</f>
        <v>0</v>
      </c>
      <c r="H16" s="100">
        <f>Assumptions.1!F151</f>
        <v>0</v>
      </c>
      <c r="I16" s="100">
        <f>Assumptions.1!F161</f>
        <v>0</v>
      </c>
      <c r="J16" s="100">
        <f>Assumptions.1!F171</f>
        <v>0</v>
      </c>
      <c r="K16" s="100">
        <f>Assumptions.1!F180</f>
        <v>0</v>
      </c>
      <c r="L16" s="100">
        <f>Assumptions.1!F190</f>
        <v>0</v>
      </c>
      <c r="M16" s="32">
        <f>B16+C16+D16+E16+F16+G16+H16+I16+J16+K16+L16</f>
        <v>0</v>
      </c>
    </row>
    <row r="17" spans="1:13" x14ac:dyDescent="0.35">
      <c r="A17" s="17" t="s">
        <v>119</v>
      </c>
      <c r="B17" s="100">
        <v>0</v>
      </c>
      <c r="C17" s="100">
        <v>0</v>
      </c>
      <c r="D17" s="100">
        <v>0</v>
      </c>
      <c r="E17" s="100">
        <v>0</v>
      </c>
      <c r="F17" s="100">
        <v>0</v>
      </c>
      <c r="G17" s="100">
        <v>0</v>
      </c>
      <c r="H17" s="100">
        <v>0</v>
      </c>
      <c r="I17" s="100">
        <v>0</v>
      </c>
      <c r="J17" s="100">
        <v>0</v>
      </c>
      <c r="K17" s="100">
        <v>0</v>
      </c>
      <c r="L17" s="100">
        <v>0</v>
      </c>
      <c r="M17" s="32">
        <f t="shared" ref="M17:M34" si="0">B17+C17+D17+E17+F17+G17+H17+I17+J17+K17+L17</f>
        <v>0</v>
      </c>
    </row>
    <row r="18" spans="1:13" x14ac:dyDescent="0.35">
      <c r="A18" s="17" t="s">
        <v>117</v>
      </c>
      <c r="B18" s="100">
        <f>B16+B17</f>
        <v>0</v>
      </c>
      <c r="C18" s="100">
        <f t="shared" ref="C18:L18" si="1">C16+C17</f>
        <v>0</v>
      </c>
      <c r="D18" s="100">
        <f t="shared" si="1"/>
        <v>0</v>
      </c>
      <c r="E18" s="100">
        <f t="shared" si="1"/>
        <v>0</v>
      </c>
      <c r="F18" s="100">
        <f t="shared" si="1"/>
        <v>0</v>
      </c>
      <c r="G18" s="100">
        <f t="shared" si="1"/>
        <v>0</v>
      </c>
      <c r="H18" s="100">
        <f t="shared" si="1"/>
        <v>0</v>
      </c>
      <c r="I18" s="100">
        <f t="shared" si="1"/>
        <v>0</v>
      </c>
      <c r="J18" s="100">
        <f t="shared" si="1"/>
        <v>0</v>
      </c>
      <c r="K18" s="100">
        <f t="shared" si="1"/>
        <v>0</v>
      </c>
      <c r="L18" s="100">
        <f t="shared" si="1"/>
        <v>0</v>
      </c>
      <c r="M18" s="32">
        <f t="shared" si="0"/>
        <v>0</v>
      </c>
    </row>
    <row r="19" spans="1:13" x14ac:dyDescent="0.35">
      <c r="A19" s="17" t="s">
        <v>33</v>
      </c>
      <c r="B19" s="100">
        <f>B18*B12</f>
        <v>0</v>
      </c>
      <c r="C19" s="100">
        <f t="shared" ref="C19:L19" si="2">C18*C12</f>
        <v>0</v>
      </c>
      <c r="D19" s="100">
        <f t="shared" si="2"/>
        <v>0</v>
      </c>
      <c r="E19" s="100">
        <f t="shared" si="2"/>
        <v>0</v>
      </c>
      <c r="F19" s="100">
        <f t="shared" si="2"/>
        <v>0</v>
      </c>
      <c r="G19" s="100">
        <f t="shared" si="2"/>
        <v>0</v>
      </c>
      <c r="H19" s="100">
        <f t="shared" si="2"/>
        <v>0</v>
      </c>
      <c r="I19" s="100">
        <f t="shared" si="2"/>
        <v>0</v>
      </c>
      <c r="J19" s="100">
        <f t="shared" si="2"/>
        <v>0</v>
      </c>
      <c r="K19" s="100">
        <f t="shared" si="2"/>
        <v>0</v>
      </c>
      <c r="L19" s="100">
        <f t="shared" si="2"/>
        <v>0</v>
      </c>
      <c r="M19" s="32">
        <f t="shared" si="0"/>
        <v>0</v>
      </c>
    </row>
    <row r="20" spans="1:13" x14ac:dyDescent="0.35">
      <c r="A20" s="17" t="s">
        <v>120</v>
      </c>
      <c r="B20" s="100">
        <f>B18-B19</f>
        <v>0</v>
      </c>
      <c r="C20" s="100">
        <f t="shared" ref="C20:L20" si="3">C18-C19</f>
        <v>0</v>
      </c>
      <c r="D20" s="100">
        <f t="shared" si="3"/>
        <v>0</v>
      </c>
      <c r="E20" s="100">
        <f t="shared" si="3"/>
        <v>0</v>
      </c>
      <c r="F20" s="100">
        <f t="shared" si="3"/>
        <v>0</v>
      </c>
      <c r="G20" s="100">
        <f t="shared" si="3"/>
        <v>0</v>
      </c>
      <c r="H20" s="100">
        <f t="shared" si="3"/>
        <v>0</v>
      </c>
      <c r="I20" s="100">
        <f t="shared" si="3"/>
        <v>0</v>
      </c>
      <c r="J20" s="100">
        <f t="shared" si="3"/>
        <v>0</v>
      </c>
      <c r="K20" s="100">
        <f t="shared" si="3"/>
        <v>0</v>
      </c>
      <c r="L20" s="100">
        <f t="shared" si="3"/>
        <v>0</v>
      </c>
      <c r="M20" s="32">
        <f t="shared" si="0"/>
        <v>0</v>
      </c>
    </row>
    <row r="21" spans="1:13" x14ac:dyDescent="0.35"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32">
        <f t="shared" si="0"/>
        <v>0</v>
      </c>
    </row>
    <row r="22" spans="1:13" x14ac:dyDescent="0.35">
      <c r="A22" s="105">
        <f>Assumptions.1!I20</f>
        <v>0</v>
      </c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32">
        <f t="shared" si="0"/>
        <v>0</v>
      </c>
    </row>
    <row r="23" spans="1:13" x14ac:dyDescent="0.35">
      <c r="A23" s="17" t="s">
        <v>118</v>
      </c>
      <c r="B23" s="100">
        <f>B20</f>
        <v>0</v>
      </c>
      <c r="C23" s="100">
        <f t="shared" ref="C23:L23" si="4">C20</f>
        <v>0</v>
      </c>
      <c r="D23" s="100">
        <f t="shared" si="4"/>
        <v>0</v>
      </c>
      <c r="E23" s="100">
        <f t="shared" si="4"/>
        <v>0</v>
      </c>
      <c r="F23" s="100">
        <f t="shared" si="4"/>
        <v>0</v>
      </c>
      <c r="G23" s="100">
        <f t="shared" si="4"/>
        <v>0</v>
      </c>
      <c r="H23" s="100">
        <f t="shared" si="4"/>
        <v>0</v>
      </c>
      <c r="I23" s="100">
        <f t="shared" si="4"/>
        <v>0</v>
      </c>
      <c r="J23" s="100">
        <f t="shared" si="4"/>
        <v>0</v>
      </c>
      <c r="K23" s="100">
        <f t="shared" si="4"/>
        <v>0</v>
      </c>
      <c r="L23" s="100">
        <f t="shared" si="4"/>
        <v>0</v>
      </c>
      <c r="M23" s="32">
        <f t="shared" si="0"/>
        <v>0</v>
      </c>
    </row>
    <row r="24" spans="1:13" x14ac:dyDescent="0.35">
      <c r="A24" s="17" t="s">
        <v>119</v>
      </c>
      <c r="B24" s="100">
        <v>0</v>
      </c>
      <c r="C24" s="100">
        <v>0</v>
      </c>
      <c r="D24" s="100">
        <v>0</v>
      </c>
      <c r="E24" s="100">
        <v>0</v>
      </c>
      <c r="F24" s="100">
        <v>0</v>
      </c>
      <c r="G24" s="100">
        <v>0</v>
      </c>
      <c r="H24" s="100">
        <v>0</v>
      </c>
      <c r="I24" s="100">
        <v>0</v>
      </c>
      <c r="J24" s="100">
        <v>0</v>
      </c>
      <c r="K24" s="100">
        <v>0</v>
      </c>
      <c r="L24" s="100">
        <v>0</v>
      </c>
      <c r="M24" s="32">
        <f t="shared" si="0"/>
        <v>0</v>
      </c>
    </row>
    <row r="25" spans="1:13" x14ac:dyDescent="0.35">
      <c r="A25" s="17" t="s">
        <v>117</v>
      </c>
      <c r="B25" s="100">
        <f>B23+B24</f>
        <v>0</v>
      </c>
      <c r="C25" s="100">
        <f t="shared" ref="C25:L25" si="5">C23+C24</f>
        <v>0</v>
      </c>
      <c r="D25" s="100">
        <f t="shared" si="5"/>
        <v>0</v>
      </c>
      <c r="E25" s="100">
        <f t="shared" si="5"/>
        <v>0</v>
      </c>
      <c r="F25" s="100">
        <f t="shared" si="5"/>
        <v>0</v>
      </c>
      <c r="G25" s="100">
        <f t="shared" si="5"/>
        <v>0</v>
      </c>
      <c r="H25" s="100">
        <f t="shared" si="5"/>
        <v>0</v>
      </c>
      <c r="I25" s="100">
        <f t="shared" si="5"/>
        <v>0</v>
      </c>
      <c r="J25" s="100">
        <f t="shared" si="5"/>
        <v>0</v>
      </c>
      <c r="K25" s="100">
        <f t="shared" si="5"/>
        <v>0</v>
      </c>
      <c r="L25" s="100">
        <f t="shared" si="5"/>
        <v>0</v>
      </c>
      <c r="M25" s="32">
        <f t="shared" si="0"/>
        <v>0</v>
      </c>
    </row>
    <row r="26" spans="1:13" x14ac:dyDescent="0.35">
      <c r="A26" s="17" t="s">
        <v>33</v>
      </c>
      <c r="B26" s="100">
        <f>B25*B12</f>
        <v>0</v>
      </c>
      <c r="C26" s="100">
        <f t="shared" ref="C26:L26" si="6">C25*C12</f>
        <v>0</v>
      </c>
      <c r="D26" s="100">
        <f t="shared" si="6"/>
        <v>0</v>
      </c>
      <c r="E26" s="100">
        <f t="shared" si="6"/>
        <v>0</v>
      </c>
      <c r="F26" s="100">
        <f t="shared" si="6"/>
        <v>0</v>
      </c>
      <c r="G26" s="100">
        <f t="shared" si="6"/>
        <v>0</v>
      </c>
      <c r="H26" s="100">
        <f t="shared" si="6"/>
        <v>0</v>
      </c>
      <c r="I26" s="100">
        <f t="shared" si="6"/>
        <v>0</v>
      </c>
      <c r="J26" s="100">
        <f t="shared" si="6"/>
        <v>0</v>
      </c>
      <c r="K26" s="100">
        <f t="shared" si="6"/>
        <v>0</v>
      </c>
      <c r="L26" s="100">
        <f t="shared" si="6"/>
        <v>0</v>
      </c>
      <c r="M26" s="32">
        <f t="shared" si="0"/>
        <v>0</v>
      </c>
    </row>
    <row r="27" spans="1:13" x14ac:dyDescent="0.35">
      <c r="A27" s="17" t="s">
        <v>121</v>
      </c>
      <c r="B27" s="100">
        <f>B25-B26</f>
        <v>0</v>
      </c>
      <c r="C27" s="100">
        <f t="shared" ref="C27:L27" si="7">C25-C26</f>
        <v>0</v>
      </c>
      <c r="D27" s="100">
        <f t="shared" si="7"/>
        <v>0</v>
      </c>
      <c r="E27" s="100">
        <f t="shared" si="7"/>
        <v>0</v>
      </c>
      <c r="F27" s="100">
        <f t="shared" si="7"/>
        <v>0</v>
      </c>
      <c r="G27" s="100">
        <f t="shared" si="7"/>
        <v>0</v>
      </c>
      <c r="H27" s="100">
        <f t="shared" si="7"/>
        <v>0</v>
      </c>
      <c r="I27" s="100">
        <f t="shared" si="7"/>
        <v>0</v>
      </c>
      <c r="J27" s="100">
        <f t="shared" si="7"/>
        <v>0</v>
      </c>
      <c r="K27" s="100">
        <f t="shared" si="7"/>
        <v>0</v>
      </c>
      <c r="L27" s="100">
        <f t="shared" si="7"/>
        <v>0</v>
      </c>
      <c r="M27" s="32">
        <f t="shared" si="0"/>
        <v>0</v>
      </c>
    </row>
    <row r="28" spans="1:13" x14ac:dyDescent="0.35"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32">
        <f t="shared" si="0"/>
        <v>0</v>
      </c>
    </row>
    <row r="29" spans="1:13" x14ac:dyDescent="0.35">
      <c r="A29" s="105">
        <f>Assumptions.1!I21</f>
        <v>0</v>
      </c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32">
        <f t="shared" si="0"/>
        <v>0</v>
      </c>
    </row>
    <row r="30" spans="1:13" x14ac:dyDescent="0.35">
      <c r="A30" s="17" t="s">
        <v>118</v>
      </c>
      <c r="B30" s="100">
        <f>B27</f>
        <v>0</v>
      </c>
      <c r="C30" s="100">
        <f t="shared" ref="C30:L30" si="8">C27</f>
        <v>0</v>
      </c>
      <c r="D30" s="100">
        <f t="shared" si="8"/>
        <v>0</v>
      </c>
      <c r="E30" s="100">
        <f t="shared" si="8"/>
        <v>0</v>
      </c>
      <c r="F30" s="100">
        <f t="shared" si="8"/>
        <v>0</v>
      </c>
      <c r="G30" s="100">
        <f t="shared" si="8"/>
        <v>0</v>
      </c>
      <c r="H30" s="100">
        <f t="shared" si="8"/>
        <v>0</v>
      </c>
      <c r="I30" s="100">
        <f t="shared" si="8"/>
        <v>0</v>
      </c>
      <c r="J30" s="100">
        <f t="shared" si="8"/>
        <v>0</v>
      </c>
      <c r="K30" s="100">
        <f t="shared" si="8"/>
        <v>0</v>
      </c>
      <c r="L30" s="100">
        <f t="shared" si="8"/>
        <v>0</v>
      </c>
      <c r="M30" s="32">
        <f t="shared" si="0"/>
        <v>0</v>
      </c>
    </row>
    <row r="31" spans="1:13" x14ac:dyDescent="0.35">
      <c r="A31" s="17" t="s">
        <v>119</v>
      </c>
      <c r="B31" s="100">
        <v>0</v>
      </c>
      <c r="C31" s="100">
        <v>0</v>
      </c>
      <c r="D31" s="100">
        <v>0</v>
      </c>
      <c r="E31" s="100">
        <v>0</v>
      </c>
      <c r="F31" s="100">
        <v>0</v>
      </c>
      <c r="G31" s="100">
        <v>0</v>
      </c>
      <c r="H31" s="100">
        <v>0</v>
      </c>
      <c r="I31" s="100">
        <v>0</v>
      </c>
      <c r="J31" s="100">
        <v>0</v>
      </c>
      <c r="K31" s="100">
        <v>0</v>
      </c>
      <c r="L31" s="100">
        <v>0</v>
      </c>
      <c r="M31" s="32">
        <f t="shared" si="0"/>
        <v>0</v>
      </c>
    </row>
    <row r="32" spans="1:13" x14ac:dyDescent="0.35">
      <c r="A32" s="17" t="s">
        <v>117</v>
      </c>
      <c r="B32" s="100">
        <f>B30+B31</f>
        <v>0</v>
      </c>
      <c r="C32" s="100">
        <f t="shared" ref="C32:L32" si="9">C30+C31</f>
        <v>0</v>
      </c>
      <c r="D32" s="100">
        <f t="shared" si="9"/>
        <v>0</v>
      </c>
      <c r="E32" s="100">
        <f t="shared" si="9"/>
        <v>0</v>
      </c>
      <c r="F32" s="100">
        <f t="shared" si="9"/>
        <v>0</v>
      </c>
      <c r="G32" s="100">
        <f t="shared" si="9"/>
        <v>0</v>
      </c>
      <c r="H32" s="100">
        <f t="shared" si="9"/>
        <v>0</v>
      </c>
      <c r="I32" s="100">
        <f t="shared" si="9"/>
        <v>0</v>
      </c>
      <c r="J32" s="100">
        <f t="shared" si="9"/>
        <v>0</v>
      </c>
      <c r="K32" s="100">
        <f t="shared" si="9"/>
        <v>0</v>
      </c>
      <c r="L32" s="100">
        <f t="shared" si="9"/>
        <v>0</v>
      </c>
      <c r="M32" s="32">
        <f t="shared" si="0"/>
        <v>0</v>
      </c>
    </row>
    <row r="33" spans="1:13" x14ac:dyDescent="0.35">
      <c r="A33" s="17" t="s">
        <v>33</v>
      </c>
      <c r="B33" s="100">
        <f>B32*B12</f>
        <v>0</v>
      </c>
      <c r="C33" s="100">
        <f t="shared" ref="C33:L33" si="10">C32*C12</f>
        <v>0</v>
      </c>
      <c r="D33" s="100">
        <f t="shared" si="10"/>
        <v>0</v>
      </c>
      <c r="E33" s="100">
        <f t="shared" si="10"/>
        <v>0</v>
      </c>
      <c r="F33" s="100">
        <f t="shared" si="10"/>
        <v>0</v>
      </c>
      <c r="G33" s="100">
        <f t="shared" si="10"/>
        <v>0</v>
      </c>
      <c r="H33" s="100">
        <f t="shared" si="10"/>
        <v>0</v>
      </c>
      <c r="I33" s="100">
        <f t="shared" si="10"/>
        <v>0</v>
      </c>
      <c r="J33" s="100">
        <f t="shared" si="10"/>
        <v>0</v>
      </c>
      <c r="K33" s="100">
        <f t="shared" si="10"/>
        <v>0</v>
      </c>
      <c r="L33" s="100">
        <f t="shared" si="10"/>
        <v>0</v>
      </c>
      <c r="M33" s="32">
        <f t="shared" si="0"/>
        <v>0</v>
      </c>
    </row>
    <row r="34" spans="1:13" x14ac:dyDescent="0.35">
      <c r="A34" s="17" t="s">
        <v>122</v>
      </c>
      <c r="B34" s="100">
        <f>B32-B33</f>
        <v>0</v>
      </c>
      <c r="C34" s="100">
        <f t="shared" ref="C34:L34" si="11">C32-C33</f>
        <v>0</v>
      </c>
      <c r="D34" s="100">
        <f t="shared" si="11"/>
        <v>0</v>
      </c>
      <c r="E34" s="100">
        <f t="shared" si="11"/>
        <v>0</v>
      </c>
      <c r="F34" s="100">
        <f t="shared" si="11"/>
        <v>0</v>
      </c>
      <c r="G34" s="100">
        <f t="shared" si="11"/>
        <v>0</v>
      </c>
      <c r="H34" s="100">
        <f t="shared" si="11"/>
        <v>0</v>
      </c>
      <c r="I34" s="100">
        <f t="shared" si="11"/>
        <v>0</v>
      </c>
      <c r="J34" s="100">
        <f t="shared" si="11"/>
        <v>0</v>
      </c>
      <c r="K34" s="100">
        <f t="shared" si="11"/>
        <v>0</v>
      </c>
      <c r="L34" s="100">
        <f t="shared" si="11"/>
        <v>0</v>
      </c>
      <c r="M34" s="32">
        <f t="shared" si="0"/>
        <v>0</v>
      </c>
    </row>
    <row r="35" spans="1:13" ht="15" thickBot="1" x14ac:dyDescent="0.4">
      <c r="A35" s="21"/>
      <c r="B35" s="297"/>
      <c r="C35" s="297"/>
      <c r="D35" s="297"/>
      <c r="E35" s="297"/>
      <c r="F35" s="297"/>
      <c r="G35" s="297"/>
      <c r="H35" s="297"/>
      <c r="I35" s="297"/>
      <c r="J35" s="297"/>
      <c r="K35" s="297"/>
      <c r="L35" s="297"/>
      <c r="M35" s="297"/>
    </row>
    <row r="36" spans="1:13" x14ac:dyDescent="0.35">
      <c r="A36" s="31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32"/>
    </row>
    <row r="37" spans="1:13" x14ac:dyDescent="0.35"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32"/>
    </row>
    <row r="38" spans="1:13" x14ac:dyDescent="0.35"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32"/>
    </row>
    <row r="39" spans="1:13" x14ac:dyDescent="0.35"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32"/>
    </row>
    <row r="40" spans="1:13" x14ac:dyDescent="0.35"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32"/>
    </row>
    <row r="41" spans="1:13" x14ac:dyDescent="0.35"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32"/>
    </row>
    <row r="42" spans="1:13" x14ac:dyDescent="0.35"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32"/>
    </row>
    <row r="43" spans="1:13" x14ac:dyDescent="0.35">
      <c r="A43" s="31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32"/>
    </row>
    <row r="44" spans="1:13" x14ac:dyDescent="0.35"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32"/>
    </row>
    <row r="45" spans="1:13" x14ac:dyDescent="0.35"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32"/>
    </row>
    <row r="46" spans="1:13" x14ac:dyDescent="0.35"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32"/>
    </row>
    <row r="47" spans="1:13" x14ac:dyDescent="0.35"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32"/>
    </row>
    <row r="48" spans="1:13" x14ac:dyDescent="0.35"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32"/>
    </row>
    <row r="49" spans="1:13" x14ac:dyDescent="0.35"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32"/>
    </row>
    <row r="50" spans="1:13" x14ac:dyDescent="0.35">
      <c r="A50" s="31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32"/>
    </row>
    <row r="51" spans="1:13" x14ac:dyDescent="0.35"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32"/>
    </row>
    <row r="52" spans="1:13" x14ac:dyDescent="0.35"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32"/>
    </row>
    <row r="53" spans="1:13" x14ac:dyDescent="0.35"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32"/>
    </row>
    <row r="54" spans="1:13" x14ac:dyDescent="0.35"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32"/>
    </row>
    <row r="55" spans="1:13" x14ac:dyDescent="0.35"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32"/>
    </row>
    <row r="56" spans="1:13" x14ac:dyDescent="0.35"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</row>
    <row r="57" spans="1:13" x14ac:dyDescent="0.35">
      <c r="A57" s="31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32"/>
    </row>
    <row r="58" spans="1:13" x14ac:dyDescent="0.35"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32"/>
    </row>
    <row r="59" spans="1:13" x14ac:dyDescent="0.35"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32"/>
    </row>
    <row r="60" spans="1:13" x14ac:dyDescent="0.35"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32"/>
    </row>
    <row r="61" spans="1:13" x14ac:dyDescent="0.35"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32"/>
    </row>
    <row r="62" spans="1:13" x14ac:dyDescent="0.35"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32"/>
    </row>
    <row r="63" spans="1:13" x14ac:dyDescent="0.35"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</row>
    <row r="64" spans="1:13" x14ac:dyDescent="0.35">
      <c r="A64" s="31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32"/>
    </row>
    <row r="65" spans="1:13" x14ac:dyDescent="0.35"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32"/>
    </row>
    <row r="66" spans="1:13" x14ac:dyDescent="0.35"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32"/>
    </row>
    <row r="67" spans="1:13" x14ac:dyDescent="0.35"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32"/>
    </row>
    <row r="68" spans="1:13" x14ac:dyDescent="0.35"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32"/>
    </row>
    <row r="69" spans="1:13" x14ac:dyDescent="0.35"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32"/>
    </row>
    <row r="70" spans="1:13" x14ac:dyDescent="0.35"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</row>
    <row r="71" spans="1:13" x14ac:dyDescent="0.35">
      <c r="A71" s="31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32"/>
    </row>
    <row r="72" spans="1:13" x14ac:dyDescent="0.35"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32"/>
    </row>
    <row r="73" spans="1:13" x14ac:dyDescent="0.35"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32"/>
    </row>
    <row r="74" spans="1:13" x14ac:dyDescent="0.35"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32"/>
    </row>
    <row r="75" spans="1:13" x14ac:dyDescent="0.35"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32"/>
    </row>
    <row r="76" spans="1:13" x14ac:dyDescent="0.35"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32"/>
    </row>
    <row r="77" spans="1:13" x14ac:dyDescent="0.35"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</row>
    <row r="78" spans="1:13" x14ac:dyDescent="0.35">
      <c r="A78" s="31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32"/>
    </row>
    <row r="79" spans="1:13" x14ac:dyDescent="0.35"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32"/>
    </row>
    <row r="80" spans="1:13" x14ac:dyDescent="0.35"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32"/>
    </row>
    <row r="81" spans="1:13" x14ac:dyDescent="0.35"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32"/>
    </row>
    <row r="82" spans="1:13" x14ac:dyDescent="0.35"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32"/>
    </row>
    <row r="83" spans="1:13" x14ac:dyDescent="0.35"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32"/>
    </row>
    <row r="84" spans="1:13" x14ac:dyDescent="0.35"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 x14ac:dyDescent="0.35">
      <c r="A85" s="31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32"/>
    </row>
    <row r="86" spans="1:13" x14ac:dyDescent="0.35"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32"/>
    </row>
    <row r="87" spans="1:13" x14ac:dyDescent="0.35"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32"/>
    </row>
    <row r="88" spans="1:13" x14ac:dyDescent="0.35"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32"/>
    </row>
    <row r="89" spans="1:13" x14ac:dyDescent="0.35"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32"/>
    </row>
    <row r="90" spans="1:13" x14ac:dyDescent="0.35"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32"/>
    </row>
    <row r="91" spans="1:13" x14ac:dyDescent="0.35"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</row>
    <row r="92" spans="1:13" x14ac:dyDescent="0.35"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</row>
    <row r="93" spans="1:13" x14ac:dyDescent="0.35"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</row>
    <row r="94" spans="1:13" x14ac:dyDescent="0.35">
      <c r="C94" s="32"/>
      <c r="D94" s="32"/>
      <c r="E94" s="32"/>
      <c r="F94" s="32"/>
      <c r="G94" s="32"/>
      <c r="H94" s="32"/>
      <c r="I94" s="32"/>
      <c r="J94" s="32"/>
      <c r="K94" s="32"/>
      <c r="L94" s="32"/>
    </row>
  </sheetData>
  <mergeCells count="15">
    <mergeCell ref="A1:M1"/>
    <mergeCell ref="A2:M2"/>
    <mergeCell ref="A3:M3"/>
    <mergeCell ref="A5:M5"/>
    <mergeCell ref="C9:C11"/>
    <mergeCell ref="B9:B10"/>
    <mergeCell ref="D9:D10"/>
    <mergeCell ref="E9:E10"/>
    <mergeCell ref="F9:F10"/>
    <mergeCell ref="G9:G10"/>
    <mergeCell ref="H9:H10"/>
    <mergeCell ref="I9:I11"/>
    <mergeCell ref="J9:J10"/>
    <mergeCell ref="K9:K10"/>
    <mergeCell ref="L9:L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Assumptions.1</vt:lpstr>
      <vt:lpstr>wp</vt:lpstr>
      <vt:lpstr>FinalWorkings</vt:lpstr>
      <vt:lpstr>coverpage</vt:lpstr>
      <vt:lpstr>PLBS</vt:lpstr>
      <vt:lpstr>RATIO</vt:lpstr>
      <vt:lpstr>MPBF </vt:lpstr>
      <vt:lpstr>nayak</vt:lpstr>
      <vt:lpstr>Depsch</vt:lpstr>
      <vt:lpstr>coverpage!Print_Area</vt:lpstr>
      <vt:lpstr>FinalWorkings!Print_Area</vt:lpstr>
      <vt:lpstr>'MPBF '!Print_Area</vt:lpstr>
      <vt:lpstr>RATIO!Print_Area</vt:lpstr>
      <vt:lpstr>wp!Print_Area</vt:lpstr>
    </vt:vector>
  </TitlesOfParts>
  <Company>Auditing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MSrinivas</dc:creator>
  <cp:lastModifiedBy>MATTA JITHENDRA SAI RAMESH</cp:lastModifiedBy>
  <cp:lastPrinted>2025-10-09T10:38:43Z</cp:lastPrinted>
  <dcterms:created xsi:type="dcterms:W3CDTF">2007-11-14T04:27:01Z</dcterms:created>
  <dcterms:modified xsi:type="dcterms:W3CDTF">2025-12-13T08:19:44Z</dcterms:modified>
</cp:coreProperties>
</file>