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A-DEV\CA-BACKEND-DEV\templates\excel\"/>
    </mc:Choice>
  </mc:AlternateContent>
  <xr:revisionPtr revIDLastSave="0" documentId="13_ncr:1_{AEACE051-733C-4F7A-ADFC-40ACED2A1DC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ssumptions.1" sheetId="26" r:id="rId1"/>
    <sheet name="wp" sheetId="1" r:id="rId2"/>
    <sheet name="FinalWorkings" sheetId="32" r:id="rId3"/>
    <sheet name="coverpage" sheetId="25" r:id="rId4"/>
    <sheet name="PLBS" sheetId="31" r:id="rId5"/>
    <sheet name="RATIO" sheetId="2" r:id="rId6"/>
    <sheet name="MPBF " sheetId="20" r:id="rId7"/>
    <sheet name="nayak" sheetId="24" r:id="rId8"/>
    <sheet name="Depsch" sheetId="27" r:id="rId9"/>
  </sheets>
  <definedNames>
    <definedName name="_xlnm.Print_Area" localSheetId="3">coverpage!$A$1:$N$42</definedName>
    <definedName name="_xlnm.Print_Area" localSheetId="2">FinalWorkings!$A$1:$F$41</definedName>
    <definedName name="_xlnm.Print_Area" localSheetId="6">'MPBF '!$A$1:$D$69</definedName>
    <definedName name="_xlnm.Print_Area" localSheetId="4">PLBS!$A$1:$G$95</definedName>
    <definedName name="_xlnm.Print_Area" localSheetId="5">RATIO!$A$1:$G$114</definedName>
    <definedName name="_xlnm.Print_Area" localSheetId="1">wp!$A$1:$G$113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1" i="26" l="1"/>
  <c r="M24" i="27"/>
  <c r="M31" i="27"/>
  <c r="M38" i="27"/>
  <c r="M45" i="27"/>
  <c r="M17" i="27"/>
  <c r="B16" i="27"/>
  <c r="K12" i="27"/>
  <c r="L12" i="27"/>
  <c r="J12" i="27"/>
  <c r="I12" i="27"/>
  <c r="H12" i="27"/>
  <c r="G12" i="27"/>
  <c r="F12" i="27"/>
  <c r="E12" i="27"/>
  <c r="D12" i="27"/>
  <c r="C12" i="27"/>
  <c r="L9" i="27"/>
  <c r="K9" i="27"/>
  <c r="J9" i="27"/>
  <c r="I9" i="27"/>
  <c r="H9" i="27"/>
  <c r="G9" i="27"/>
  <c r="F9" i="27"/>
  <c r="E9" i="27"/>
  <c r="D9" i="27"/>
  <c r="C9" i="27"/>
  <c r="B12" i="27"/>
  <c r="B9" i="27"/>
  <c r="I62" i="26"/>
  <c r="F212" i="26" l="1"/>
  <c r="L16" i="27" s="1"/>
  <c r="L18" i="27" s="1"/>
  <c r="F202" i="26"/>
  <c r="K16" i="27" s="1"/>
  <c r="K18" i="27" s="1"/>
  <c r="F193" i="26"/>
  <c r="J16" i="27" s="1"/>
  <c r="J18" i="27" s="1"/>
  <c r="F183" i="26"/>
  <c r="I16" i="27" s="1"/>
  <c r="I18" i="27" s="1"/>
  <c r="F173" i="26"/>
  <c r="H16" i="27" s="1"/>
  <c r="H18" i="27" s="1"/>
  <c r="F163" i="26"/>
  <c r="G16" i="27" s="1"/>
  <c r="G18" i="27" s="1"/>
  <c r="F154" i="26"/>
  <c r="F16" i="27" s="1"/>
  <c r="F18" i="27" s="1"/>
  <c r="F151" i="26"/>
  <c r="E16" i="27" s="1"/>
  <c r="E18" i="27" s="1"/>
  <c r="F141" i="26"/>
  <c r="D16" i="27" s="1"/>
  <c r="D18" i="27" s="1"/>
  <c r="F131" i="26"/>
  <c r="C16" i="27" s="1"/>
  <c r="C18" i="27" s="1"/>
  <c r="C19" i="27" l="1"/>
  <c r="C20" i="27" s="1"/>
  <c r="C23" i="27" s="1"/>
  <c r="C25" i="27" s="1"/>
  <c r="G19" i="27"/>
  <c r="G20" i="27" s="1"/>
  <c r="G23" i="27" s="1"/>
  <c r="G25" i="27" s="1"/>
  <c r="D19" i="27"/>
  <c r="D20" i="27" s="1"/>
  <c r="D23" i="27" s="1"/>
  <c r="D25" i="27" s="1"/>
  <c r="I19" i="27"/>
  <c r="I20" i="27" s="1"/>
  <c r="I23" i="27" s="1"/>
  <c r="I25" i="27" s="1"/>
  <c r="H19" i="27"/>
  <c r="H20" i="27"/>
  <c r="H23" i="27" s="1"/>
  <c r="H25" i="27" s="1"/>
  <c r="K19" i="27"/>
  <c r="K20" i="27"/>
  <c r="K23" i="27" s="1"/>
  <c r="K25" i="27" s="1"/>
  <c r="E19" i="27"/>
  <c r="E20" i="27"/>
  <c r="E23" i="27" s="1"/>
  <c r="E25" i="27" s="1"/>
  <c r="L19" i="27"/>
  <c r="L20" i="27"/>
  <c r="L23" i="27" s="1"/>
  <c r="L25" i="27" s="1"/>
  <c r="F19" i="27"/>
  <c r="F20" i="27" s="1"/>
  <c r="F23" i="27" s="1"/>
  <c r="F25" i="27" s="1"/>
  <c r="J19" i="27"/>
  <c r="J20" i="27"/>
  <c r="J23" i="27" s="1"/>
  <c r="J25" i="27" s="1"/>
  <c r="M16" i="27"/>
  <c r="F222" i="26"/>
  <c r="I61" i="26" s="1"/>
  <c r="I63" i="26" s="1"/>
  <c r="G107" i="1"/>
  <c r="F107" i="1"/>
  <c r="E107" i="1"/>
  <c r="D107" i="1"/>
  <c r="C107" i="1"/>
  <c r="A43" i="20"/>
  <c r="C96" i="1"/>
  <c r="I14" i="26"/>
  <c r="I13" i="26"/>
  <c r="I12" i="26"/>
  <c r="I26" i="27" l="1"/>
  <c r="I27" i="27" s="1"/>
  <c r="I30" i="27" s="1"/>
  <c r="I32" i="27" s="1"/>
  <c r="D26" i="27"/>
  <c r="D27" i="27" s="1"/>
  <c r="D30" i="27" s="1"/>
  <c r="D32" i="27" s="1"/>
  <c r="G26" i="27"/>
  <c r="G27" i="27" s="1"/>
  <c r="G30" i="27" s="1"/>
  <c r="G32" i="27" s="1"/>
  <c r="F26" i="27"/>
  <c r="F27" i="27" s="1"/>
  <c r="F30" i="27" s="1"/>
  <c r="F32" i="27" s="1"/>
  <c r="C26" i="27"/>
  <c r="C27" i="27"/>
  <c r="C30" i="27" s="1"/>
  <c r="C32" i="27" s="1"/>
  <c r="J26" i="27"/>
  <c r="J27" i="27"/>
  <c r="J30" i="27" s="1"/>
  <c r="J32" i="27" s="1"/>
  <c r="L26" i="27"/>
  <c r="L27" i="27"/>
  <c r="L30" i="27" s="1"/>
  <c r="L32" i="27" s="1"/>
  <c r="K26" i="27"/>
  <c r="K27" i="27" s="1"/>
  <c r="K30" i="27" s="1"/>
  <c r="K32" i="27" s="1"/>
  <c r="H26" i="27"/>
  <c r="H27" i="27" s="1"/>
  <c r="H30" i="27" s="1"/>
  <c r="H32" i="27" s="1"/>
  <c r="E26" i="27"/>
  <c r="E27" i="27" s="1"/>
  <c r="E30" i="27" s="1"/>
  <c r="E32" i="27" s="1"/>
  <c r="I98" i="26"/>
  <c r="I97" i="26"/>
  <c r="I93" i="26"/>
  <c r="I94" i="26" s="1"/>
  <c r="I92" i="26"/>
  <c r="C87" i="26"/>
  <c r="C86" i="26"/>
  <c r="C84" i="26"/>
  <c r="C90" i="26" s="1"/>
  <c r="C83" i="26"/>
  <c r="C89" i="26" s="1"/>
  <c r="C82" i="26"/>
  <c r="C88" i="26" s="1"/>
  <c r="C80" i="26"/>
  <c r="C79" i="26"/>
  <c r="C78" i="26"/>
  <c r="I69" i="26"/>
  <c r="I101" i="26"/>
  <c r="I103" i="26" s="1"/>
  <c r="I47" i="26"/>
  <c r="C44" i="26"/>
  <c r="I38" i="26"/>
  <c r="I39" i="26" s="1"/>
  <c r="I33" i="26"/>
  <c r="C21" i="26"/>
  <c r="K33" i="27" l="1"/>
  <c r="K34" i="27"/>
  <c r="K37" i="27" s="1"/>
  <c r="K39" i="27" s="1"/>
  <c r="H33" i="27"/>
  <c r="H34" i="27" s="1"/>
  <c r="H37" i="27" s="1"/>
  <c r="H39" i="27" s="1"/>
  <c r="F33" i="27"/>
  <c r="F34" i="27" s="1"/>
  <c r="F37" i="27" s="1"/>
  <c r="F39" i="27" s="1"/>
  <c r="G33" i="27"/>
  <c r="G34" i="27" s="1"/>
  <c r="G37" i="27" s="1"/>
  <c r="G39" i="27" s="1"/>
  <c r="D34" i="27"/>
  <c r="D37" i="27" s="1"/>
  <c r="D39" i="27" s="1"/>
  <c r="D33" i="27"/>
  <c r="E33" i="27"/>
  <c r="E34" i="27" s="1"/>
  <c r="E37" i="27" s="1"/>
  <c r="E39" i="27" s="1"/>
  <c r="I33" i="27"/>
  <c r="I34" i="27" s="1"/>
  <c r="I37" i="27" s="1"/>
  <c r="I39" i="27" s="1"/>
  <c r="J33" i="27"/>
  <c r="J34" i="27"/>
  <c r="J37" i="27" s="1"/>
  <c r="J39" i="27" s="1"/>
  <c r="C33" i="27"/>
  <c r="C34" i="27" s="1"/>
  <c r="C37" i="27" s="1"/>
  <c r="C39" i="27" s="1"/>
  <c r="L33" i="27"/>
  <c r="L34" i="27" s="1"/>
  <c r="L37" i="27" s="1"/>
  <c r="L39" i="27" s="1"/>
  <c r="I99" i="26"/>
  <c r="E18" i="1" s="1"/>
  <c r="F18" i="1" s="1"/>
  <c r="I57" i="26"/>
  <c r="I95" i="26"/>
  <c r="C61" i="1"/>
  <c r="C60" i="31" s="1"/>
  <c r="C5" i="32"/>
  <c r="B6" i="32"/>
  <c r="B5" i="32"/>
  <c r="C6" i="32"/>
  <c r="B17" i="32"/>
  <c r="B18" i="32"/>
  <c r="D19" i="25"/>
  <c r="C18" i="32"/>
  <c r="C21" i="24"/>
  <c r="D21" i="24" s="1"/>
  <c r="E21" i="24" s="1"/>
  <c r="G5" i="1"/>
  <c r="G42" i="1" s="1"/>
  <c r="F5" i="1"/>
  <c r="C8" i="20" s="1"/>
  <c r="E5" i="1"/>
  <c r="B8" i="20" s="1"/>
  <c r="C10" i="24" s="1"/>
  <c r="D5" i="1"/>
  <c r="D42" i="1" s="1"/>
  <c r="C5" i="1"/>
  <c r="C42" i="1" s="1"/>
  <c r="A2" i="27"/>
  <c r="A3" i="27"/>
  <c r="A1" i="27"/>
  <c r="A4" i="24"/>
  <c r="A3" i="24"/>
  <c r="A2" i="24"/>
  <c r="A3" i="20"/>
  <c r="A2" i="20"/>
  <c r="A1" i="20"/>
  <c r="A3" i="2"/>
  <c r="A2" i="2"/>
  <c r="A1" i="2"/>
  <c r="A3" i="31"/>
  <c r="A41" i="31" s="1"/>
  <c r="A2" i="31"/>
  <c r="A40" i="31" s="1"/>
  <c r="A1" i="31"/>
  <c r="A39" i="31" s="1"/>
  <c r="F25" i="32"/>
  <c r="G65" i="31" s="1"/>
  <c r="E25" i="32"/>
  <c r="F65" i="31" s="1"/>
  <c r="D25" i="32"/>
  <c r="E65" i="31" s="1"/>
  <c r="F23" i="32"/>
  <c r="G55" i="31" s="1"/>
  <c r="E23" i="32"/>
  <c r="F55" i="31" s="1"/>
  <c r="D23" i="32"/>
  <c r="E55" i="31" s="1"/>
  <c r="F6" i="32"/>
  <c r="E6" i="32"/>
  <c r="D6" i="32"/>
  <c r="F5" i="32"/>
  <c r="E5" i="32"/>
  <c r="D5" i="32"/>
  <c r="D16" i="1"/>
  <c r="F97" i="1"/>
  <c r="G97" i="1" s="1"/>
  <c r="F18" i="32" s="1"/>
  <c r="G92" i="31" s="1"/>
  <c r="G6" i="31"/>
  <c r="G45" i="31" s="1"/>
  <c r="G76" i="31" s="1"/>
  <c r="G89" i="31" s="1"/>
  <c r="F6" i="31"/>
  <c r="F45" i="31" s="1"/>
  <c r="F76" i="31" s="1"/>
  <c r="F89" i="31" s="1"/>
  <c r="E6" i="31"/>
  <c r="E45" i="31" s="1"/>
  <c r="E76" i="31" s="1"/>
  <c r="E89" i="31" s="1"/>
  <c r="D6" i="31"/>
  <c r="D45" i="31" s="1"/>
  <c r="D76" i="31" s="1"/>
  <c r="D89" i="31" s="1"/>
  <c r="C6" i="31"/>
  <c r="C45" i="31" s="1"/>
  <c r="C76" i="31" s="1"/>
  <c r="C89" i="31" s="1"/>
  <c r="G5" i="31"/>
  <c r="G44" i="31" s="1"/>
  <c r="F5" i="31"/>
  <c r="F44" i="31" s="1"/>
  <c r="E5" i="31"/>
  <c r="E44" i="31" s="1"/>
  <c r="D5" i="31"/>
  <c r="D44" i="31" s="1"/>
  <c r="C5" i="31"/>
  <c r="C44" i="31" s="1"/>
  <c r="G6" i="1"/>
  <c r="A43" i="27" s="1"/>
  <c r="F6" i="1"/>
  <c r="A36" i="27" s="1"/>
  <c r="E6" i="1"/>
  <c r="B9" i="20" s="1"/>
  <c r="B47" i="20" s="1"/>
  <c r="D6" i="1"/>
  <c r="A15" i="27" s="1"/>
  <c r="C6" i="1"/>
  <c r="C43" i="1" s="1"/>
  <c r="C78" i="1" s="1"/>
  <c r="C94" i="1" s="1"/>
  <c r="D69" i="1"/>
  <c r="D68" i="31" s="1"/>
  <c r="D46" i="1"/>
  <c r="D48" i="31" s="1"/>
  <c r="C29" i="1"/>
  <c r="C29" i="31" s="1"/>
  <c r="D66" i="1"/>
  <c r="C25" i="32" s="1"/>
  <c r="D65" i="31" s="1"/>
  <c r="D68" i="1"/>
  <c r="D63" i="1"/>
  <c r="C24" i="32" s="1"/>
  <c r="D62" i="31" s="1"/>
  <c r="D81" i="1"/>
  <c r="D80" i="1"/>
  <c r="C13" i="32" s="1"/>
  <c r="D23" i="1"/>
  <c r="D23" i="31" s="1"/>
  <c r="D18" i="1"/>
  <c r="D67" i="1" s="1"/>
  <c r="D109" i="1" s="1"/>
  <c r="D17" i="1"/>
  <c r="C10" i="32" s="1"/>
  <c r="D17" i="31" s="1"/>
  <c r="D10" i="1"/>
  <c r="C9" i="32" s="1"/>
  <c r="D53" i="1"/>
  <c r="D49" i="1"/>
  <c r="C66" i="1"/>
  <c r="B25" i="32" s="1"/>
  <c r="C65" i="31" s="1"/>
  <c r="C68" i="1"/>
  <c r="C63" i="1"/>
  <c r="C49" i="1"/>
  <c r="B22" i="32" s="1"/>
  <c r="C51" i="31" s="1"/>
  <c r="C46" i="1"/>
  <c r="C48" i="31" s="1"/>
  <c r="C69" i="1"/>
  <c r="B27" i="32" s="1"/>
  <c r="C53" i="1"/>
  <c r="B23" i="32" s="1"/>
  <c r="D96" i="1"/>
  <c r="C80" i="1"/>
  <c r="C78" i="31" s="1"/>
  <c r="C23" i="1"/>
  <c r="C23" i="31" s="1"/>
  <c r="C17" i="1"/>
  <c r="B10" i="32" s="1"/>
  <c r="C17" i="31" s="1"/>
  <c r="C18" i="1"/>
  <c r="C16" i="1"/>
  <c r="C82" i="1"/>
  <c r="B15" i="32" s="1"/>
  <c r="C81" i="1"/>
  <c r="B14" i="32" s="1"/>
  <c r="C10" i="1"/>
  <c r="B9" i="32" s="1"/>
  <c r="C10" i="31" s="1"/>
  <c r="D54" i="31"/>
  <c r="C54" i="31"/>
  <c r="D92" i="31"/>
  <c r="C92" i="31"/>
  <c r="C91" i="31"/>
  <c r="D81" i="31"/>
  <c r="C81" i="31"/>
  <c r="A66" i="31"/>
  <c r="A67" i="1"/>
  <c r="E83" i="1"/>
  <c r="E81" i="31" s="1"/>
  <c r="I29" i="25"/>
  <c r="D23" i="25"/>
  <c r="D14" i="25"/>
  <c r="D11" i="25"/>
  <c r="C100" i="1"/>
  <c r="C33" i="1" s="1"/>
  <c r="D61" i="1"/>
  <c r="D60" i="31" s="1"/>
  <c r="D29" i="1"/>
  <c r="D29" i="31" s="1"/>
  <c r="C84" i="1"/>
  <c r="B18" i="27"/>
  <c r="C40" i="27" l="1"/>
  <c r="C41" i="27" s="1"/>
  <c r="C44" i="27" s="1"/>
  <c r="C46" i="27" s="1"/>
  <c r="G40" i="27"/>
  <c r="G41" i="27" s="1"/>
  <c r="G44" i="27" s="1"/>
  <c r="G46" i="27" s="1"/>
  <c r="I40" i="27"/>
  <c r="I41" i="27" s="1"/>
  <c r="I44" i="27" s="1"/>
  <c r="I46" i="27" s="1"/>
  <c r="E40" i="27"/>
  <c r="E41" i="27" s="1"/>
  <c r="E44" i="27" s="1"/>
  <c r="E46" i="27" s="1"/>
  <c r="F40" i="27"/>
  <c r="F41" i="27" s="1"/>
  <c r="F44" i="27" s="1"/>
  <c r="F46" i="27" s="1"/>
  <c r="H40" i="27"/>
  <c r="H41" i="27" s="1"/>
  <c r="H44" i="27" s="1"/>
  <c r="H46" i="27" s="1"/>
  <c r="L40" i="27"/>
  <c r="L41" i="27" s="1"/>
  <c r="L44" i="27" s="1"/>
  <c r="L46" i="27" s="1"/>
  <c r="D40" i="27"/>
  <c r="D41" i="27" s="1"/>
  <c r="D44" i="27" s="1"/>
  <c r="D46" i="27" s="1"/>
  <c r="J40" i="27"/>
  <c r="J41" i="27" s="1"/>
  <c r="J44" i="27" s="1"/>
  <c r="J46" i="27" s="1"/>
  <c r="K40" i="27"/>
  <c r="K41" i="27" s="1"/>
  <c r="K44" i="27" s="1"/>
  <c r="K46" i="27" s="1"/>
  <c r="B19" i="27"/>
  <c r="M19" i="27" s="1"/>
  <c r="M18" i="27"/>
  <c r="G16" i="1"/>
  <c r="F67" i="1"/>
  <c r="F109" i="1" s="1"/>
  <c r="E11" i="32"/>
  <c r="F18" i="31" s="1"/>
  <c r="F66" i="31" s="1"/>
  <c r="E67" i="1"/>
  <c r="E109" i="1" s="1"/>
  <c r="E88" i="2"/>
  <c r="E35" i="2" s="1"/>
  <c r="E49" i="2" s="1"/>
  <c r="E65" i="2" s="1"/>
  <c r="E75" i="2" s="1"/>
  <c r="E19" i="2" s="1"/>
  <c r="E99" i="2" s="1"/>
  <c r="E9" i="2" s="1"/>
  <c r="E57" i="2" s="1"/>
  <c r="E109" i="2" s="1"/>
  <c r="D8" i="20"/>
  <c r="D46" i="20" s="1"/>
  <c r="G16" i="31"/>
  <c r="C26" i="32"/>
  <c r="D110" i="1"/>
  <c r="D112" i="1" s="1"/>
  <c r="B26" i="32"/>
  <c r="C110" i="1"/>
  <c r="C22" i="32"/>
  <c r="D51" i="31" s="1"/>
  <c r="E49" i="1"/>
  <c r="D10" i="31"/>
  <c r="D12" i="31" s="1"/>
  <c r="G18" i="1"/>
  <c r="F11" i="32" s="1"/>
  <c r="F16" i="1"/>
  <c r="C55" i="31"/>
  <c r="C14" i="2" s="1"/>
  <c r="C88" i="2"/>
  <c r="C35" i="2" s="1"/>
  <c r="C49" i="2" s="1"/>
  <c r="C65" i="2" s="1"/>
  <c r="C75" i="2" s="1"/>
  <c r="C19" i="2" s="1"/>
  <c r="C99" i="2" s="1"/>
  <c r="C9" i="2" s="1"/>
  <c r="C57" i="2" s="1"/>
  <c r="C109" i="2" s="1"/>
  <c r="C95" i="31"/>
  <c r="C93" i="2" s="1"/>
  <c r="E96" i="1"/>
  <c r="D17" i="32" s="1"/>
  <c r="E91" i="31" s="1"/>
  <c r="C17" i="32"/>
  <c r="B13" i="32"/>
  <c r="C79" i="31"/>
  <c r="B12" i="32"/>
  <c r="C68" i="31"/>
  <c r="C12" i="1"/>
  <c r="C80" i="31"/>
  <c r="E63" i="1"/>
  <c r="D24" i="32" s="1"/>
  <c r="E62" i="31" s="1"/>
  <c r="C67" i="31"/>
  <c r="C9" i="20"/>
  <c r="F88" i="2"/>
  <c r="F35" i="2" s="1"/>
  <c r="F49" i="2" s="1"/>
  <c r="F65" i="2" s="1"/>
  <c r="F75" i="2" s="1"/>
  <c r="F19" i="2" s="1"/>
  <c r="F99" i="2" s="1"/>
  <c r="F9" i="2" s="1"/>
  <c r="F57" i="2" s="1"/>
  <c r="F109" i="2" s="1"/>
  <c r="E42" i="1"/>
  <c r="C27" i="32"/>
  <c r="C56" i="1"/>
  <c r="E80" i="1"/>
  <c r="D13" i="32" s="1"/>
  <c r="E78" i="31" s="1"/>
  <c r="C11" i="32"/>
  <c r="D18" i="31" s="1"/>
  <c r="D66" i="31" s="1"/>
  <c r="A22" i="27"/>
  <c r="D71" i="1"/>
  <c r="E10" i="24"/>
  <c r="D91" i="31"/>
  <c r="D95" i="31" s="1"/>
  <c r="D33" i="31" s="1"/>
  <c r="D12" i="1"/>
  <c r="F43" i="1"/>
  <c r="F78" i="1" s="1"/>
  <c r="F94" i="1" s="1"/>
  <c r="E43" i="1"/>
  <c r="E78" i="1" s="1"/>
  <c r="E94" i="1" s="1"/>
  <c r="D100" i="1"/>
  <c r="D33" i="1" s="1"/>
  <c r="B20" i="27"/>
  <c r="M20" i="27" s="1"/>
  <c r="E18" i="32"/>
  <c r="F92" i="31" s="1"/>
  <c r="D11" i="32"/>
  <c r="E18" i="31" s="1"/>
  <c r="E66" i="31" s="1"/>
  <c r="C11" i="24"/>
  <c r="D67" i="31"/>
  <c r="E10" i="1"/>
  <c r="D9" i="32" s="1"/>
  <c r="F83" i="1"/>
  <c r="F81" i="31" s="1"/>
  <c r="B16" i="32"/>
  <c r="C82" i="31"/>
  <c r="C88" i="1"/>
  <c r="C25" i="1" s="1"/>
  <c r="G88" i="2"/>
  <c r="G35" i="2" s="1"/>
  <c r="G49" i="2" s="1"/>
  <c r="G65" i="2" s="1"/>
  <c r="G75" i="2" s="1"/>
  <c r="G19" i="2" s="1"/>
  <c r="G99" i="2" s="1"/>
  <c r="G9" i="2" s="1"/>
  <c r="G57" i="2" s="1"/>
  <c r="G109" i="2" s="1"/>
  <c r="G43" i="1"/>
  <c r="G78" i="1" s="1"/>
  <c r="G94" i="1" s="1"/>
  <c r="A29" i="27"/>
  <c r="D9" i="20"/>
  <c r="C12" i="31"/>
  <c r="C16" i="31"/>
  <c r="C19" i="1"/>
  <c r="C21" i="1" s="1"/>
  <c r="I86" i="26" s="1"/>
  <c r="D55" i="31"/>
  <c r="D14" i="2" s="1"/>
  <c r="D56" i="1"/>
  <c r="C23" i="32"/>
  <c r="D19" i="1"/>
  <c r="D16" i="31"/>
  <c r="D88" i="2"/>
  <c r="D35" i="2" s="1"/>
  <c r="D49" i="2" s="1"/>
  <c r="D65" i="2" s="1"/>
  <c r="D75" i="2" s="1"/>
  <c r="D19" i="2" s="1"/>
  <c r="D99" i="2" s="1"/>
  <c r="D9" i="2" s="1"/>
  <c r="D57" i="2" s="1"/>
  <c r="D109" i="2" s="1"/>
  <c r="D43" i="1"/>
  <c r="D78" i="1" s="1"/>
  <c r="D94" i="1" s="1"/>
  <c r="C67" i="1"/>
  <c r="C109" i="1" s="1"/>
  <c r="B11" i="32"/>
  <c r="C18" i="31" s="1"/>
  <c r="C66" i="31" s="1"/>
  <c r="C14" i="32"/>
  <c r="E81" i="1"/>
  <c r="D79" i="31"/>
  <c r="D82" i="1"/>
  <c r="D84" i="1"/>
  <c r="B46" i="20"/>
  <c r="E16" i="1"/>
  <c r="B24" i="32"/>
  <c r="C62" i="31" s="1"/>
  <c r="C46" i="20"/>
  <c r="D10" i="24"/>
  <c r="E23" i="1"/>
  <c r="C12" i="32"/>
  <c r="F42" i="1"/>
  <c r="D78" i="31"/>
  <c r="D101" i="2" l="1"/>
  <c r="D72" i="1"/>
  <c r="C112" i="1"/>
  <c r="L47" i="27"/>
  <c r="L48" i="27" s="1"/>
  <c r="H47" i="27"/>
  <c r="H48" i="27" s="1"/>
  <c r="E47" i="27"/>
  <c r="E48" i="27" s="1"/>
  <c r="D47" i="27"/>
  <c r="D48" i="27" s="1"/>
  <c r="I47" i="27"/>
  <c r="I48" i="27" s="1"/>
  <c r="K47" i="27"/>
  <c r="K48" i="27" s="1"/>
  <c r="G47" i="27"/>
  <c r="G48" i="27" s="1"/>
  <c r="J47" i="27"/>
  <c r="J48" i="27" s="1"/>
  <c r="F47" i="27"/>
  <c r="F48" i="27" s="1"/>
  <c r="C47" i="27"/>
  <c r="C48" i="27"/>
  <c r="C86" i="31"/>
  <c r="C25" i="31" s="1"/>
  <c r="G67" i="1"/>
  <c r="G109" i="1" s="1"/>
  <c r="D21" i="1"/>
  <c r="I87" i="26" s="1"/>
  <c r="I88" i="26" s="1"/>
  <c r="C33" i="31"/>
  <c r="E29" i="1"/>
  <c r="E29" i="31" s="1"/>
  <c r="E10" i="31"/>
  <c r="E12" i="31" s="1"/>
  <c r="C13" i="24" s="1"/>
  <c r="D22" i="32"/>
  <c r="F49" i="1"/>
  <c r="G49" i="1" s="1"/>
  <c r="E16" i="31"/>
  <c r="D21" i="2"/>
  <c r="D27" i="2" s="1"/>
  <c r="C32" i="32" s="1"/>
  <c r="C59" i="2"/>
  <c r="B34" i="32" s="1"/>
  <c r="D70" i="31"/>
  <c r="D57" i="31" s="1"/>
  <c r="D13" i="2"/>
  <c r="D67" i="2" s="1"/>
  <c r="D69" i="2" s="1"/>
  <c r="F63" i="1"/>
  <c r="E24" i="32" s="1"/>
  <c r="F62" i="31" s="1"/>
  <c r="D93" i="2"/>
  <c r="C47" i="20"/>
  <c r="D11" i="24"/>
  <c r="D88" i="1"/>
  <c r="D25" i="1" s="1"/>
  <c r="D59" i="2"/>
  <c r="C34" i="32" s="1"/>
  <c r="E12" i="1"/>
  <c r="F10" i="1"/>
  <c r="F80" i="1" s="1"/>
  <c r="E68" i="1"/>
  <c r="G83" i="1"/>
  <c r="G81" i="31" s="1"/>
  <c r="C101" i="2"/>
  <c r="C21" i="2"/>
  <c r="C27" i="2" s="1"/>
  <c r="B32" i="32" s="1"/>
  <c r="D12" i="32"/>
  <c r="E23" i="31" s="1"/>
  <c r="F23" i="1"/>
  <c r="D78" i="2"/>
  <c r="D19" i="31"/>
  <c r="G18" i="31"/>
  <c r="D47" i="20"/>
  <c r="E11" i="24"/>
  <c r="C27" i="1"/>
  <c r="C31" i="1" s="1"/>
  <c r="E84" i="1"/>
  <c r="C16" i="32"/>
  <c r="D82" i="31"/>
  <c r="C71" i="1"/>
  <c r="C72" i="1" s="1"/>
  <c r="C78" i="2"/>
  <c r="C19" i="31"/>
  <c r="C77" i="2" s="1"/>
  <c r="D14" i="32"/>
  <c r="E79" i="31" s="1"/>
  <c r="F81" i="1"/>
  <c r="C15" i="32"/>
  <c r="D80" i="31"/>
  <c r="E82" i="1"/>
  <c r="B23" i="27"/>
  <c r="M23" i="27" s="1"/>
  <c r="E61" i="1"/>
  <c r="G10" i="1" l="1"/>
  <c r="D27" i="1"/>
  <c r="D31" i="1" s="1"/>
  <c r="D35" i="1" s="1"/>
  <c r="D11" i="2"/>
  <c r="C33" i="32" s="1"/>
  <c r="F96" i="1"/>
  <c r="F100" i="1" s="1"/>
  <c r="F33" i="1" s="1"/>
  <c r="G63" i="1"/>
  <c r="F24" i="32" s="1"/>
  <c r="G62" i="31" s="1"/>
  <c r="I89" i="26"/>
  <c r="I90" i="26" s="1"/>
  <c r="E51" i="31"/>
  <c r="G78" i="2"/>
  <c r="G66" i="31"/>
  <c r="D26" i="32"/>
  <c r="E67" i="31" s="1"/>
  <c r="E21" i="2" s="1"/>
  <c r="E27" i="2" s="1"/>
  <c r="D32" i="32" s="1"/>
  <c r="E110" i="1"/>
  <c r="E112" i="1" s="1"/>
  <c r="E52" i="1" s="1"/>
  <c r="D15" i="2"/>
  <c r="E22" i="32"/>
  <c r="E17" i="32" s="1"/>
  <c r="E88" i="1"/>
  <c r="E25" i="1" s="1"/>
  <c r="C15" i="24"/>
  <c r="C18" i="24" s="1"/>
  <c r="C23" i="24" s="1"/>
  <c r="D39" i="32" s="1"/>
  <c r="F16" i="31"/>
  <c r="F78" i="2" s="1"/>
  <c r="E78" i="2"/>
  <c r="D86" i="31"/>
  <c r="D25" i="31" s="1"/>
  <c r="E9" i="32"/>
  <c r="F68" i="1"/>
  <c r="F12" i="1"/>
  <c r="E13" i="32"/>
  <c r="F78" i="31" s="1"/>
  <c r="G80" i="1"/>
  <c r="E21" i="1"/>
  <c r="G23" i="1"/>
  <c r="F12" i="32" s="1"/>
  <c r="G23" i="31" s="1"/>
  <c r="E12" i="32"/>
  <c r="F23" i="31" s="1"/>
  <c r="D15" i="32"/>
  <c r="E80" i="31" s="1"/>
  <c r="F82" i="1"/>
  <c r="F84" i="1"/>
  <c r="D16" i="32"/>
  <c r="B25" i="27"/>
  <c r="M25" i="27" s="1"/>
  <c r="F9" i="32"/>
  <c r="G10" i="31" s="1"/>
  <c r="G12" i="1"/>
  <c r="G68" i="1"/>
  <c r="G110" i="1" s="1"/>
  <c r="G112" i="1" s="1"/>
  <c r="G52" i="1" s="1"/>
  <c r="G69" i="1" s="1"/>
  <c r="C79" i="2"/>
  <c r="C35" i="1"/>
  <c r="G81" i="1"/>
  <c r="F14" i="32" s="1"/>
  <c r="G79" i="31" s="1"/>
  <c r="E14" i="32"/>
  <c r="F79" i="31" s="1"/>
  <c r="D77" i="2"/>
  <c r="D79" i="2" s="1"/>
  <c r="D21" i="31"/>
  <c r="C21" i="31"/>
  <c r="E60" i="31"/>
  <c r="C13" i="2"/>
  <c r="C70" i="31"/>
  <c r="C57" i="31" s="1"/>
  <c r="G54" i="31" l="1"/>
  <c r="G14" i="2" s="1"/>
  <c r="D13" i="20" s="1"/>
  <c r="D51" i="20" s="1"/>
  <c r="E82" i="31"/>
  <c r="E86" i="31" s="1"/>
  <c r="E25" i="31" s="1"/>
  <c r="F10" i="31"/>
  <c r="F12" i="31" s="1"/>
  <c r="E26" i="32"/>
  <c r="F67" i="31" s="1"/>
  <c r="F110" i="1"/>
  <c r="F112" i="1" s="1"/>
  <c r="F52" i="1" s="1"/>
  <c r="F91" i="31"/>
  <c r="F95" i="31" s="1"/>
  <c r="F33" i="31" s="1"/>
  <c r="F51" i="31"/>
  <c r="E97" i="1"/>
  <c r="E54" i="31"/>
  <c r="E14" i="2" s="1"/>
  <c r="B13" i="20" s="1"/>
  <c r="B51" i="20" s="1"/>
  <c r="E69" i="1"/>
  <c r="F22" i="32"/>
  <c r="G96" i="1"/>
  <c r="G100" i="1" s="1"/>
  <c r="G33" i="1" s="1"/>
  <c r="F88" i="1"/>
  <c r="F25" i="1" s="1"/>
  <c r="E16" i="32"/>
  <c r="F82" i="31" s="1"/>
  <c r="G84" i="1"/>
  <c r="F16" i="32" s="1"/>
  <c r="G82" i="31" s="1"/>
  <c r="F13" i="32"/>
  <c r="G78" i="31" s="1"/>
  <c r="G12" i="31"/>
  <c r="E27" i="1"/>
  <c r="E31" i="1" s="1"/>
  <c r="E19" i="1"/>
  <c r="E17" i="1" s="1"/>
  <c r="D10" i="32" s="1"/>
  <c r="C27" i="31"/>
  <c r="C31" i="31" s="1"/>
  <c r="C37" i="2"/>
  <c r="B30" i="32" s="1"/>
  <c r="D37" i="2"/>
  <c r="C30" i="32" s="1"/>
  <c r="D27" i="31"/>
  <c r="D31" i="31" s="1"/>
  <c r="G82" i="1"/>
  <c r="F15" i="32" s="1"/>
  <c r="G80" i="31" s="1"/>
  <c r="E15" i="32"/>
  <c r="F80" i="31" s="1"/>
  <c r="F26" i="32"/>
  <c r="G67" i="31" s="1"/>
  <c r="F27" i="32"/>
  <c r="G68" i="31" s="1"/>
  <c r="C11" i="2"/>
  <c r="B33" i="32" s="1"/>
  <c r="C15" i="2"/>
  <c r="C67" i="2"/>
  <c r="C69" i="2" s="1"/>
  <c r="B26" i="27"/>
  <c r="G21" i="1"/>
  <c r="G19" i="1" s="1"/>
  <c r="G17" i="1" s="1"/>
  <c r="F10" i="32" s="1"/>
  <c r="F21" i="1"/>
  <c r="F93" i="2" l="1"/>
  <c r="M26" i="27"/>
  <c r="F29" i="1" s="1"/>
  <c r="F29" i="31" s="1"/>
  <c r="D11" i="20"/>
  <c r="D13" i="24"/>
  <c r="F21" i="2"/>
  <c r="F27" i="2" s="1"/>
  <c r="E32" i="32" s="1"/>
  <c r="G17" i="31"/>
  <c r="G19" i="31" s="1"/>
  <c r="G77" i="2" s="1"/>
  <c r="G79" i="2" s="1"/>
  <c r="E17" i="31"/>
  <c r="E19" i="31" s="1"/>
  <c r="D27" i="32"/>
  <c r="E68" i="31" s="1"/>
  <c r="B11" i="20" s="1"/>
  <c r="E71" i="1"/>
  <c r="E56" i="1" s="1"/>
  <c r="D18" i="32"/>
  <c r="E92" i="31" s="1"/>
  <c r="E95" i="31" s="1"/>
  <c r="E100" i="1"/>
  <c r="E33" i="1" s="1"/>
  <c r="E35" i="1" s="1"/>
  <c r="F17" i="32"/>
  <c r="G51" i="31"/>
  <c r="F69" i="1"/>
  <c r="E27" i="32" s="1"/>
  <c r="F68" i="31" s="1"/>
  <c r="F13" i="2" s="1"/>
  <c r="F54" i="31"/>
  <c r="F14" i="2" s="1"/>
  <c r="C13" i="20" s="1"/>
  <c r="C51" i="20" s="1"/>
  <c r="D15" i="24"/>
  <c r="D18" i="24" s="1"/>
  <c r="D23" i="24" s="1"/>
  <c r="E39" i="32" s="1"/>
  <c r="F86" i="31"/>
  <c r="F25" i="31" s="1"/>
  <c r="B27" i="27"/>
  <c r="M27" i="27" s="1"/>
  <c r="D92" i="2"/>
  <c r="D90" i="2" s="1"/>
  <c r="D35" i="31"/>
  <c r="C35" i="31"/>
  <c r="C92" i="2"/>
  <c r="C90" i="2" s="1"/>
  <c r="G88" i="1"/>
  <c r="G25" i="1" s="1"/>
  <c r="G27" i="1" s="1"/>
  <c r="G86" i="31"/>
  <c r="G25" i="31" s="1"/>
  <c r="G13" i="2"/>
  <c r="F27" i="1"/>
  <c r="F19" i="1"/>
  <c r="F17" i="1" s="1"/>
  <c r="E10" i="32" s="1"/>
  <c r="G21" i="2"/>
  <c r="G27" i="2" s="1"/>
  <c r="F32" i="32" s="1"/>
  <c r="E13" i="24"/>
  <c r="F31" i="1" l="1"/>
  <c r="F35" i="1" s="1"/>
  <c r="F11" i="2"/>
  <c r="E33" i="32" s="1"/>
  <c r="E77" i="2"/>
  <c r="E79" i="2" s="1"/>
  <c r="E21" i="31"/>
  <c r="E27" i="31" s="1"/>
  <c r="E31" i="31" s="1"/>
  <c r="C11" i="20"/>
  <c r="C16" i="20" s="1"/>
  <c r="G91" i="31"/>
  <c r="G95" i="31" s="1"/>
  <c r="E33" i="31"/>
  <c r="E93" i="2"/>
  <c r="E13" i="2"/>
  <c r="E70" i="31"/>
  <c r="E57" i="31" s="1"/>
  <c r="E48" i="31" s="1"/>
  <c r="F17" i="31"/>
  <c r="F19" i="31" s="1"/>
  <c r="E46" i="1"/>
  <c r="E72" i="1"/>
  <c r="G21" i="31"/>
  <c r="G27" i="31" s="1"/>
  <c r="F67" i="2"/>
  <c r="F69" i="2" s="1"/>
  <c r="F15" i="2"/>
  <c r="C22" i="20" s="1"/>
  <c r="C59" i="20" s="1"/>
  <c r="E15" i="24"/>
  <c r="E18" i="24" s="1"/>
  <c r="E23" i="24" s="1"/>
  <c r="F39" i="32" s="1"/>
  <c r="G11" i="2"/>
  <c r="F33" i="32" s="1"/>
  <c r="G67" i="2"/>
  <c r="G69" i="2" s="1"/>
  <c r="G15" i="2"/>
  <c r="D22" i="20" s="1"/>
  <c r="D59" i="20" s="1"/>
  <c r="C19" i="20"/>
  <c r="C24" i="20" s="1"/>
  <c r="D111" i="2"/>
  <c r="C19" i="32"/>
  <c r="D51" i="2"/>
  <c r="C31" i="32" s="1"/>
  <c r="C51" i="2"/>
  <c r="B31" i="32" s="1"/>
  <c r="B19" i="32"/>
  <c r="C111" i="2"/>
  <c r="B30" i="27"/>
  <c r="M30" i="27" s="1"/>
  <c r="F61" i="1"/>
  <c r="E37" i="2" l="1"/>
  <c r="D30" i="32" s="1"/>
  <c r="G37" i="2"/>
  <c r="F30" i="32" s="1"/>
  <c r="C26" i="20"/>
  <c r="C28" i="20" s="1"/>
  <c r="E37" i="32" s="1"/>
  <c r="F21" i="31"/>
  <c r="F37" i="2" s="1"/>
  <c r="E30" i="32" s="1"/>
  <c r="F77" i="2"/>
  <c r="F79" i="2" s="1"/>
  <c r="C49" i="20"/>
  <c r="E67" i="2"/>
  <c r="E69" i="2" s="1"/>
  <c r="E11" i="2"/>
  <c r="D33" i="32" s="1"/>
  <c r="E15" i="2"/>
  <c r="B22" i="20" s="1"/>
  <c r="B59" i="20" s="1"/>
  <c r="G33" i="31"/>
  <c r="G93" i="2"/>
  <c r="E59" i="2"/>
  <c r="D34" i="32" s="1"/>
  <c r="E101" i="2"/>
  <c r="F60" i="31"/>
  <c r="F70" i="31" s="1"/>
  <c r="F57" i="31" s="1"/>
  <c r="F48" i="31" s="1"/>
  <c r="F71" i="1"/>
  <c r="F56" i="1" s="1"/>
  <c r="B32" i="27"/>
  <c r="M32" i="27" s="1"/>
  <c r="D49" i="20"/>
  <c r="D57" i="20" s="1"/>
  <c r="D16" i="20"/>
  <c r="E92" i="2"/>
  <c r="E90" i="2" s="1"/>
  <c r="E35" i="31"/>
  <c r="F27" i="31"/>
  <c r="F31" i="31" s="1"/>
  <c r="C57" i="20" l="1"/>
  <c r="C54" i="20"/>
  <c r="B16" i="20"/>
  <c r="B49" i="20"/>
  <c r="D54" i="20"/>
  <c r="D61" i="20" s="1"/>
  <c r="B33" i="27"/>
  <c r="F46" i="1"/>
  <c r="F72" i="1"/>
  <c r="D19" i="20"/>
  <c r="D24" i="20" s="1"/>
  <c r="D26" i="20"/>
  <c r="F92" i="2"/>
  <c r="F90" i="2" s="1"/>
  <c r="F35" i="31"/>
  <c r="E51" i="2"/>
  <c r="D31" i="32" s="1"/>
  <c r="E111" i="2"/>
  <c r="D19" i="32"/>
  <c r="F59" i="2"/>
  <c r="E34" i="32" s="1"/>
  <c r="F101" i="2"/>
  <c r="M33" i="27" l="1"/>
  <c r="G29" i="1" s="1"/>
  <c r="C61" i="20"/>
  <c r="C63" i="20"/>
  <c r="B26" i="20"/>
  <c r="B19" i="20"/>
  <c r="B24" i="20" s="1"/>
  <c r="B57" i="20"/>
  <c r="B54" i="20"/>
  <c r="D28" i="20"/>
  <c r="F37" i="32" s="1"/>
  <c r="B34" i="27"/>
  <c r="M34" i="27" s="1"/>
  <c r="F111" i="2"/>
  <c r="E19" i="32"/>
  <c r="F51" i="2"/>
  <c r="E31" i="32" s="1"/>
  <c r="D63" i="20"/>
  <c r="G31" i="1" l="1"/>
  <c r="G35" i="1" s="1"/>
  <c r="G29" i="31"/>
  <c r="G31" i="31" s="1"/>
  <c r="G92" i="2" s="1"/>
  <c r="G90" i="2" s="1"/>
  <c r="C65" i="20"/>
  <c r="E38" i="32" s="1"/>
  <c r="B61" i="20"/>
  <c r="B63" i="20"/>
  <c r="B28" i="20"/>
  <c r="D37" i="32" s="1"/>
  <c r="B37" i="27"/>
  <c r="M37" i="27" s="1"/>
  <c r="G61" i="1"/>
  <c r="D65" i="20"/>
  <c r="F38" i="32" s="1"/>
  <c r="G35" i="31" l="1"/>
  <c r="B65" i="20"/>
  <c r="D38" i="32" s="1"/>
  <c r="G60" i="31"/>
  <c r="G70" i="31" s="1"/>
  <c r="G57" i="31" s="1"/>
  <c r="G48" i="31" s="1"/>
  <c r="G111" i="2" s="1"/>
  <c r="G71" i="1"/>
  <c r="G56" i="1" s="1"/>
  <c r="G51" i="2"/>
  <c r="F31" i="32" s="1"/>
  <c r="F19" i="32"/>
  <c r="B39" i="27"/>
  <c r="M39" i="27" s="1"/>
  <c r="B40" i="27" l="1"/>
  <c r="M40" i="27" s="1"/>
  <c r="G72" i="1"/>
  <c r="G46" i="1"/>
  <c r="G59" i="2"/>
  <c r="F34" i="32" s="1"/>
  <c r="G101" i="2"/>
  <c r="B41" i="27" l="1"/>
  <c r="M41" i="27" s="1"/>
  <c r="B44" i="27" l="1"/>
  <c r="M44" i="27" s="1"/>
  <c r="B46" i="27" l="1"/>
  <c r="M46" i="27" s="1"/>
  <c r="B47" i="27" l="1"/>
  <c r="M47" i="27" s="1"/>
  <c r="B48" i="27" l="1"/>
  <c r="M48" i="27" s="1"/>
</calcChain>
</file>

<file path=xl/sharedStrings.xml><?xml version="1.0" encoding="utf-8"?>
<sst xmlns="http://schemas.openxmlformats.org/spreadsheetml/2006/main" count="580" uniqueCount="319">
  <si>
    <t>PARTICULARS</t>
  </si>
  <si>
    <t>Opening Stock</t>
  </si>
  <si>
    <t>Closing Stock</t>
  </si>
  <si>
    <t>Current Liabilities</t>
  </si>
  <si>
    <t>Debtors</t>
  </si>
  <si>
    <t>Interest</t>
  </si>
  <si>
    <t>Cost of Goods Sold:</t>
  </si>
  <si>
    <t>TRADING, PROFIT &amp; LOSS ACCOUNT FOR YEAR ENDED</t>
  </si>
  <si>
    <t>SOURCES OF FUNDS:</t>
  </si>
  <si>
    <t>APPLICATION OF FUNDS:</t>
  </si>
  <si>
    <t>BALANCE SHEET AS ON</t>
  </si>
  <si>
    <t>COGS</t>
  </si>
  <si>
    <t>AVERAGE STOCK</t>
  </si>
  <si>
    <t>Higher the ratio indicates good performance of the company. Lower ratio indicates poor performance.</t>
  </si>
  <si>
    <t xml:space="preserve">* No. of  Days  Assumed  as </t>
  </si>
  <si>
    <t>(No of days/debtor turnover ratio)</t>
  </si>
  <si>
    <t>It Indicates Inventory Management . It shows how offten company sells it inventory.</t>
  </si>
  <si>
    <t>collection.</t>
  </si>
  <si>
    <t>Credit sales / Average debtors</t>
  </si>
  <si>
    <t>*Sales assumed as credit sales</t>
  </si>
  <si>
    <t>RATIO ANALYSIS</t>
  </si>
  <si>
    <t>Gross profit / Sales * 100</t>
  </si>
  <si>
    <t>Netprofit / Sales * 100</t>
  </si>
  <si>
    <t>Particulars</t>
  </si>
  <si>
    <t>Partiiculars</t>
  </si>
  <si>
    <t>Sales / Networking Capital</t>
  </si>
  <si>
    <t>Current Assets / Current Liabilities</t>
  </si>
  <si>
    <t>Current Assets</t>
  </si>
  <si>
    <t>Networking capital (CA - CL)</t>
  </si>
  <si>
    <t>IDEAL RATIO   -   &gt;  1</t>
  </si>
  <si>
    <t>Sales / (Capital+Long Term  Loan)</t>
  </si>
  <si>
    <t>STR = (COGS / AVRG STOCK)</t>
  </si>
  <si>
    <t>PAT / (Capital+Long Term loan)</t>
  </si>
  <si>
    <t>Depreciation</t>
  </si>
  <si>
    <t>EBI</t>
  </si>
  <si>
    <t>E B I   / Interest</t>
  </si>
  <si>
    <t>Sch 1</t>
  </si>
  <si>
    <t>Schedules</t>
  </si>
  <si>
    <t>Schedule 1  -  Explanation for Administrative &amp; Selling Expenses</t>
  </si>
  <si>
    <t>Schedule 2  - Interest Statement</t>
  </si>
  <si>
    <t>Sch 2</t>
  </si>
  <si>
    <t>Turnover</t>
  </si>
  <si>
    <t xml:space="preserve"> 1. Total current assets</t>
  </si>
  <si>
    <t xml:space="preserve"> 2. Other  current liabilities</t>
  </si>
  <si>
    <t xml:space="preserve">    (Other than bank borrowings )</t>
  </si>
  <si>
    <t xml:space="preserve"> 3. Working capital gap</t>
  </si>
  <si>
    <t xml:space="preserve"> 5. Actual/projected net working capital</t>
  </si>
  <si>
    <t xml:space="preserve"> 6.Item 3 minus item 4</t>
  </si>
  <si>
    <t xml:space="preserve"> 7.Item 3 minus item 5</t>
  </si>
  <si>
    <t xml:space="preserve"> 8. Maximum permissible bank</t>
  </si>
  <si>
    <t xml:space="preserve">    finance(lower of 6 or 7 )</t>
  </si>
  <si>
    <t>CALCULATION OF MAXIMUM PERMISSIBLE BANK FINANCE</t>
  </si>
  <si>
    <t xml:space="preserve"> 4. Min. stipulated Networking capital</t>
  </si>
  <si>
    <t xml:space="preserve">    (25% of WCG excluding export</t>
  </si>
  <si>
    <t xml:space="preserve">     receivables)</t>
  </si>
  <si>
    <r>
      <rPr>
        <b/>
        <sz val="10"/>
        <rFont val="Trebuchet MS"/>
        <family val="2"/>
      </rPr>
      <t>NOTE</t>
    </r>
    <r>
      <rPr>
        <sz val="10"/>
        <rFont val="Trebuchet MS"/>
        <family val="2"/>
      </rPr>
      <t xml:space="preserve"> : Ability to generate Sales per Rupee of Long term Investment</t>
    </r>
  </si>
  <si>
    <r>
      <t xml:space="preserve">NOTE : </t>
    </r>
    <r>
      <rPr>
        <sz val="10"/>
        <rFont val="Trebuchet MS"/>
        <family val="2"/>
      </rPr>
      <t>Ability to generate sales per Rupee of Working Capital</t>
    </r>
  </si>
  <si>
    <r>
      <rPr>
        <b/>
        <sz val="10"/>
        <rFont val="Trebuchet MS"/>
        <family val="2"/>
      </rPr>
      <t xml:space="preserve">NOTES </t>
    </r>
    <r>
      <rPr>
        <sz val="10"/>
        <rFont val="Trebuchet MS"/>
        <family val="2"/>
      </rPr>
      <t xml:space="preserve">: Stock turn over ratio anaysis helps us to understand business performance of the company. </t>
    </r>
  </si>
  <si>
    <r>
      <t>NOTES :</t>
    </r>
    <r>
      <rPr>
        <sz val="10"/>
        <rFont val="Trebuchet MS"/>
        <family val="2"/>
      </rPr>
      <t xml:space="preserve"> Indicates Basic Profitability of the Business.</t>
    </r>
  </si>
  <si>
    <r>
      <t>NOTES :</t>
    </r>
    <r>
      <rPr>
        <sz val="10"/>
        <rFont val="Trebuchet MS"/>
        <family val="2"/>
      </rPr>
      <t xml:space="preserve"> Indicates overall Profitability of the Business.</t>
    </r>
  </si>
  <si>
    <r>
      <rPr>
        <b/>
        <sz val="10"/>
        <rFont val="Trebuchet MS"/>
        <family val="2"/>
      </rPr>
      <t xml:space="preserve">NOTES : </t>
    </r>
    <r>
      <rPr>
        <sz val="10"/>
        <rFont val="Trebuchet MS"/>
        <family val="2"/>
      </rPr>
      <t>Indicates Ability to repay short term commitments promptly .</t>
    </r>
  </si>
  <si>
    <r>
      <rPr>
        <b/>
        <sz val="10"/>
        <rFont val="Trebuchet MS"/>
        <family val="2"/>
      </rPr>
      <t>NOTES :</t>
    </r>
    <r>
      <rPr>
        <sz val="10"/>
        <rFont val="Trebuchet MS"/>
        <family val="2"/>
      </rPr>
      <t xml:space="preserve"> Indicates Extent of own funds used in business.</t>
    </r>
  </si>
  <si>
    <r>
      <rPr>
        <b/>
        <sz val="10"/>
        <rFont val="Trebuchet MS"/>
        <family val="2"/>
      </rPr>
      <t>NOTE :</t>
    </r>
    <r>
      <rPr>
        <sz val="10"/>
        <rFont val="Trebuchet MS"/>
        <family val="2"/>
      </rPr>
      <t xml:space="preserve"> Indicates overall profitability of Business for capital employed .</t>
    </r>
  </si>
  <si>
    <r>
      <rPr>
        <b/>
        <sz val="10"/>
        <rFont val="Trebuchet MS"/>
        <family val="2"/>
      </rPr>
      <t>NOTE :</t>
    </r>
    <r>
      <rPr>
        <sz val="10"/>
        <rFont val="Trebuchet MS"/>
        <family val="2"/>
      </rPr>
      <t xml:space="preserve"> Indicates ability to meet Interest Obligation of the current year .</t>
    </r>
  </si>
  <si>
    <r>
      <rPr>
        <b/>
        <sz val="10"/>
        <color indexed="8"/>
        <rFont val="Trebuchet MS"/>
        <family val="2"/>
      </rPr>
      <t xml:space="preserve">NOTES : </t>
    </r>
    <r>
      <rPr>
        <sz val="10"/>
        <color indexed="8"/>
        <rFont val="Trebuchet MS"/>
        <family val="2"/>
      </rPr>
      <t xml:space="preserve">It indicates velocity of debt collection. Higer the DTR indicates good vellocity of debt </t>
    </r>
  </si>
  <si>
    <t>DEBTORS COLLECTION PERIOD :</t>
  </si>
  <si>
    <t>Cash and Cash Equivalents</t>
  </si>
  <si>
    <t>Operating Expenses</t>
  </si>
  <si>
    <t>TOL / TW</t>
  </si>
  <si>
    <t>Electricity</t>
  </si>
  <si>
    <t>Salaries &amp; Wages</t>
  </si>
  <si>
    <t xml:space="preserve">    (25% of Current Assets)</t>
  </si>
  <si>
    <t>MPBF - Method 1 - 25%(Working Capital Gap)</t>
  </si>
  <si>
    <t>MPBF - Method 2 - 25%(Current Assets)</t>
  </si>
  <si>
    <t>Interest on CC/OD</t>
  </si>
  <si>
    <t>Processing Charges</t>
  </si>
  <si>
    <t>TERM LOANS:</t>
  </si>
  <si>
    <t>Net Capital</t>
  </si>
  <si>
    <t>(Opening capital + Net profit -Drawings)</t>
  </si>
  <si>
    <t>FIXED ASSETS:</t>
  </si>
  <si>
    <t>CURRENT ASSETS:</t>
  </si>
  <si>
    <t>CURRENT LIABILITIES:</t>
  </si>
  <si>
    <t>WORKING CAPITAL ASSESSMENT - TURNOVER METHOD</t>
  </si>
  <si>
    <t>NAYAK COMMITTEE RECOMONDATIONS</t>
  </si>
  <si>
    <t>(25% of Turnover)</t>
  </si>
  <si>
    <t>Drawing Power</t>
  </si>
  <si>
    <t>Maximum Bank CC Loan</t>
  </si>
  <si>
    <t>Notes :</t>
  </si>
  <si>
    <t>1. Maximum Working capital Limit Must not exceed Drawing power .</t>
  </si>
  <si>
    <t>2. Four Operating cycles per Annum is Assumed.</t>
  </si>
  <si>
    <t>OF</t>
  </si>
  <si>
    <t>PREPARED BY</t>
  </si>
  <si>
    <t>Designated Partner</t>
  </si>
  <si>
    <t>Direct Material &amp; Expenses</t>
  </si>
  <si>
    <t>Stock growth every year</t>
  </si>
  <si>
    <t>Audited</t>
  </si>
  <si>
    <t>Provisional</t>
  </si>
  <si>
    <t>Projected</t>
  </si>
  <si>
    <t>Working capital loan interest</t>
  </si>
  <si>
    <t>Furniture and Fittings</t>
  </si>
  <si>
    <t>Plant and Machinery</t>
  </si>
  <si>
    <t>Name of Firm</t>
  </si>
  <si>
    <t>Proprietor / MP / MD Name</t>
  </si>
  <si>
    <t>Firm address</t>
  </si>
  <si>
    <t>Estimated</t>
  </si>
  <si>
    <t>times of Working capital</t>
  </si>
  <si>
    <t>Working capital (% on Turnover)</t>
  </si>
  <si>
    <t>Other Assets</t>
  </si>
  <si>
    <t>of working capital limit</t>
  </si>
  <si>
    <t>of previous year stock</t>
  </si>
  <si>
    <t>Yes</t>
  </si>
  <si>
    <t>CALCULATION OF DEPRECIATION AS PER INCOME TAX  ACT</t>
  </si>
  <si>
    <t>Rs in lacs</t>
  </si>
  <si>
    <t>Total</t>
  </si>
  <si>
    <t xml:space="preserve">WDV </t>
  </si>
  <si>
    <t>Add Additions</t>
  </si>
  <si>
    <t>WDVat the end of 1st Year</t>
  </si>
  <si>
    <t>WDVat the end of 2nd Year</t>
  </si>
  <si>
    <t>WDVat the end of 3rd Year</t>
  </si>
  <si>
    <t>WDVat the end of 4th Year</t>
  </si>
  <si>
    <t>WDVat the end of 5th Year</t>
  </si>
  <si>
    <t>Depreciation rates</t>
  </si>
  <si>
    <t>Manual entry</t>
  </si>
  <si>
    <t>No</t>
  </si>
  <si>
    <t>compared to previous year</t>
  </si>
  <si>
    <t>of loan amount</t>
  </si>
  <si>
    <t>per annum</t>
  </si>
  <si>
    <t>Loan amount</t>
  </si>
  <si>
    <t>Months</t>
  </si>
  <si>
    <t>on Sales</t>
  </si>
  <si>
    <t>Nature of Business</t>
  </si>
  <si>
    <t>Provisional period sale</t>
  </si>
  <si>
    <r>
      <t xml:space="preserve">Estimated sale based on provisional performance </t>
    </r>
    <r>
      <rPr>
        <b/>
        <sz val="10"/>
        <color indexed="10"/>
        <rFont val="Arial"/>
        <family val="2"/>
      </rPr>
      <t>(B)</t>
    </r>
  </si>
  <si>
    <r>
      <t xml:space="preserve">Arrived sale for Estimated year </t>
    </r>
    <r>
      <rPr>
        <b/>
        <sz val="10"/>
        <color indexed="10"/>
        <rFont val="Arial"/>
        <family val="2"/>
      </rPr>
      <t>(Higher of A / B)</t>
    </r>
  </si>
  <si>
    <r>
      <t xml:space="preserve">Turnover as per Working Capital to sales Ideal ratio </t>
    </r>
    <r>
      <rPr>
        <b/>
        <sz val="10"/>
        <color indexed="10"/>
        <rFont val="Arial"/>
        <family val="2"/>
      </rPr>
      <t>(A)</t>
    </r>
  </si>
  <si>
    <t>Yearly pricipal deduction</t>
  </si>
  <si>
    <t>Interest on Other loans</t>
  </si>
  <si>
    <t>Secured and Unsecured Loans</t>
  </si>
  <si>
    <r>
      <t xml:space="preserve">Stock as per provisional financial statements </t>
    </r>
    <r>
      <rPr>
        <b/>
        <sz val="10"/>
        <color indexed="10"/>
        <rFont val="Arial"/>
        <family val="2"/>
      </rPr>
      <t>(B)</t>
    </r>
  </si>
  <si>
    <r>
      <t xml:space="preserve">Stock as per WC Loan </t>
    </r>
    <r>
      <rPr>
        <b/>
        <sz val="10"/>
        <color indexed="10"/>
        <rFont val="Arial"/>
        <family val="2"/>
      </rPr>
      <t>(A)</t>
    </r>
  </si>
  <si>
    <t>Other current liabilities</t>
  </si>
  <si>
    <t>INVESTMENTS:</t>
  </si>
  <si>
    <t>Other current Assets</t>
  </si>
  <si>
    <r>
      <t xml:space="preserve">Arrived stock in estimated </t>
    </r>
    <r>
      <rPr>
        <b/>
        <sz val="10"/>
        <color indexed="10"/>
        <rFont val="Arial"/>
        <family val="2"/>
      </rPr>
      <t>(A) or (B)</t>
    </r>
    <r>
      <rPr>
        <b/>
        <sz val="10"/>
        <rFont val="Arial"/>
        <family val="2"/>
      </rPr>
      <t xml:space="preserve"> Which ever is higher</t>
    </r>
  </si>
  <si>
    <t>Bank CC/OD loan</t>
  </si>
  <si>
    <t>Gross Reciepts:</t>
  </si>
  <si>
    <t>Section</t>
  </si>
  <si>
    <t>Question</t>
  </si>
  <si>
    <t>Question Type</t>
  </si>
  <si>
    <t>Editable</t>
  </si>
  <si>
    <t>Options</t>
  </si>
  <si>
    <t>Min - Max</t>
  </si>
  <si>
    <t>Details which are required to be given by Customer</t>
  </si>
  <si>
    <t>Answer</t>
  </si>
  <si>
    <t>Sector</t>
  </si>
  <si>
    <t>1st Financial year</t>
  </si>
  <si>
    <t>2nd Financial year</t>
  </si>
  <si>
    <t>3rd Financial year</t>
  </si>
  <si>
    <t>4th Financial year</t>
  </si>
  <si>
    <t>5th Financial year</t>
  </si>
  <si>
    <t>Means of Finance details</t>
  </si>
  <si>
    <t>General Information</t>
  </si>
  <si>
    <t>If Non Operating income exists in Provisional , then growth of it to be</t>
  </si>
  <si>
    <t>Off Admin and Marketing Expenses</t>
  </si>
  <si>
    <t>Rent</t>
  </si>
  <si>
    <t>When ever editing is done , this totally must be calculated automatically</t>
  </si>
  <si>
    <t>Non Operating Income (E)</t>
  </si>
  <si>
    <t>Adm &amp; Selling Expenses(F)</t>
  </si>
  <si>
    <t>EBDIT(G = D+E-F)</t>
  </si>
  <si>
    <t>Less : Depreciation (H)</t>
  </si>
  <si>
    <t>Less: Interest (J)</t>
  </si>
  <si>
    <t>EBIT( I = G - H )</t>
  </si>
  <si>
    <t>EBT(K = I - J)</t>
  </si>
  <si>
    <t>Turnover (A1)</t>
  </si>
  <si>
    <t>Gross Profit (D = A1-A-B+C)</t>
  </si>
  <si>
    <t>Service Equipment</t>
  </si>
  <si>
    <t>Yes,No</t>
  </si>
  <si>
    <t>Processing fees (Including GST)</t>
  </si>
  <si>
    <t>Gross Profit</t>
  </si>
  <si>
    <t xml:space="preserve">Non Operating Income </t>
  </si>
  <si>
    <t>EBDIT</t>
  </si>
  <si>
    <t xml:space="preserve">Less : Depreciation </t>
  </si>
  <si>
    <t>EBIT</t>
  </si>
  <si>
    <t xml:space="preserve">Less: Interest </t>
  </si>
  <si>
    <t>EBT</t>
  </si>
  <si>
    <t>FINVOIS OPEN BUSINESS SOLUTIONS LLP</t>
  </si>
  <si>
    <t>Contact : 9618221011</t>
  </si>
  <si>
    <t xml:space="preserve">Turnover </t>
  </si>
  <si>
    <t>WDV (31.03.2026)</t>
  </si>
  <si>
    <t>Net Capital (Opening capital +Net Profit -Drawings)</t>
  </si>
  <si>
    <t>Term Loans (Secured and Unsecured Loans Total)</t>
  </si>
  <si>
    <t xml:space="preserve">Current Liabilities </t>
  </si>
  <si>
    <t>Investments</t>
  </si>
  <si>
    <t>Other Current Assets if any</t>
  </si>
  <si>
    <t>Off Admin, Marketing and Misc Expenses</t>
  </si>
  <si>
    <t>Gross Total Fixed Assets</t>
  </si>
  <si>
    <t>Net Total Fixed Assets</t>
  </si>
  <si>
    <t>No of Months in a Financial year</t>
  </si>
  <si>
    <t>Other Term loans as per Provisionals</t>
  </si>
  <si>
    <t>Closing Stock value (Estimated)</t>
  </si>
  <si>
    <t>Balance Period remaining for Other Term Loans</t>
  </si>
  <si>
    <t xml:space="preserve">Estmated Sales   </t>
  </si>
  <si>
    <t>Growth of Working Capital interest</t>
  </si>
  <si>
    <t>Depreciation Heads</t>
  </si>
  <si>
    <t>Other Term Loans if any in provisionals</t>
  </si>
  <si>
    <t>Assumptions</t>
  </si>
  <si>
    <t>No of Months completed in Provisional financial year</t>
  </si>
  <si>
    <t>Sales growth required in Estimated financial year</t>
  </si>
  <si>
    <t>Dropdown Options to be provided</t>
  </si>
  <si>
    <t>Other Expenses Growth</t>
  </si>
  <si>
    <t>Dropdown options to be provided</t>
  </si>
  <si>
    <t>Financial Year</t>
  </si>
  <si>
    <t>CASH AND CASH EQUIVALENTS</t>
  </si>
  <si>
    <t>DEBTORS</t>
  </si>
  <si>
    <t>GROSS PROFIT RATIO</t>
  </si>
  <si>
    <t xml:space="preserve">WORKINGS FOR PROFIT AND LOSS ACCOUNT </t>
  </si>
  <si>
    <t>WORKINGS FOR BALANCESHEET</t>
  </si>
  <si>
    <t xml:space="preserve">WORKINGS FOR EXPENDITURE </t>
  </si>
  <si>
    <t>WORKINGS FOR INTEREST</t>
  </si>
  <si>
    <t>Current Ratio</t>
  </si>
  <si>
    <t>Net Profit Ratio (%)</t>
  </si>
  <si>
    <t>Of working capital loan</t>
  </si>
  <si>
    <t>Of Sales</t>
  </si>
  <si>
    <t>of Sales</t>
  </si>
  <si>
    <t>Will be Displayed like this</t>
  </si>
  <si>
    <t xml:space="preserve">Do you have working capital limit at present ? </t>
  </si>
  <si>
    <t xml:space="preserve">Working capital Loan requirement </t>
  </si>
  <si>
    <t>Provisional financial statements</t>
  </si>
  <si>
    <t>Audited financial Statements</t>
  </si>
  <si>
    <t>STEP 1</t>
  </si>
  <si>
    <t>STEP 2 : BACK GROUND CALCULATION . NOT TO BE VISIBLE TO CUSTOMER</t>
  </si>
  <si>
    <t>STEP 3 : DISPLAY TO CUSTOMER FOR MAKING EDITING</t>
  </si>
  <si>
    <t>15% or more than 15%</t>
  </si>
  <si>
    <t>Manufacturing sector / Service sector (with stock) / Trading sector</t>
  </si>
  <si>
    <t>2024 - 25 to provide 10 years with Start Month to End Month</t>
  </si>
  <si>
    <t>Term Loans(Secured and Unsecured)</t>
  </si>
  <si>
    <t>Profit and Loss Items at a Glance :</t>
  </si>
  <si>
    <t>RATIO ANALYSIS at a Glance: (Not Editable but displayed)</t>
  </si>
  <si>
    <t>All Items Editable</t>
  </si>
  <si>
    <t>Balance Sheet Items at a Glance:</t>
  </si>
  <si>
    <t>Audited, Hence Not editable</t>
  </si>
  <si>
    <t>Gross profit ratio (%)</t>
  </si>
  <si>
    <t>Debtors Turonver Ratio (Days)</t>
  </si>
  <si>
    <t>Total outside Liabilities to Total Networth</t>
  </si>
  <si>
    <t>Financials and Ratios at a Glance</t>
  </si>
  <si>
    <t>MSME &amp; DPR Consultants</t>
  </si>
  <si>
    <t>Provisional , Hence Not editable</t>
  </si>
  <si>
    <t>Less :Admintrative &amp; Selling Expenses</t>
  </si>
  <si>
    <t>Net Profit Before Tax</t>
  </si>
  <si>
    <t>Office Admin, Marketing and Miscelleneous Expenses</t>
  </si>
  <si>
    <t>Net Fixed Assets</t>
  </si>
  <si>
    <t>Autogenerated</t>
  </si>
  <si>
    <t>NA</t>
  </si>
  <si>
    <t>Auto Generated and Predefined , hence cannot be Edited (Only Admin to be given right to Edit these)</t>
  </si>
  <si>
    <t>Interest on Other loans (Secured and Unsecured term Loans)</t>
  </si>
  <si>
    <t>Other Current liabilities</t>
  </si>
  <si>
    <t>Please use "IF" function in following cases</t>
  </si>
  <si>
    <t xml:space="preserve">In case of </t>
  </si>
  <si>
    <t>Designation</t>
  </si>
  <si>
    <t>Companies</t>
  </si>
  <si>
    <t>Managing Director</t>
  </si>
  <si>
    <t>LLP</t>
  </si>
  <si>
    <t>Soleproprietor</t>
  </si>
  <si>
    <t>Proprietor</t>
  </si>
  <si>
    <t>Partnership firm</t>
  </si>
  <si>
    <t>Managing Partner</t>
  </si>
  <si>
    <t>Status of Concern</t>
  </si>
  <si>
    <t>Soleproprietorship,Partnership,LLP,Company</t>
  </si>
  <si>
    <t xml:space="preserve">A . CURRENT RATIO </t>
  </si>
  <si>
    <t>B  . DEBTORS TURNOVER RATIO</t>
  </si>
  <si>
    <t>C . GROSS PROFIT RATIO</t>
  </si>
  <si>
    <t>D . NETPROFIT RATIO</t>
  </si>
  <si>
    <t>E .  TOTAL OUTSIDE LIABILITIES TO TOTAL NETWORTH RATIO :</t>
  </si>
  <si>
    <t>F . WORKING CAPITAL TURNOVER RATIO :</t>
  </si>
  <si>
    <t>G . STOCK TURNOVER RATIO</t>
  </si>
  <si>
    <t>H . INTEREST COVERAGE RATIO</t>
  </si>
  <si>
    <t>I . CAPITAL TURNOVER RATIO</t>
  </si>
  <si>
    <t>J . RETURN ON CAPITAL EMPLOYED</t>
  </si>
  <si>
    <t>WORKING CAPITAL CALCULATION:</t>
  </si>
  <si>
    <t>Required WC Limit</t>
  </si>
  <si>
    <t>Closing stock</t>
  </si>
  <si>
    <t>Eligible Working capital limit</t>
  </si>
  <si>
    <t>Working Capital Requirement</t>
  </si>
  <si>
    <t>Minimum Working Capital Limit</t>
  </si>
  <si>
    <t>(80% of Working Capital Requirment)</t>
  </si>
  <si>
    <t>Working capital (CC) Loan</t>
  </si>
  <si>
    <t>PROJECTIONS AND ESTIMATIONS</t>
  </si>
  <si>
    <t>IDEAL RATIO  &gt; 1.33</t>
  </si>
  <si>
    <t>Asset Category</t>
  </si>
  <si>
    <t>Sl.No</t>
  </si>
  <si>
    <t>Component</t>
  </si>
  <si>
    <t>Gross Amount                  (Rs in Lacs)</t>
  </si>
  <si>
    <t>Net Amount                (Rs in Lacs)</t>
  </si>
  <si>
    <t>Shed and Civil works</t>
  </si>
  <si>
    <t>Land</t>
  </si>
  <si>
    <t>Electrical Items</t>
  </si>
  <si>
    <t>Electronic items</t>
  </si>
  <si>
    <t xml:space="preserve">Furniture and Fittings </t>
  </si>
  <si>
    <t>Vehicles</t>
  </si>
  <si>
    <t>Live stock</t>
  </si>
  <si>
    <t>Other Assets (Nil Depreciation)</t>
  </si>
  <si>
    <t>Shed and Civil Works</t>
  </si>
  <si>
    <t>Electronic Items</t>
  </si>
  <si>
    <t>Furniture</t>
  </si>
  <si>
    <t>TOTAL</t>
  </si>
  <si>
    <t>MAXIMUM PERMISSABLE BANK FINANCE:</t>
  </si>
  <si>
    <t>Method 1 : Working capital Method</t>
  </si>
  <si>
    <t>Method 1 : Current Assets Method</t>
  </si>
  <si>
    <t>Method 3 : Nayak Committee</t>
  </si>
  <si>
    <r>
      <t xml:space="preserve">Earnings Before Tax </t>
    </r>
    <r>
      <rPr>
        <b/>
        <sz val="20"/>
        <color indexed="17"/>
        <rFont val="Trebuchet MS"/>
        <family val="2"/>
      </rPr>
      <t>(Not Editable)</t>
    </r>
  </si>
  <si>
    <t>Closing Stock / WIP</t>
  </si>
  <si>
    <t>Office Admin and Marketing Expenses</t>
  </si>
  <si>
    <t>Autogenerated from Schedule for FIXED ASSETS</t>
  </si>
  <si>
    <t>SCHEDULE FOR ASSETS: (31.03.2025)</t>
  </si>
  <si>
    <t>Gross Revenue / Turnover</t>
  </si>
  <si>
    <t>Gross Revenue / Turnover:</t>
  </si>
  <si>
    <t>Revenue</t>
  </si>
  <si>
    <t>Net Capital Including Net Reserves &amp; Surplus</t>
  </si>
  <si>
    <t>Interest on CC/OD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</si>
</sst>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%"/>
    <numFmt numFmtId="165" formatCode="0.0000"/>
  </numFmts>
  <fonts count="5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20"/>
      <name val="Trebuchet MS"/>
      <family val="2"/>
    </font>
    <font>
      <sz val="20"/>
      <name val="Trebuchet MS"/>
      <family val="2"/>
    </font>
    <font>
      <b/>
      <i/>
      <sz val="20"/>
      <name val="Trebuchet MS"/>
      <family val="2"/>
    </font>
    <font>
      <i/>
      <sz val="20"/>
      <name val="Trebuchet MS"/>
      <family val="2"/>
    </font>
    <font>
      <b/>
      <u/>
      <sz val="10"/>
      <name val="Trebuchet MS"/>
      <family val="2"/>
    </font>
    <font>
      <sz val="10"/>
      <name val="Trebuchet MS"/>
      <family val="2"/>
    </font>
    <font>
      <b/>
      <sz val="10"/>
      <name val="Trebuchet MS"/>
      <family val="2"/>
    </font>
    <font>
      <b/>
      <sz val="11"/>
      <color indexed="8"/>
      <name val="Trebuchet MS"/>
      <family val="2"/>
    </font>
    <font>
      <sz val="11"/>
      <color indexed="8"/>
      <name val="Trebuchet MS"/>
      <family val="2"/>
    </font>
    <font>
      <b/>
      <i/>
      <sz val="10"/>
      <name val="Trebuchet MS"/>
      <family val="2"/>
    </font>
    <font>
      <b/>
      <sz val="11"/>
      <name val="Trebuchet MS"/>
      <family val="2"/>
    </font>
    <font>
      <sz val="11"/>
      <name val="Trebuchet MS"/>
      <family val="2"/>
    </font>
    <font>
      <b/>
      <u/>
      <sz val="11"/>
      <name val="Trebuchet MS"/>
      <family val="2"/>
    </font>
    <font>
      <b/>
      <i/>
      <u/>
      <sz val="20"/>
      <name val="Trebuchet MS"/>
      <family val="2"/>
    </font>
    <font>
      <b/>
      <sz val="10"/>
      <color indexed="8"/>
      <name val="Trebuchet MS"/>
      <family val="2"/>
    </font>
    <font>
      <b/>
      <i/>
      <sz val="10"/>
      <color indexed="8"/>
      <name val="Trebuchet MS"/>
      <family val="2"/>
    </font>
    <font>
      <sz val="10"/>
      <color indexed="8"/>
      <name val="Trebuchet MS"/>
      <family val="2"/>
    </font>
    <font>
      <b/>
      <i/>
      <sz val="11"/>
      <name val="Trebuchet MS"/>
      <family val="2"/>
    </font>
    <font>
      <b/>
      <sz val="18"/>
      <name val="Trebuchet MS"/>
      <family val="2"/>
    </font>
    <font>
      <sz val="18"/>
      <name val="Trebuchet MS"/>
      <family val="2"/>
    </font>
    <font>
      <b/>
      <u/>
      <sz val="18"/>
      <name val="Trebuchet MS"/>
      <family val="2"/>
    </font>
    <font>
      <b/>
      <i/>
      <sz val="16"/>
      <name val="Trebuchet MS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name val="Trebuchet MS"/>
      <family val="2"/>
    </font>
    <font>
      <b/>
      <sz val="24"/>
      <name val="Trebuchet MS"/>
      <family val="2"/>
    </font>
    <font>
      <b/>
      <sz val="11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b/>
      <u/>
      <sz val="20"/>
      <name val="Trebuchet MS"/>
      <family val="2"/>
    </font>
    <font>
      <sz val="12"/>
      <color rgb="FF000000"/>
      <name val="Trebuchet MS"/>
      <family val="2"/>
    </font>
    <font>
      <b/>
      <i/>
      <sz val="10"/>
      <color theme="9" tint="-0.499984740745262"/>
      <name val="Trebuchet MS"/>
      <family val="2"/>
    </font>
    <font>
      <b/>
      <sz val="10"/>
      <color theme="9" tint="-0.499984740745262"/>
      <name val="Trebuchet MS"/>
      <family val="2"/>
    </font>
    <font>
      <b/>
      <i/>
      <u/>
      <sz val="10"/>
      <color theme="9" tint="-0.499984740745262"/>
      <name val="Trebuchet MS"/>
      <family val="2"/>
    </font>
    <font>
      <sz val="20"/>
      <color theme="1"/>
      <name val="Trebuchet MS"/>
      <family val="2"/>
    </font>
    <font>
      <b/>
      <i/>
      <sz val="18"/>
      <color rgb="FFFF0000"/>
      <name val="Trebuchet MS"/>
      <family val="2"/>
    </font>
    <font>
      <b/>
      <sz val="20"/>
      <color theme="0"/>
      <name val="Trebuchet MS"/>
      <family val="2"/>
    </font>
    <font>
      <sz val="20"/>
      <color theme="0"/>
      <name val="Trebuchet MS"/>
      <family val="2"/>
    </font>
    <font>
      <i/>
      <sz val="20"/>
      <color theme="0"/>
      <name val="Trebuchet MS"/>
      <family val="2"/>
    </font>
    <font>
      <b/>
      <sz val="28"/>
      <color rgb="FFFFFF00"/>
      <name val="Trebuchet MS"/>
      <family val="2"/>
    </font>
    <font>
      <b/>
      <sz val="36"/>
      <color rgb="FFFFFF00"/>
      <name val="Trebuchet MS"/>
      <family val="2"/>
    </font>
    <font>
      <b/>
      <sz val="24"/>
      <color rgb="FFFFFF00"/>
      <name val="Trebuchet MS"/>
      <family val="2"/>
    </font>
    <font>
      <sz val="20"/>
      <color rgb="FFFFFF00"/>
      <name val="Trebuchet MS"/>
      <family val="2"/>
    </font>
    <font>
      <sz val="20"/>
      <color rgb="FFFF0000"/>
      <name val="Trebuchet MS"/>
      <family val="2"/>
    </font>
    <font>
      <b/>
      <sz val="14"/>
      <color rgb="FFFF0000"/>
      <name val="Trebuchet MS"/>
      <family val="2"/>
    </font>
    <font>
      <b/>
      <sz val="24"/>
      <color rgb="FFFF0000"/>
      <name val="Trebuchet MS"/>
      <family val="2"/>
    </font>
    <font>
      <b/>
      <sz val="10"/>
      <color theme="0"/>
      <name val="Arial"/>
      <family val="2"/>
    </font>
    <font>
      <b/>
      <i/>
      <u/>
      <sz val="10"/>
      <name val="Trebuchet MS"/>
      <family val="2"/>
    </font>
    <font>
      <b/>
      <sz val="20"/>
      <color indexed="17"/>
      <name val="Trebuchet MS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8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1" fontId="5" fillId="0" borderId="0" xfId="0" applyNumberFormat="1" applyFont="1"/>
    <xf numFmtId="1" fontId="4" fillId="0" borderId="0" xfId="0" applyNumberFormat="1" applyFont="1"/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right" wrapText="1"/>
    </xf>
    <xf numFmtId="0" fontId="6" fillId="0" borderId="0" xfId="0" applyFont="1" applyAlignment="1">
      <alignment horizontal="center"/>
    </xf>
    <xf numFmtId="0" fontId="5" fillId="0" borderId="1" xfId="0" applyFont="1" applyBorder="1"/>
    <xf numFmtId="1" fontId="4" fillId="0" borderId="2" xfId="0" applyNumberFormat="1" applyFont="1" applyBorder="1"/>
    <xf numFmtId="1" fontId="4" fillId="0" borderId="0" xfId="0" applyNumberFormat="1" applyFont="1" applyAlignment="1">
      <alignment vertical="center"/>
    </xf>
    <xf numFmtId="1" fontId="6" fillId="0" borderId="0" xfId="0" applyNumberFormat="1" applyFont="1"/>
    <xf numFmtId="0" fontId="7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1" fillId="0" borderId="0" xfId="0" applyFont="1"/>
    <xf numFmtId="0" fontId="10" fillId="0" borderId="0" xfId="0" applyFont="1" applyAlignment="1">
      <alignment horizontal="right"/>
    </xf>
    <xf numFmtId="2" fontId="9" fillId="0" borderId="0" xfId="0" applyNumberFormat="1" applyFont="1"/>
    <xf numFmtId="0" fontId="10" fillId="0" borderId="0" xfId="0" applyFont="1"/>
    <xf numFmtId="0" fontId="12" fillId="0" borderId="0" xfId="0" applyFont="1"/>
    <xf numFmtId="0" fontId="13" fillId="0" borderId="1" xfId="0" applyFont="1" applyBorder="1"/>
    <xf numFmtId="0" fontId="13" fillId="0" borderId="1" xfId="0" applyFont="1" applyBorder="1" applyAlignment="1">
      <alignment horizontal="left"/>
    </xf>
    <xf numFmtId="0" fontId="13" fillId="0" borderId="0" xfId="0" applyFont="1"/>
    <xf numFmtId="1" fontId="9" fillId="0" borderId="0" xfId="0" applyNumberFormat="1" applyFont="1"/>
    <xf numFmtId="0" fontId="10" fillId="0" borderId="1" xfId="0" applyFont="1" applyBorder="1"/>
    <xf numFmtId="0" fontId="34" fillId="0" borderId="0" xfId="0" applyFont="1" applyAlignment="1">
      <alignment horizontal="right"/>
    </xf>
    <xf numFmtId="0" fontId="34" fillId="0" borderId="1" xfId="0" applyFont="1" applyBorder="1" applyAlignment="1">
      <alignment horizontal="right"/>
    </xf>
    <xf numFmtId="0" fontId="35" fillId="0" borderId="0" xfId="0" applyFont="1"/>
    <xf numFmtId="0" fontId="36" fillId="0" borderId="0" xfId="0" applyFont="1" applyAlignment="1">
      <alignment horizontal="right"/>
    </xf>
    <xf numFmtId="0" fontId="15" fillId="0" borderId="0" xfId="0" applyFont="1"/>
    <xf numFmtId="0" fontId="14" fillId="0" borderId="0" xfId="0" applyFont="1"/>
    <xf numFmtId="0" fontId="10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1" fontId="15" fillId="0" borderId="0" xfId="0" applyNumberFormat="1" applyFont="1"/>
    <xf numFmtId="0" fontId="17" fillId="0" borderId="0" xfId="0" applyFont="1"/>
    <xf numFmtId="0" fontId="36" fillId="0" borderId="0" xfId="0" applyFont="1"/>
    <xf numFmtId="0" fontId="35" fillId="2" borderId="0" xfId="0" applyFont="1" applyFill="1"/>
    <xf numFmtId="0" fontId="37" fillId="0" borderId="0" xfId="0" applyFont="1"/>
    <xf numFmtId="0" fontId="20" fillId="0" borderId="0" xfId="0" applyFont="1"/>
    <xf numFmtId="1" fontId="5" fillId="0" borderId="0" xfId="0" applyNumberFormat="1" applyFont="1" applyAlignment="1">
      <alignment horizontal="right"/>
    </xf>
    <xf numFmtId="1" fontId="9" fillId="0" borderId="0" xfId="0" applyNumberFormat="1" applyFont="1" applyAlignment="1">
      <alignment horizontal="center"/>
    </xf>
    <xf numFmtId="0" fontId="5" fillId="0" borderId="0" xfId="0" applyFont="1" applyAlignment="1">
      <alignment horizontal="right"/>
    </xf>
    <xf numFmtId="0" fontId="4" fillId="0" borderId="4" xfId="0" applyFont="1" applyBorder="1"/>
    <xf numFmtId="1" fontId="4" fillId="0" borderId="4" xfId="0" applyNumberFormat="1" applyFont="1" applyBorder="1"/>
    <xf numFmtId="1" fontId="5" fillId="0" borderId="0" xfId="0" applyNumberFormat="1" applyFont="1" applyAlignment="1">
      <alignment horizontal="center"/>
    </xf>
    <xf numFmtId="1" fontId="38" fillId="0" borderId="0" xfId="0" applyNumberFormat="1" applyFont="1"/>
    <xf numFmtId="0" fontId="15" fillId="0" borderId="1" xfId="0" applyFont="1" applyBorder="1"/>
    <xf numFmtId="0" fontId="39" fillId="0" borderId="0" xfId="0" applyFont="1" applyAlignment="1">
      <alignment vertical="top"/>
    </xf>
    <xf numFmtId="0" fontId="4" fillId="4" borderId="6" xfId="0" applyFont="1" applyFill="1" applyBorder="1" applyAlignment="1">
      <alignment horizontal="center" vertical="center" wrapText="1"/>
    </xf>
    <xf numFmtId="0" fontId="5" fillId="4" borderId="2" xfId="0" applyFont="1" applyFill="1" applyBorder="1"/>
    <xf numFmtId="0" fontId="4" fillId="4" borderId="2" xfId="0" applyFont="1" applyFill="1" applyBorder="1" applyAlignment="1">
      <alignment horizontal="right"/>
    </xf>
    <xf numFmtId="0" fontId="4" fillId="4" borderId="2" xfId="0" applyFont="1" applyFill="1" applyBorder="1" applyAlignment="1">
      <alignment horizontal="right" wrapText="1"/>
    </xf>
    <xf numFmtId="0" fontId="10" fillId="4" borderId="7" xfId="0" applyFont="1" applyFill="1" applyBorder="1" applyAlignment="1">
      <alignment horizontal="center"/>
    </xf>
    <xf numFmtId="0" fontId="10" fillId="4" borderId="7" xfId="0" applyFont="1" applyFill="1" applyBorder="1"/>
    <xf numFmtId="0" fontId="10" fillId="4" borderId="7" xfId="0" applyFont="1" applyFill="1" applyBorder="1" applyAlignment="1">
      <alignment horizontal="right"/>
    </xf>
    <xf numFmtId="0" fontId="12" fillId="4" borderId="7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9" fillId="4" borderId="7" xfId="0" applyFont="1" applyFill="1" applyBorder="1"/>
    <xf numFmtId="1" fontId="21" fillId="0" borderId="0" xfId="0" applyNumberFormat="1" applyFont="1"/>
    <xf numFmtId="0" fontId="22" fillId="0" borderId="0" xfId="0" applyFont="1" applyAlignment="1">
      <alignment horizontal="center"/>
    </xf>
    <xf numFmtId="0" fontId="22" fillId="0" borderId="0" xfId="0" applyFont="1"/>
    <xf numFmtId="0" fontId="23" fillId="0" borderId="0" xfId="0" applyFont="1"/>
    <xf numFmtId="0" fontId="23" fillId="0" borderId="1" xfId="0" applyFont="1" applyBorder="1"/>
    <xf numFmtId="0" fontId="23" fillId="4" borderId="8" xfId="0" applyFont="1" applyFill="1" applyBorder="1"/>
    <xf numFmtId="0" fontId="23" fillId="4" borderId="9" xfId="0" applyFont="1" applyFill="1" applyBorder="1"/>
    <xf numFmtId="0" fontId="23" fillId="4" borderId="10" xfId="0" applyFont="1" applyFill="1" applyBorder="1"/>
    <xf numFmtId="0" fontId="23" fillId="4" borderId="3" xfId="0" applyFont="1" applyFill="1" applyBorder="1"/>
    <xf numFmtId="0" fontId="23" fillId="4" borderId="0" xfId="0" applyFont="1" applyFill="1"/>
    <xf numFmtId="0" fontId="23" fillId="4" borderId="11" xfId="0" applyFont="1" applyFill="1" applyBorder="1"/>
    <xf numFmtId="0" fontId="23" fillId="4" borderId="12" xfId="0" applyFont="1" applyFill="1" applyBorder="1"/>
    <xf numFmtId="0" fontId="22" fillId="4" borderId="11" xfId="0" applyFont="1" applyFill="1" applyBorder="1" applyAlignment="1">
      <alignment wrapText="1"/>
    </xf>
    <xf numFmtId="0" fontId="23" fillId="4" borderId="13" xfId="0" applyFont="1" applyFill="1" applyBorder="1"/>
    <xf numFmtId="0" fontId="23" fillId="4" borderId="1" xfId="0" applyFont="1" applyFill="1" applyBorder="1"/>
    <xf numFmtId="0" fontId="3" fillId="0" borderId="0" xfId="0" applyFont="1"/>
    <xf numFmtId="2" fontId="40" fillId="0" borderId="0" xfId="0" applyNumberFormat="1" applyFont="1"/>
    <xf numFmtId="0" fontId="41" fillId="0" borderId="0" xfId="0" applyFont="1"/>
    <xf numFmtId="0" fontId="42" fillId="0" borderId="0" xfId="0" applyFont="1"/>
    <xf numFmtId="2" fontId="40" fillId="0" borderId="0" xfId="0" applyNumberFormat="1" applyFont="1" applyAlignment="1">
      <alignment vertical="center"/>
    </xf>
    <xf numFmtId="2" fontId="41" fillId="0" borderId="0" xfId="0" applyNumberFormat="1" applyFont="1"/>
    <xf numFmtId="2" fontId="5" fillId="0" borderId="0" xfId="0" applyNumberFormat="1" applyFont="1"/>
    <xf numFmtId="17" fontId="4" fillId="4" borderId="5" xfId="0" applyNumberFormat="1" applyFont="1" applyFill="1" applyBorder="1" applyAlignment="1">
      <alignment horizontal="center" vertical="center"/>
    </xf>
    <xf numFmtId="0" fontId="26" fillId="0" borderId="0" xfId="0" applyFont="1"/>
    <xf numFmtId="17" fontId="26" fillId="0" borderId="0" xfId="0" applyNumberFormat="1" applyFont="1"/>
    <xf numFmtId="0" fontId="9" fillId="4" borderId="5" xfId="0" applyFont="1" applyFill="1" applyBorder="1"/>
    <xf numFmtId="0" fontId="10" fillId="4" borderId="5" xfId="0" applyFont="1" applyFill="1" applyBorder="1" applyAlignment="1">
      <alignment horizontal="center"/>
    </xf>
    <xf numFmtId="0" fontId="9" fillId="4" borderId="0" xfId="0" applyFont="1" applyFill="1"/>
    <xf numFmtId="0" fontId="10" fillId="4" borderId="0" xfId="0" applyFont="1" applyFill="1" applyAlignment="1">
      <alignment horizontal="center"/>
    </xf>
    <xf numFmtId="0" fontId="9" fillId="4" borderId="6" xfId="0" applyFont="1" applyFill="1" applyBorder="1"/>
    <xf numFmtId="10" fontId="10" fillId="4" borderId="6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2" fontId="9" fillId="0" borderId="0" xfId="0" applyNumberFormat="1" applyFont="1" applyAlignment="1">
      <alignment horizontal="right"/>
    </xf>
    <xf numFmtId="1" fontId="9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9" fillId="0" borderId="14" xfId="0" applyFont="1" applyBorder="1"/>
    <xf numFmtId="17" fontId="13" fillId="0" borderId="0" xfId="0" applyNumberFormat="1" applyFont="1"/>
    <xf numFmtId="0" fontId="3" fillId="0" borderId="15" xfId="0" applyFont="1" applyBorder="1"/>
    <xf numFmtId="0" fontId="43" fillId="0" borderId="0" xfId="0" applyFont="1"/>
    <xf numFmtId="0" fontId="3" fillId="0" borderId="15" xfId="0" applyFont="1" applyBorder="1" applyAlignment="1">
      <alignment horizontal="center"/>
    </xf>
    <xf numFmtId="0" fontId="26" fillId="0" borderId="15" xfId="0" applyFont="1" applyBorder="1"/>
    <xf numFmtId="0" fontId="26" fillId="5" borderId="0" xfId="0" applyFont="1" applyFill="1"/>
    <xf numFmtId="0" fontId="26" fillId="5" borderId="0" xfId="0" applyFont="1" applyFill="1" applyAlignment="1">
      <alignment horizontal="center"/>
    </xf>
    <xf numFmtId="0" fontId="26" fillId="5" borderId="0" xfId="0" applyFont="1" applyFill="1" applyAlignment="1">
      <alignment horizontal="center" wrapText="1"/>
    </xf>
    <xf numFmtId="0" fontId="3" fillId="0" borderId="19" xfId="0" applyFont="1" applyBorder="1" applyAlignment="1">
      <alignment horizontal="center"/>
    </xf>
    <xf numFmtId="0" fontId="0" fillId="6" borderId="15" xfId="0" applyFill="1" applyBorder="1"/>
    <xf numFmtId="0" fontId="26" fillId="0" borderId="15" xfId="0" applyFont="1" applyBorder="1" applyAlignment="1">
      <alignment vertical="top"/>
    </xf>
    <xf numFmtId="0" fontId="26" fillId="0" borderId="20" xfId="0" applyFont="1" applyBorder="1"/>
    <xf numFmtId="0" fontId="3" fillId="0" borderId="20" xfId="0" applyFont="1" applyBorder="1" applyAlignment="1">
      <alignment horizontal="center"/>
    </xf>
    <xf numFmtId="0" fontId="0" fillId="6" borderId="20" xfId="0" applyFill="1" applyBorder="1"/>
    <xf numFmtId="0" fontId="3" fillId="0" borderId="21" xfId="0" applyFont="1" applyBorder="1" applyAlignment="1">
      <alignment horizontal="center"/>
    </xf>
    <xf numFmtId="0" fontId="0" fillId="6" borderId="21" xfId="0" applyFill="1" applyBorder="1"/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center" wrapText="1"/>
    </xf>
    <xf numFmtId="1" fontId="26" fillId="0" borderId="0" xfId="0" applyNumberFormat="1" applyFont="1"/>
    <xf numFmtId="0" fontId="26" fillId="3" borderId="15" xfId="0" applyFont="1" applyFill="1" applyBorder="1"/>
    <xf numFmtId="0" fontId="0" fillId="3" borderId="15" xfId="0" applyFill="1" applyBorder="1" applyAlignment="1">
      <alignment horizontal="center"/>
    </xf>
    <xf numFmtId="0" fontId="0" fillId="3" borderId="15" xfId="0" applyFill="1" applyBorder="1"/>
    <xf numFmtId="0" fontId="10" fillId="3" borderId="15" xfId="0" applyFont="1" applyFill="1" applyBorder="1" applyAlignment="1">
      <alignment horizontal="center" vertical="top" wrapText="1"/>
    </xf>
    <xf numFmtId="0" fontId="10" fillId="3" borderId="15" xfId="0" applyFont="1" applyFill="1" applyBorder="1" applyAlignment="1">
      <alignment vertical="top" wrapText="1"/>
    </xf>
    <xf numFmtId="0" fontId="0" fillId="3" borderId="19" xfId="0" applyFill="1" applyBorder="1"/>
    <xf numFmtId="0" fontId="10" fillId="3" borderId="19" xfId="0" applyFont="1" applyFill="1" applyBorder="1" applyAlignment="1">
      <alignment vertical="top" wrapText="1"/>
    </xf>
    <xf numFmtId="0" fontId="23" fillId="0" borderId="0" xfId="0" applyFont="1" applyAlignment="1">
      <alignment horizontal="center"/>
    </xf>
    <xf numFmtId="0" fontId="14" fillId="4" borderId="5" xfId="0" applyFont="1" applyFill="1" applyBorder="1"/>
    <xf numFmtId="17" fontId="14" fillId="4" borderId="5" xfId="0" applyNumberFormat="1" applyFont="1" applyFill="1" applyBorder="1" applyAlignment="1">
      <alignment horizontal="right"/>
    </xf>
    <xf numFmtId="0" fontId="14" fillId="4" borderId="6" xfId="0" applyFont="1" applyFill="1" applyBorder="1"/>
    <xf numFmtId="0" fontId="14" fillId="4" borderId="6" xfId="0" applyFont="1" applyFill="1" applyBorder="1" applyAlignment="1">
      <alignment horizontal="right"/>
    </xf>
    <xf numFmtId="0" fontId="14" fillId="4" borderId="5" xfId="0" applyFont="1" applyFill="1" applyBorder="1" applyAlignment="1">
      <alignment horizontal="right"/>
    </xf>
    <xf numFmtId="0" fontId="44" fillId="0" borderId="0" xfId="0" applyFont="1"/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right"/>
    </xf>
    <xf numFmtId="0" fontId="26" fillId="3" borderId="22" xfId="0" applyFont="1" applyFill="1" applyBorder="1"/>
    <xf numFmtId="0" fontId="0" fillId="3" borderId="22" xfId="0" applyFill="1" applyBorder="1" applyAlignment="1">
      <alignment horizontal="center"/>
    </xf>
    <xf numFmtId="0" fontId="10" fillId="3" borderId="22" xfId="0" applyFont="1" applyFill="1" applyBorder="1" applyAlignment="1">
      <alignment horizontal="center" vertical="top" wrapText="1"/>
    </xf>
    <xf numFmtId="0" fontId="45" fillId="7" borderId="0" xfId="0" applyFont="1" applyFill="1"/>
    <xf numFmtId="0" fontId="46" fillId="7" borderId="0" xfId="0" applyFont="1" applyFill="1"/>
    <xf numFmtId="0" fontId="28" fillId="0" borderId="0" xfId="0" applyFont="1" applyAlignment="1">
      <alignment horizontal="left"/>
    </xf>
    <xf numFmtId="0" fontId="29" fillId="0" borderId="0" xfId="0" applyFont="1"/>
    <xf numFmtId="0" fontId="45" fillId="0" borderId="0" xfId="0" applyFont="1"/>
    <xf numFmtId="0" fontId="46" fillId="0" borderId="0" xfId="0" applyFont="1"/>
    <xf numFmtId="1" fontId="4" fillId="0" borderId="1" xfId="0" applyNumberFormat="1" applyFont="1" applyBorder="1"/>
    <xf numFmtId="1" fontId="4" fillId="0" borderId="7" xfId="0" applyNumberFormat="1" applyFont="1" applyBorder="1"/>
    <xf numFmtId="0" fontId="25" fillId="0" borderId="0" xfId="0" applyFont="1" applyAlignment="1">
      <alignment wrapText="1"/>
    </xf>
    <xf numFmtId="0" fontId="0" fillId="3" borderId="0" xfId="0" applyFill="1"/>
    <xf numFmtId="0" fontId="26" fillId="3" borderId="0" xfId="0" applyFont="1" applyFill="1"/>
    <xf numFmtId="0" fontId="0" fillId="3" borderId="0" xfId="0" applyFill="1" applyAlignment="1">
      <alignment horizontal="center"/>
    </xf>
    <xf numFmtId="0" fontId="3" fillId="0" borderId="23" xfId="0" applyFont="1" applyBorder="1" applyAlignment="1">
      <alignment horizontal="center"/>
    </xf>
    <xf numFmtId="0" fontId="4" fillId="4" borderId="5" xfId="0" applyFont="1" applyFill="1" applyBorder="1" applyAlignment="1">
      <alignment vertical="center"/>
    </xf>
    <xf numFmtId="0" fontId="4" fillId="4" borderId="6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/>
    </xf>
    <xf numFmtId="0" fontId="0" fillId="3" borderId="25" xfId="0" applyFill="1" applyBorder="1"/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0" fontId="0" fillId="3" borderId="22" xfId="0" applyFill="1" applyBorder="1"/>
    <xf numFmtId="0" fontId="3" fillId="0" borderId="5" xfId="0" applyFont="1" applyBorder="1"/>
    <xf numFmtId="0" fontId="3" fillId="0" borderId="4" xfId="0" applyFont="1" applyBorder="1"/>
    <xf numFmtId="0" fontId="3" fillId="0" borderId="14" xfId="0" applyFont="1" applyBorder="1"/>
    <xf numFmtId="0" fontId="0" fillId="5" borderId="0" xfId="0" applyFill="1"/>
    <xf numFmtId="0" fontId="0" fillId="5" borderId="0" xfId="0" applyFill="1" applyAlignment="1">
      <alignment horizontal="center"/>
    </xf>
    <xf numFmtId="0" fontId="3" fillId="0" borderId="22" xfId="0" applyFont="1" applyBorder="1"/>
    <xf numFmtId="0" fontId="0" fillId="6" borderId="24" xfId="0" applyFill="1" applyBorder="1"/>
    <xf numFmtId="0" fontId="3" fillId="6" borderId="24" xfId="0" applyFont="1" applyFill="1" applyBorder="1"/>
    <xf numFmtId="0" fontId="3" fillId="6" borderId="26" xfId="0" applyFont="1" applyFill="1" applyBorder="1"/>
    <xf numFmtId="0" fontId="3" fillId="6" borderId="23" xfId="0" applyFont="1" applyFill="1" applyBorder="1"/>
    <xf numFmtId="0" fontId="26" fillId="0" borderId="24" xfId="0" applyFont="1" applyBorder="1"/>
    <xf numFmtId="0" fontId="26" fillId="0" borderId="16" xfId="0" applyFont="1" applyBorder="1"/>
    <xf numFmtId="0" fontId="26" fillId="0" borderId="18" xfId="0" applyFont="1" applyBorder="1"/>
    <xf numFmtId="0" fontId="26" fillId="0" borderId="18" xfId="0" applyFont="1" applyBorder="1" applyAlignment="1">
      <alignment vertical="top"/>
    </xf>
    <xf numFmtId="0" fontId="4" fillId="4" borderId="6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wrapText="1"/>
    </xf>
    <xf numFmtId="0" fontId="0" fillId="5" borderId="22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5" xfId="0" applyFill="1" applyBorder="1"/>
    <xf numFmtId="0" fontId="0" fillId="5" borderId="19" xfId="0" applyFill="1" applyBorder="1"/>
    <xf numFmtId="164" fontId="0" fillId="0" borderId="0" xfId="0" applyNumberFormat="1"/>
    <xf numFmtId="0" fontId="3" fillId="0" borderId="20" xfId="0" applyFont="1" applyBorder="1"/>
    <xf numFmtId="0" fontId="3" fillId="0" borderId="21" xfId="0" applyFont="1" applyBorder="1"/>
    <xf numFmtId="0" fontId="26" fillId="8" borderId="22" xfId="0" applyFont="1" applyFill="1" applyBorder="1"/>
    <xf numFmtId="0" fontId="26" fillId="8" borderId="28" xfId="0" applyFont="1" applyFill="1" applyBorder="1"/>
    <xf numFmtId="0" fontId="26" fillId="8" borderId="15" xfId="0" applyFont="1" applyFill="1" applyBorder="1"/>
    <xf numFmtId="0" fontId="26" fillId="8" borderId="21" xfId="0" applyFont="1" applyFill="1" applyBorder="1"/>
    <xf numFmtId="0" fontId="3" fillId="8" borderId="22" xfId="0" applyFont="1" applyFill="1" applyBorder="1" applyAlignment="1">
      <alignment horizontal="center"/>
    </xf>
    <xf numFmtId="0" fontId="3" fillId="8" borderId="15" xfId="0" applyFont="1" applyFill="1" applyBorder="1" applyAlignment="1">
      <alignment horizontal="center"/>
    </xf>
    <xf numFmtId="0" fontId="0" fillId="8" borderId="15" xfId="0" applyFill="1" applyBorder="1"/>
    <xf numFmtId="2" fontId="0" fillId="8" borderId="15" xfId="0" applyNumberFormat="1" applyFill="1" applyBorder="1" applyAlignment="1">
      <alignment horizontal="center"/>
    </xf>
    <xf numFmtId="0" fontId="3" fillId="8" borderId="19" xfId="0" applyFont="1" applyFill="1" applyBorder="1"/>
    <xf numFmtId="0" fontId="0" fillId="8" borderId="22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1" fontId="0" fillId="8" borderId="15" xfId="0" applyNumberFormat="1" applyFill="1" applyBorder="1" applyAlignment="1">
      <alignment horizontal="center"/>
    </xf>
    <xf numFmtId="0" fontId="0" fillId="8" borderId="19" xfId="0" applyFill="1" applyBorder="1"/>
    <xf numFmtId="0" fontId="10" fillId="8" borderId="15" xfId="0" applyFont="1" applyFill="1" applyBorder="1"/>
    <xf numFmtId="0" fontId="3" fillId="8" borderId="15" xfId="0" applyFont="1" applyFill="1" applyBorder="1"/>
    <xf numFmtId="0" fontId="0" fillId="8" borderId="28" xfId="0" applyFill="1" applyBorder="1" applyAlignment="1">
      <alignment horizontal="center"/>
    </xf>
    <xf numFmtId="0" fontId="0" fillId="8" borderId="24" xfId="0" applyFill="1" applyBorder="1" applyAlignment="1">
      <alignment horizontal="center"/>
    </xf>
    <xf numFmtId="0" fontId="0" fillId="8" borderId="24" xfId="0" applyFill="1" applyBorder="1"/>
    <xf numFmtId="0" fontId="0" fillId="8" borderId="29" xfId="0" applyFill="1" applyBorder="1"/>
    <xf numFmtId="0" fontId="0" fillId="8" borderId="21" xfId="0" applyFill="1" applyBorder="1" applyAlignment="1">
      <alignment horizontal="center"/>
    </xf>
    <xf numFmtId="0" fontId="0" fillId="8" borderId="21" xfId="0" applyFill="1" applyBorder="1"/>
    <xf numFmtId="0" fontId="0" fillId="8" borderId="30" xfId="0" applyFill="1" applyBorder="1"/>
    <xf numFmtId="0" fontId="26" fillId="8" borderId="31" xfId="0" applyFont="1" applyFill="1" applyBorder="1"/>
    <xf numFmtId="0" fontId="3" fillId="8" borderId="31" xfId="0" applyFont="1" applyFill="1" applyBorder="1" applyAlignment="1">
      <alignment horizontal="center"/>
    </xf>
    <xf numFmtId="0" fontId="3" fillId="8" borderId="20" xfId="0" applyFont="1" applyFill="1" applyBorder="1" applyAlignment="1">
      <alignment horizontal="center"/>
    </xf>
    <xf numFmtId="0" fontId="0" fillId="8" borderId="20" xfId="0" applyFill="1" applyBorder="1"/>
    <xf numFmtId="2" fontId="0" fillId="8" borderId="20" xfId="0" applyNumberFormat="1" applyFill="1" applyBorder="1" applyAlignment="1">
      <alignment horizontal="center"/>
    </xf>
    <xf numFmtId="0" fontId="3" fillId="8" borderId="17" xfId="0" applyFont="1" applyFill="1" applyBorder="1"/>
    <xf numFmtId="0" fontId="26" fillId="0" borderId="32" xfId="0" applyFont="1" applyBorder="1" applyAlignment="1">
      <alignment vertical="top"/>
    </xf>
    <xf numFmtId="0" fontId="33" fillId="0" borderId="0" xfId="0" applyFont="1"/>
    <xf numFmtId="0" fontId="10" fillId="4" borderId="7" xfId="0" applyFont="1" applyFill="1" applyBorder="1" applyAlignment="1">
      <alignment horizontal="right" wrapText="1"/>
    </xf>
    <xf numFmtId="0" fontId="3" fillId="0" borderId="26" xfId="0" applyFont="1" applyBorder="1"/>
    <xf numFmtId="0" fontId="3" fillId="0" borderId="24" xfId="0" applyFont="1" applyBorder="1" applyAlignment="1">
      <alignment vertical="center"/>
    </xf>
    <xf numFmtId="0" fontId="3" fillId="0" borderId="24" xfId="0" applyFont="1" applyBorder="1" applyAlignment="1">
      <alignment horizontal="left" vertical="center"/>
    </xf>
    <xf numFmtId="0" fontId="3" fillId="0" borderId="15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3" fillId="0" borderId="35" xfId="0" applyFont="1" applyBorder="1"/>
    <xf numFmtId="0" fontId="3" fillId="0" borderId="28" xfId="0" applyFont="1" applyBorder="1" applyAlignment="1">
      <alignment horizontal="left" vertical="center"/>
    </xf>
    <xf numFmtId="0" fontId="26" fillId="3" borderId="14" xfId="0" applyFont="1" applyFill="1" applyBorder="1"/>
    <xf numFmtId="0" fontId="3" fillId="0" borderId="37" xfId="0" applyFont="1" applyBorder="1"/>
    <xf numFmtId="0" fontId="3" fillId="0" borderId="36" xfId="0" applyFont="1" applyBorder="1"/>
    <xf numFmtId="0" fontId="3" fillId="6" borderId="38" xfId="0" applyFont="1" applyFill="1" applyBorder="1"/>
    <xf numFmtId="0" fontId="3" fillId="6" borderId="39" xfId="0" applyFont="1" applyFill="1" applyBorder="1"/>
    <xf numFmtId="0" fontId="3" fillId="6" borderId="40" xfId="0" applyFont="1" applyFill="1" applyBorder="1"/>
    <xf numFmtId="0" fontId="0" fillId="3" borderId="14" xfId="0" applyFill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24" xfId="0" applyFont="1" applyBorder="1" applyAlignment="1">
      <alignment horizontal="center" vertical="top" wrapText="1"/>
    </xf>
    <xf numFmtId="0" fontId="9" fillId="0" borderId="15" xfId="0" applyFont="1" applyBorder="1" applyAlignment="1">
      <alignment horizontal="center" vertical="top" wrapText="1"/>
    </xf>
    <xf numFmtId="1" fontId="3" fillId="0" borderId="33" xfId="0" applyNumberFormat="1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1" fontId="3" fillId="0" borderId="34" xfId="0" applyNumberFormat="1" applyFont="1" applyBorder="1" applyAlignment="1">
      <alignment horizontal="center"/>
    </xf>
    <xf numFmtId="1" fontId="3" fillId="0" borderId="49" xfId="0" applyNumberFormat="1" applyFont="1" applyBorder="1" applyAlignment="1">
      <alignment horizontal="center"/>
    </xf>
    <xf numFmtId="1" fontId="9" fillId="0" borderId="33" xfId="0" applyNumberFormat="1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9" fillId="0" borderId="36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1" fontId="9" fillId="0" borderId="15" xfId="0" applyNumberFormat="1" applyFont="1" applyBorder="1" applyAlignment="1">
      <alignment horizontal="center"/>
    </xf>
    <xf numFmtId="1" fontId="3" fillId="0" borderId="25" xfId="0" applyNumberFormat="1" applyFont="1" applyBorder="1" applyAlignment="1">
      <alignment horizontal="center"/>
    </xf>
    <xf numFmtId="0" fontId="26" fillId="0" borderId="24" xfId="0" applyFont="1" applyBorder="1" applyAlignment="1">
      <alignment horizontal="left"/>
    </xf>
    <xf numFmtId="0" fontId="3" fillId="0" borderId="24" xfId="0" applyFont="1" applyBorder="1"/>
    <xf numFmtId="0" fontId="3" fillId="0" borderId="23" xfId="0" applyFont="1" applyBorder="1"/>
    <xf numFmtId="0" fontId="3" fillId="0" borderId="28" xfId="0" applyFont="1" applyBorder="1"/>
    <xf numFmtId="0" fontId="3" fillId="0" borderId="50" xfId="0" applyFont="1" applyBorder="1"/>
    <xf numFmtId="0" fontId="3" fillId="0" borderId="51" xfId="0" applyFont="1" applyBorder="1"/>
    <xf numFmtId="1" fontId="26" fillId="0" borderId="17" xfId="0" applyNumberFormat="1" applyFont="1" applyBorder="1" applyAlignment="1">
      <alignment horizontal="center"/>
    </xf>
    <xf numFmtId="1" fontId="26" fillId="0" borderId="19" xfId="0" applyNumberFormat="1" applyFont="1" applyBorder="1" applyAlignment="1">
      <alignment horizontal="center"/>
    </xf>
    <xf numFmtId="1" fontId="26" fillId="0" borderId="30" xfId="0" applyNumberFormat="1" applyFont="1" applyBorder="1" applyAlignment="1">
      <alignment horizontal="center"/>
    </xf>
    <xf numFmtId="0" fontId="26" fillId="0" borderId="17" xfId="0" applyFont="1" applyBorder="1"/>
    <xf numFmtId="0" fontId="26" fillId="0" borderId="19" xfId="0" applyFont="1" applyBorder="1"/>
    <xf numFmtId="0" fontId="26" fillId="0" borderId="29" xfId="0" applyFont="1" applyBorder="1"/>
    <xf numFmtId="0" fontId="3" fillId="0" borderId="17" xfId="0" applyFont="1" applyBorder="1"/>
    <xf numFmtId="0" fontId="3" fillId="0" borderId="19" xfId="0" applyFont="1" applyBorder="1"/>
    <xf numFmtId="0" fontId="3" fillId="0" borderId="29" xfId="0" applyFont="1" applyBorder="1"/>
    <xf numFmtId="0" fontId="22" fillId="0" borderId="0" xfId="0" applyFont="1" applyAlignment="1">
      <alignment horizontal="center" wrapText="1"/>
    </xf>
    <xf numFmtId="0" fontId="3" fillId="8" borderId="51" xfId="0" applyFont="1" applyFill="1" applyBorder="1" applyAlignment="1">
      <alignment horizontal="center"/>
    </xf>
    <xf numFmtId="0" fontId="3" fillId="8" borderId="23" xfId="0" applyFont="1" applyFill="1" applyBorder="1" applyAlignment="1">
      <alignment horizontal="center"/>
    </xf>
    <xf numFmtId="0" fontId="26" fillId="8" borderId="27" xfId="0" applyFont="1" applyFill="1" applyBorder="1"/>
    <xf numFmtId="0" fontId="1" fillId="8" borderId="21" xfId="0" applyFont="1" applyFill="1" applyBorder="1" applyAlignment="1">
      <alignment horizontal="center"/>
    </xf>
    <xf numFmtId="0" fontId="1" fillId="8" borderId="21" xfId="0" applyFont="1" applyFill="1" applyBorder="1"/>
    <xf numFmtId="0" fontId="1" fillId="8" borderId="30" xfId="0" applyFont="1" applyFill="1" applyBorder="1"/>
    <xf numFmtId="2" fontId="1" fillId="8" borderId="21" xfId="0" applyNumberFormat="1" applyFont="1" applyFill="1" applyBorder="1" applyAlignment="1">
      <alignment horizontal="center"/>
    </xf>
    <xf numFmtId="2" fontId="0" fillId="5" borderId="15" xfId="0" applyNumberFormat="1" applyFill="1" applyBorder="1" applyAlignment="1">
      <alignment horizontal="center"/>
    </xf>
    <xf numFmtId="2" fontId="0" fillId="8" borderId="15" xfId="0" quotePrefix="1" applyNumberFormat="1" applyFill="1" applyBorder="1" applyAlignment="1">
      <alignment horizontal="center"/>
    </xf>
    <xf numFmtId="2" fontId="0" fillId="3" borderId="15" xfId="0" applyNumberFormat="1" applyFill="1" applyBorder="1" applyAlignment="1">
      <alignment horizontal="center"/>
    </xf>
    <xf numFmtId="2" fontId="10" fillId="3" borderId="15" xfId="0" applyNumberFormat="1" applyFont="1" applyFill="1" applyBorder="1" applyAlignment="1">
      <alignment horizontal="center" vertical="top" wrapText="1"/>
    </xf>
    <xf numFmtId="2" fontId="26" fillId="3" borderId="15" xfId="0" applyNumberFormat="1" applyFont="1" applyFill="1" applyBorder="1" applyAlignment="1">
      <alignment horizontal="center" wrapText="1"/>
    </xf>
    <xf numFmtId="2" fontId="0" fillId="8" borderId="21" xfId="0" applyNumberFormat="1" applyFill="1" applyBorder="1" applyAlignment="1">
      <alignment horizontal="center"/>
    </xf>
    <xf numFmtId="1" fontId="0" fillId="8" borderId="24" xfId="0" applyNumberForma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165" fontId="1" fillId="0" borderId="25" xfId="0" applyNumberFormat="1" applyFont="1" applyBorder="1" applyAlignment="1">
      <alignment horizontal="center"/>
    </xf>
    <xf numFmtId="2" fontId="1" fillId="0" borderId="52" xfId="0" applyNumberFormat="1" applyFont="1" applyBorder="1" applyAlignment="1">
      <alignment horizontal="center"/>
    </xf>
    <xf numFmtId="0" fontId="50" fillId="6" borderId="15" xfId="0" applyFont="1" applyFill="1" applyBorder="1"/>
    <xf numFmtId="0" fontId="50" fillId="6" borderId="24" xfId="0" applyFont="1" applyFill="1" applyBorder="1"/>
    <xf numFmtId="0" fontId="1" fillId="0" borderId="4" xfId="0" applyFont="1" applyBorder="1"/>
    <xf numFmtId="0" fontId="22" fillId="0" borderId="15" xfId="0" applyFont="1" applyBorder="1"/>
    <xf numFmtId="0" fontId="23" fillId="0" borderId="15" xfId="0" applyFont="1" applyBorder="1"/>
    <xf numFmtId="0" fontId="0" fillId="6" borderId="23" xfId="0" applyFill="1" applyBorder="1"/>
    <xf numFmtId="0" fontId="1" fillId="0" borderId="51" xfId="0" applyFont="1" applyBorder="1"/>
    <xf numFmtId="0" fontId="1" fillId="0" borderId="20" xfId="0" applyFont="1" applyBorder="1"/>
    <xf numFmtId="0" fontId="1" fillId="0" borderId="20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3" xfId="0" applyFont="1" applyBorder="1"/>
    <xf numFmtId="0" fontId="9" fillId="0" borderId="40" xfId="0" applyFont="1" applyBorder="1" applyAlignment="1">
      <alignment horizontal="center"/>
    </xf>
    <xf numFmtId="0" fontId="1" fillId="0" borderId="53" xfId="0" applyFont="1" applyBorder="1" applyAlignment="1">
      <alignment horizontal="left"/>
    </xf>
    <xf numFmtId="9" fontId="5" fillId="0" borderId="0" xfId="0" applyNumberFormat="1" applyFont="1"/>
    <xf numFmtId="0" fontId="22" fillId="4" borderId="0" xfId="0" applyFont="1" applyFill="1" applyAlignment="1">
      <alignment horizontal="center"/>
    </xf>
    <xf numFmtId="0" fontId="25" fillId="4" borderId="0" xfId="0" applyFont="1" applyFill="1" applyAlignment="1">
      <alignment wrapText="1"/>
    </xf>
    <xf numFmtId="0" fontId="22" fillId="4" borderId="0" xfId="0" applyFont="1" applyFill="1"/>
    <xf numFmtId="0" fontId="22" fillId="4" borderId="0" xfId="0" applyFont="1" applyFill="1" applyAlignment="1">
      <alignment horizontal="center" wrapText="1"/>
    </xf>
    <xf numFmtId="0" fontId="24" fillId="4" borderId="0" xfId="0" applyFont="1" applyFill="1" applyAlignment="1">
      <alignment horizontal="center"/>
    </xf>
    <xf numFmtId="0" fontId="4" fillId="0" borderId="0" xfId="0" applyFont="1" applyAlignment="1">
      <alignment wrapText="1"/>
    </xf>
    <xf numFmtId="0" fontId="4" fillId="4" borderId="0" xfId="0" applyFont="1" applyFill="1" applyAlignment="1">
      <alignment wrapText="1"/>
    </xf>
    <xf numFmtId="0" fontId="4" fillId="4" borderId="0" xfId="0" applyFont="1" applyFill="1" applyAlignment="1">
      <alignment vertical="center" wrapText="1"/>
    </xf>
    <xf numFmtId="0" fontId="51" fillId="0" borderId="0" xfId="0" applyFont="1"/>
    <xf numFmtId="0" fontId="51" fillId="2" borderId="0" xfId="0" applyFont="1" applyFill="1"/>
    <xf numFmtId="0" fontId="32" fillId="0" borderId="0" xfId="0" applyFont="1"/>
    <xf numFmtId="0" fontId="26" fillId="3" borderId="24" xfId="0" applyFont="1" applyFill="1" applyBorder="1" applyAlignment="1">
      <alignment horizontal="center"/>
    </xf>
    <xf numFmtId="0" fontId="26" fillId="3" borderId="24" xfId="0" applyFont="1" applyFill="1" applyBorder="1" applyAlignment="1">
      <alignment horizontal="center" wrapText="1"/>
    </xf>
    <xf numFmtId="0" fontId="26" fillId="0" borderId="31" xfId="0" applyFont="1" applyBorder="1" applyAlignment="1">
      <alignment horizontal="center"/>
    </xf>
    <xf numFmtId="0" fontId="50" fillId="6" borderId="20" xfId="0" applyFont="1" applyFill="1" applyBorder="1"/>
    <xf numFmtId="0" fontId="50" fillId="6" borderId="20" xfId="0" applyFont="1" applyFill="1" applyBorder="1" applyAlignment="1">
      <alignment horizontal="center"/>
    </xf>
    <xf numFmtId="0" fontId="26" fillId="0" borderId="22" xfId="0" applyFont="1" applyBorder="1" applyAlignment="1">
      <alignment horizontal="center"/>
    </xf>
    <xf numFmtId="0" fontId="50" fillId="6" borderId="15" xfId="0" applyFont="1" applyFill="1" applyBorder="1" applyAlignment="1">
      <alignment horizontal="center"/>
    </xf>
    <xf numFmtId="0" fontId="26" fillId="0" borderId="55" xfId="0" applyFont="1" applyBorder="1" applyAlignment="1">
      <alignment horizontal="center"/>
    </xf>
    <xf numFmtId="0" fontId="50" fillId="6" borderId="21" xfId="0" applyFont="1" applyFill="1" applyBorder="1"/>
    <xf numFmtId="0" fontId="50" fillId="6" borderId="21" xfId="0" applyFont="1" applyFill="1" applyBorder="1" applyAlignment="1">
      <alignment horizontal="center"/>
    </xf>
    <xf numFmtId="0" fontId="26" fillId="0" borderId="33" xfId="0" applyFont="1" applyBorder="1" applyAlignment="1">
      <alignment horizontal="center"/>
    </xf>
    <xf numFmtId="0" fontId="50" fillId="6" borderId="33" xfId="0" applyFont="1" applyFill="1" applyBorder="1"/>
    <xf numFmtId="0" fontId="50" fillId="6" borderId="33" xfId="0" applyFont="1" applyFill="1" applyBorder="1" applyAlignment="1">
      <alignment horizontal="center"/>
    </xf>
    <xf numFmtId="0" fontId="26" fillId="0" borderId="56" xfId="0" applyFont="1" applyBorder="1" applyAlignment="1">
      <alignment horizontal="center"/>
    </xf>
    <xf numFmtId="0" fontId="50" fillId="6" borderId="56" xfId="0" applyFont="1" applyFill="1" applyBorder="1"/>
    <xf numFmtId="0" fontId="50" fillId="6" borderId="56" xfId="0" applyFont="1" applyFill="1" applyBorder="1" applyAlignment="1">
      <alignment horizontal="center"/>
    </xf>
    <xf numFmtId="0" fontId="26" fillId="0" borderId="34" xfId="0" applyFont="1" applyBorder="1" applyAlignment="1">
      <alignment horizontal="center"/>
    </xf>
    <xf numFmtId="0" fontId="50" fillId="6" borderId="34" xfId="0" applyFont="1" applyFill="1" applyBorder="1"/>
    <xf numFmtId="0" fontId="50" fillId="6" borderId="34" xfId="0" applyFont="1" applyFill="1" applyBorder="1" applyAlignment="1">
      <alignment horizontal="center"/>
    </xf>
    <xf numFmtId="0" fontId="26" fillId="0" borderId="36" xfId="0" applyFont="1" applyBorder="1" applyAlignment="1">
      <alignment horizontal="center"/>
    </xf>
    <xf numFmtId="0" fontId="50" fillId="6" borderId="36" xfId="0" applyFont="1" applyFill="1" applyBorder="1"/>
    <xf numFmtId="0" fontId="50" fillId="6" borderId="36" xfId="0" applyFont="1" applyFill="1" applyBorder="1" applyAlignment="1">
      <alignment horizontal="center"/>
    </xf>
    <xf numFmtId="0" fontId="26" fillId="0" borderId="51" xfId="0" applyFont="1" applyBorder="1" applyAlignment="1">
      <alignment horizontal="center"/>
    </xf>
    <xf numFmtId="0" fontId="50" fillId="6" borderId="23" xfId="0" applyFont="1" applyFill="1" applyBorder="1"/>
    <xf numFmtId="0" fontId="50" fillId="6" borderId="23" xfId="0" applyFont="1" applyFill="1" applyBorder="1" applyAlignment="1">
      <alignment horizontal="center"/>
    </xf>
    <xf numFmtId="0" fontId="26" fillId="0" borderId="28" xfId="0" applyFont="1" applyBorder="1" applyAlignment="1">
      <alignment horizontal="center"/>
    </xf>
    <xf numFmtId="0" fontId="50" fillId="6" borderId="24" xfId="0" applyFont="1" applyFill="1" applyBorder="1" applyAlignment="1">
      <alignment horizontal="center"/>
    </xf>
    <xf numFmtId="0" fontId="26" fillId="0" borderId="16" xfId="0" applyFont="1" applyBorder="1" applyAlignment="1">
      <alignment horizontal="center"/>
    </xf>
    <xf numFmtId="0" fontId="26" fillId="0" borderId="18" xfId="0" applyFont="1" applyBorder="1" applyAlignment="1">
      <alignment horizontal="center"/>
    </xf>
    <xf numFmtId="0" fontId="50" fillId="6" borderId="19" xfId="0" applyFont="1" applyFill="1" applyBorder="1" applyAlignment="1">
      <alignment horizontal="center"/>
    </xf>
    <xf numFmtId="0" fontId="26" fillId="0" borderId="27" xfId="0" applyFont="1" applyBorder="1" applyAlignment="1">
      <alignment horizontal="center"/>
    </xf>
    <xf numFmtId="0" fontId="50" fillId="6" borderId="30" xfId="0" applyFont="1" applyFill="1" applyBorder="1" applyAlignment="1">
      <alignment horizontal="center"/>
    </xf>
    <xf numFmtId="0" fontId="50" fillId="6" borderId="60" xfId="0" applyFont="1" applyFill="1" applyBorder="1" applyAlignment="1">
      <alignment horizontal="center"/>
    </xf>
    <xf numFmtId="0" fontId="50" fillId="6" borderId="28" xfId="0" applyFont="1" applyFill="1" applyBorder="1" applyAlignment="1">
      <alignment horizontal="center"/>
    </xf>
    <xf numFmtId="0" fontId="50" fillId="6" borderId="55" xfId="0" applyFont="1" applyFill="1" applyBorder="1" applyAlignment="1">
      <alignment horizontal="center"/>
    </xf>
    <xf numFmtId="0" fontId="30" fillId="3" borderId="28" xfId="0" applyFont="1" applyFill="1" applyBorder="1" applyAlignment="1">
      <alignment horizontal="center"/>
    </xf>
    <xf numFmtId="1" fontId="50" fillId="6" borderId="20" xfId="0" applyNumberFormat="1" applyFont="1" applyFill="1" applyBorder="1" applyAlignment="1">
      <alignment horizontal="center"/>
    </xf>
    <xf numFmtId="1" fontId="50" fillId="6" borderId="17" xfId="0" applyNumberFormat="1" applyFont="1" applyFill="1" applyBorder="1" applyAlignment="1">
      <alignment horizontal="center"/>
    </xf>
    <xf numFmtId="2" fontId="26" fillId="0" borderId="61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6" fillId="3" borderId="62" xfId="0" applyFont="1" applyFill="1" applyBorder="1" applyAlignment="1">
      <alignment horizontal="center" wrapText="1"/>
    </xf>
    <xf numFmtId="0" fontId="3" fillId="2" borderId="26" xfId="0" applyFont="1" applyFill="1" applyBorder="1"/>
    <xf numFmtId="0" fontId="1" fillId="0" borderId="22" xfId="0" applyFont="1" applyBorder="1" applyAlignment="1">
      <alignment horizontal="left"/>
    </xf>
    <xf numFmtId="0" fontId="18" fillId="0" borderId="0" xfId="0" applyFont="1"/>
    <xf numFmtId="1" fontId="10" fillId="0" borderId="0" xfId="0" applyNumberFormat="1" applyFont="1"/>
    <xf numFmtId="0" fontId="10" fillId="4" borderId="5" xfId="0" applyFont="1" applyFill="1" applyBorder="1" applyAlignment="1">
      <alignment vertical="center" wrapText="1"/>
    </xf>
    <xf numFmtId="1" fontId="9" fillId="0" borderId="1" xfId="0" applyNumberFormat="1" applyFont="1" applyBorder="1" applyAlignment="1">
      <alignment horizontal="right"/>
    </xf>
    <xf numFmtId="1" fontId="9" fillId="0" borderId="1" xfId="0" applyNumberFormat="1" applyFont="1" applyBorder="1"/>
    <xf numFmtId="0" fontId="1" fillId="0" borderId="15" xfId="0" applyFont="1" applyBorder="1"/>
    <xf numFmtId="0" fontId="1" fillId="0" borderId="21" xfId="0" applyFont="1" applyBorder="1"/>
    <xf numFmtId="0" fontId="1" fillId="0" borderId="33" xfId="0" applyFont="1" applyBorder="1"/>
    <xf numFmtId="0" fontId="3" fillId="10" borderId="22" xfId="0" applyFont="1" applyFill="1" applyBorder="1" applyAlignment="1">
      <alignment horizontal="left"/>
    </xf>
    <xf numFmtId="1" fontId="3" fillId="10" borderId="36" xfId="0" applyNumberFormat="1" applyFont="1" applyFill="1" applyBorder="1" applyAlignment="1">
      <alignment horizontal="center"/>
    </xf>
    <xf numFmtId="0" fontId="0" fillId="10" borderId="0" xfId="0" applyFill="1"/>
    <xf numFmtId="0" fontId="3" fillId="10" borderId="36" xfId="0" applyFont="1" applyFill="1" applyBorder="1" applyAlignment="1">
      <alignment wrapText="1"/>
    </xf>
    <xf numFmtId="0" fontId="3" fillId="10" borderId="0" xfId="0" applyFont="1" applyFill="1" applyAlignment="1">
      <alignment horizontal="center"/>
    </xf>
    <xf numFmtId="0" fontId="3" fillId="10" borderId="15" xfId="0" applyFont="1" applyFill="1" applyBorder="1"/>
    <xf numFmtId="0" fontId="3" fillId="10" borderId="39" xfId="0" applyFont="1" applyFill="1" applyBorder="1"/>
    <xf numFmtId="0" fontId="3" fillId="10" borderId="50" xfId="0" applyFont="1" applyFill="1" applyBorder="1"/>
    <xf numFmtId="0" fontId="3" fillId="10" borderId="35" xfId="0" applyFont="1" applyFill="1" applyBorder="1"/>
    <xf numFmtId="0" fontId="3" fillId="10" borderId="15" xfId="0" applyFont="1" applyFill="1" applyBorder="1" applyAlignment="1">
      <alignment horizontal="center"/>
    </xf>
    <xf numFmtId="0" fontId="1" fillId="10" borderId="15" xfId="0" applyFont="1" applyFill="1" applyBorder="1" applyAlignment="1">
      <alignment horizontal="center"/>
    </xf>
    <xf numFmtId="1" fontId="3" fillId="10" borderId="34" xfId="0" applyNumberFormat="1" applyFont="1" applyFill="1" applyBorder="1" applyAlignment="1">
      <alignment horizontal="center"/>
    </xf>
    <xf numFmtId="0" fontId="31" fillId="10" borderId="0" xfId="0" applyFont="1" applyFill="1"/>
    <xf numFmtId="0" fontId="3" fillId="10" borderId="34" xfId="0" applyFont="1" applyFill="1" applyBorder="1"/>
    <xf numFmtId="0" fontId="3" fillId="10" borderId="4" xfId="0" applyFont="1" applyFill="1" applyBorder="1" applyAlignment="1">
      <alignment wrapText="1"/>
    </xf>
    <xf numFmtId="0" fontId="3" fillId="10" borderId="15" xfId="0" applyFont="1" applyFill="1" applyBorder="1" applyAlignment="1">
      <alignment horizontal="left"/>
    </xf>
    <xf numFmtId="0" fontId="3" fillId="10" borderId="26" xfId="0" applyFont="1" applyFill="1" applyBorder="1"/>
    <xf numFmtId="1" fontId="9" fillId="10" borderId="15" xfId="0" applyNumberFormat="1" applyFont="1" applyFill="1" applyBorder="1" applyAlignment="1">
      <alignment horizontal="center"/>
    </xf>
    <xf numFmtId="0" fontId="3" fillId="10" borderId="5" xfId="0" applyFont="1" applyFill="1" applyBorder="1"/>
    <xf numFmtId="0" fontId="1" fillId="0" borderId="34" xfId="0" applyFont="1" applyBorder="1"/>
    <xf numFmtId="0" fontId="1" fillId="0" borderId="35" xfId="0" applyFont="1" applyBorder="1"/>
    <xf numFmtId="0" fontId="26" fillId="0" borderId="46" xfId="0" applyFont="1" applyBorder="1" applyAlignment="1">
      <alignment horizontal="center"/>
    </xf>
    <xf numFmtId="0" fontId="26" fillId="0" borderId="47" xfId="0" applyFont="1" applyBorder="1" applyAlignment="1">
      <alignment horizontal="center"/>
    </xf>
    <xf numFmtId="0" fontId="26" fillId="0" borderId="48" xfId="0" applyFont="1" applyBorder="1" applyAlignment="1">
      <alignment horizontal="center"/>
    </xf>
    <xf numFmtId="0" fontId="26" fillId="0" borderId="37" xfId="0" applyFont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/>
    </xf>
    <xf numFmtId="0" fontId="26" fillId="0" borderId="58" xfId="0" applyFont="1" applyBorder="1" applyAlignment="1">
      <alignment horizontal="center" vertical="center"/>
    </xf>
    <xf numFmtId="0" fontId="26" fillId="0" borderId="59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0" borderId="54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2" fontId="26" fillId="0" borderId="17" xfId="0" applyNumberFormat="1" applyFont="1" applyBorder="1" applyAlignment="1">
      <alignment horizontal="center" vertical="center"/>
    </xf>
    <xf numFmtId="0" fontId="26" fillId="8" borderId="44" xfId="0" applyFont="1" applyFill="1" applyBorder="1" applyAlignment="1">
      <alignment horizontal="center" vertical="center" wrapText="1"/>
    </xf>
    <xf numFmtId="0" fontId="26" fillId="8" borderId="26" xfId="0" applyFont="1" applyFill="1" applyBorder="1" applyAlignment="1">
      <alignment horizontal="center" vertical="center" wrapText="1"/>
    </xf>
    <xf numFmtId="0" fontId="26" fillId="8" borderId="45" xfId="0" applyFont="1" applyFill="1" applyBorder="1" applyAlignment="1">
      <alignment horizontal="center" vertical="center" wrapText="1"/>
    </xf>
    <xf numFmtId="0" fontId="26" fillId="8" borderId="41" xfId="0" applyFont="1" applyFill="1" applyBorder="1" applyAlignment="1">
      <alignment horizontal="center" vertical="center" wrapText="1"/>
    </xf>
    <xf numFmtId="0" fontId="26" fillId="8" borderId="42" xfId="0" applyFont="1" applyFill="1" applyBorder="1" applyAlignment="1">
      <alignment horizontal="center" vertical="center" wrapText="1"/>
    </xf>
    <xf numFmtId="0" fontId="26" fillId="8" borderId="43" xfId="0" applyFont="1" applyFill="1" applyBorder="1" applyAlignment="1">
      <alignment horizontal="center" vertical="center" wrapText="1"/>
    </xf>
    <xf numFmtId="0" fontId="26" fillId="0" borderId="41" xfId="0" applyFont="1" applyBorder="1" applyAlignment="1">
      <alignment horizontal="center" vertical="center"/>
    </xf>
    <xf numFmtId="0" fontId="26" fillId="0" borderId="42" xfId="0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wrapText="1"/>
    </xf>
    <xf numFmtId="17" fontId="30" fillId="0" borderId="38" xfId="0" applyNumberFormat="1" applyFont="1" applyBorder="1" applyAlignment="1">
      <alignment horizontal="center" vertical="center" wrapText="1"/>
    </xf>
    <xf numFmtId="17" fontId="30" fillId="0" borderId="39" xfId="0" applyNumberFormat="1" applyFont="1" applyBorder="1" applyAlignment="1">
      <alignment horizontal="center" vertical="center" wrapText="1"/>
    </xf>
    <xf numFmtId="17" fontId="30" fillId="0" borderId="40" xfId="0" applyNumberFormat="1" applyFont="1" applyBorder="1" applyAlignment="1">
      <alignment horizontal="center" vertical="center" wrapText="1"/>
    </xf>
    <xf numFmtId="0" fontId="30" fillId="0" borderId="24" xfId="0" applyFont="1" applyBorder="1" applyAlignment="1">
      <alignment horizontal="center" vertical="center" wrapText="1"/>
    </xf>
    <xf numFmtId="0" fontId="30" fillId="0" borderId="26" xfId="0" applyFont="1" applyBorder="1" applyAlignment="1">
      <alignment horizontal="center" vertical="center" wrapText="1"/>
    </xf>
    <xf numFmtId="0" fontId="30" fillId="0" borderId="23" xfId="0" applyFont="1" applyBorder="1" applyAlignment="1">
      <alignment horizontal="center" vertical="center" wrapText="1"/>
    </xf>
    <xf numFmtId="0" fontId="43" fillId="0" borderId="0" xfId="0" applyFont="1" applyAlignment="1">
      <alignment horizontal="center"/>
    </xf>
    <xf numFmtId="0" fontId="49" fillId="0" borderId="1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9" fillId="9" borderId="0" xfId="0" applyFont="1" applyFill="1" applyAlignment="1">
      <alignment horizontal="center"/>
    </xf>
    <xf numFmtId="0" fontId="23" fillId="0" borderId="46" xfId="0" applyFont="1" applyBorder="1" applyAlignment="1">
      <alignment horizontal="center"/>
    </xf>
    <xf numFmtId="0" fontId="23" fillId="0" borderId="47" xfId="0" applyFont="1" applyBorder="1" applyAlignment="1">
      <alignment horizontal="center"/>
    </xf>
    <xf numFmtId="0" fontId="23" fillId="0" borderId="48" xfId="0" applyFont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0" fontId="4" fillId="0" borderId="0" xfId="0" applyFont="1" applyAlignment="1">
      <alignment horizontal="center" wrapText="1"/>
    </xf>
    <xf numFmtId="0" fontId="22" fillId="0" borderId="0" xfId="0" applyFont="1" applyAlignment="1">
      <alignment horizontal="center"/>
    </xf>
    <xf numFmtId="0" fontId="4" fillId="4" borderId="0" xfId="0" applyFont="1" applyFill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22" fillId="0" borderId="0" xfId="0" applyFont="1" applyAlignment="1">
      <alignment horizontal="right"/>
    </xf>
    <xf numFmtId="0" fontId="4" fillId="0" borderId="14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0" xfId="0" applyFont="1" applyAlignment="1">
      <alignment horizontal="center" wrapText="1"/>
    </xf>
    <xf numFmtId="0" fontId="1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1" xfId="0" applyFont="1" applyBorder="1" applyAlignment="1">
      <alignment horizontal="left"/>
    </xf>
    <xf numFmtId="0" fontId="36" fillId="0" borderId="14" xfId="0" applyFont="1" applyBorder="1" applyAlignment="1">
      <alignment horizontal="center"/>
    </xf>
    <xf numFmtId="0" fontId="51" fillId="2" borderId="0" xfId="0" applyFont="1" applyFill="1" applyAlignment="1">
      <alignment horizontal="left"/>
    </xf>
    <xf numFmtId="0" fontId="10" fillId="0" borderId="14" xfId="0" applyFont="1" applyBorder="1" applyAlignment="1">
      <alignment horizontal="right"/>
    </xf>
    <xf numFmtId="0" fontId="20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51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4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wrapText="1"/>
    </xf>
    <xf numFmtId="0" fontId="4" fillId="0" borderId="0" xfId="0" applyFont="1" applyAlignment="1" applyProtection="1">
      <alignment horizontal="center"/>
    </xf>
    <xf numFmtId="0" fontId="5" fillId="0" borderId="0" xfId="0" applyFont="1" applyProtection="1"/>
    <xf numFmtId="0" fontId="4" fillId="9" borderId="0" xfId="0" applyFont="1" applyFill="1" applyAlignment="1" applyProtection="1">
      <alignment horizontal="center"/>
    </xf>
    <xf numFmtId="0" fontId="43" fillId="0" borderId="0" xfId="0" applyFont="1" applyAlignment="1" applyProtection="1">
      <alignment horizontal="center"/>
    </xf>
    <xf numFmtId="0" fontId="4" fillId="2" borderId="14" xfId="0" applyFont="1" applyFill="1" applyBorder="1" applyAlignment="1" applyProtection="1">
      <alignment horizontal="center"/>
    </xf>
    <xf numFmtId="0" fontId="4" fillId="4" borderId="5" xfId="0" applyFont="1" applyFill="1" applyBorder="1" applyAlignment="1" applyProtection="1">
      <alignment vertical="center"/>
    </xf>
    <xf numFmtId="1" fontId="4" fillId="4" borderId="5" xfId="0" applyNumberFormat="1" applyFont="1" applyFill="1" applyBorder="1" applyAlignment="1" applyProtection="1">
      <alignment vertical="center"/>
    </xf>
    <xf numFmtId="17" fontId="4" fillId="4" borderId="5" xfId="0" applyNumberFormat="1" applyFont="1" applyFill="1" applyBorder="1" applyAlignment="1" applyProtection="1">
      <alignment horizontal="center" vertical="center"/>
    </xf>
    <xf numFmtId="0" fontId="4" fillId="4" borderId="6" xfId="0" applyFont="1" applyFill="1" applyBorder="1" applyAlignment="1" applyProtection="1">
      <alignment vertical="center"/>
    </xf>
    <xf numFmtId="0" fontId="4" fillId="4" borderId="6" xfId="0" applyFont="1" applyFill="1" applyBorder="1" applyAlignment="1" applyProtection="1">
      <alignment vertical="center"/>
    </xf>
    <xf numFmtId="0" fontId="4" fillId="4" borderId="6" xfId="0" applyFont="1" applyFill="1" applyBorder="1" applyAlignment="1" applyProtection="1">
      <alignment horizontal="center" vertical="center" wrapText="1"/>
    </xf>
    <xf numFmtId="0" fontId="4" fillId="4" borderId="6" xfId="0" applyFont="1" applyFill="1" applyBorder="1" applyAlignment="1" applyProtection="1">
      <alignment horizontal="center" vertical="center"/>
    </xf>
    <xf numFmtId="0" fontId="4" fillId="0" borderId="0" xfId="0" applyFont="1" applyProtection="1"/>
    <xf numFmtId="0" fontId="48" fillId="0" borderId="0" xfId="0" applyFont="1" applyAlignment="1" applyProtection="1">
      <alignment horizontal="center" wrapText="1"/>
    </xf>
    <xf numFmtId="0" fontId="33" fillId="0" borderId="0" xfId="0" applyFont="1" applyProtection="1"/>
    <xf numFmtId="0" fontId="4" fillId="0" borderId="0" xfId="0" applyFont="1" applyAlignment="1" applyProtection="1">
      <alignment horizontal="right"/>
    </xf>
    <xf numFmtId="1" fontId="5" fillId="0" borderId="0" xfId="0" applyNumberFormat="1" applyFont="1" applyProtection="1"/>
    <xf numFmtId="1" fontId="5" fillId="0" borderId="0" xfId="0" applyNumberFormat="1" applyFont="1" applyAlignment="1" applyProtection="1">
      <alignment horizontal="right"/>
    </xf>
    <xf numFmtId="0" fontId="0" fillId="0" borderId="0" xfId="0" applyProtection="1"/>
    <xf numFmtId="0" fontId="47" fillId="0" borderId="0" xfId="0" applyFont="1" applyProtection="1"/>
    <xf numFmtId="0" fontId="23" fillId="0" borderId="0" xfId="0" applyFont="1" applyProtection="1"/>
    <xf numFmtId="2" fontId="23" fillId="0" borderId="0" xfId="0" applyNumberFormat="1" applyFont="1" applyAlignment="1" applyProtection="1">
      <alignment horizontal="right"/>
    </xf>
    <xf numFmtId="1" fontId="23" fillId="0" borderId="0" xfId="0" applyNumberFormat="1" applyFont="1" applyProtection="1"/>
    <xf numFmtId="2" fontId="23" fillId="0" borderId="0" xfId="0" applyNumberFormat="1" applyFont="1" applyProtection="1"/>
    <xf numFmtId="0" fontId="5" fillId="0" borderId="1" xfId="0" applyFont="1" applyBorder="1" applyProtection="1"/>
    <xf numFmtId="0" fontId="5" fillId="0" borderId="8" xfId="0" applyFont="1" applyBorder="1" applyAlignment="1" applyProtection="1">
      <alignment horizontal="center" wrapText="1"/>
    </xf>
    <xf numFmtId="0" fontId="5" fillId="0" borderId="9" xfId="0" applyFont="1" applyBorder="1" applyAlignment="1" applyProtection="1">
      <alignment horizontal="center" wrapText="1"/>
    </xf>
    <xf numFmtId="0" fontId="5" fillId="0" borderId="10" xfId="0" applyFont="1" applyBorder="1" applyAlignment="1" applyProtection="1">
      <alignment horizontal="center" wrapText="1"/>
    </xf>
    <xf numFmtId="0" fontId="5" fillId="0" borderId="12" xfId="0" applyFont="1" applyBorder="1" applyAlignment="1" applyProtection="1">
      <alignment horizontal="center" wrapText="1"/>
    </xf>
    <xf numFmtId="0" fontId="5" fillId="0" borderId="1" xfId="0" applyFont="1" applyBorder="1" applyAlignment="1" applyProtection="1">
      <alignment horizontal="center" wrapText="1"/>
    </xf>
    <xf numFmtId="0" fontId="5" fillId="0" borderId="13" xfId="0" applyFont="1" applyBorder="1" applyAlignment="1" applyProtection="1">
      <alignment horizontal="center" wrapText="1"/>
    </xf>
    <xf numFmtId="0" fontId="29" fillId="0" borderId="0" xfId="0" applyFont="1" applyAlignment="1" applyProtection="1">
      <alignment horizontal="center"/>
    </xf>
    <xf numFmtId="0" fontId="29" fillId="9" borderId="0" xfId="0" applyFont="1" applyFill="1" applyProtection="1"/>
    <xf numFmtId="1" fontId="5" fillId="0" borderId="0" xfId="0" applyNumberFormat="1" applyFont="1" applyProtection="1">
      <protection locked="0"/>
    </xf>
    <xf numFmtId="1" fontId="5" fillId="0" borderId="0" xfId="0" applyNumberFormat="1" applyFont="1" applyAlignment="1" applyProtection="1">
      <alignment horizontal="right"/>
      <protection locked="0"/>
    </xf>
    <xf numFmtId="0" fontId="5" fillId="0" borderId="0" xfId="0" applyFont="1" applyAlignment="1" applyProtection="1">
      <alignment horizontal="right"/>
      <protection locked="0"/>
    </xf>
    <xf numFmtId="0" fontId="5" fillId="0" borderId="0" xfId="0" applyFont="1" applyProtection="1">
      <protection locked="0"/>
    </xf>
    <xf numFmtId="2" fontId="23" fillId="0" borderId="0" xfId="0" applyNumberFormat="1" applyFont="1" applyProtection="1">
      <protection locked="0"/>
    </xf>
    <xf numFmtId="1" fontId="23" fillId="0" borderId="0" xfId="0" applyNumberFormat="1" applyFo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868905</xdr:colOff>
      <xdr:row>2</xdr:row>
      <xdr:rowOff>160469</xdr:rowOff>
    </xdr:from>
    <xdr:to>
      <xdr:col>1</xdr:col>
      <xdr:colOff>407449</xdr:colOff>
      <xdr:row>67</xdr:row>
      <xdr:rowOff>5</xdr:rowOff>
    </xdr:to>
    <xdr:sp macro="" textlink="">
      <xdr:nvSpPr>
        <xdr:cNvPr id="3" name="Left Brace 2">
          <a:extLst>
            <a:ext uri="{FF2B5EF4-FFF2-40B4-BE49-F238E27FC236}">
              <a16:creationId xmlns:a16="http://schemas.microsoft.com/office/drawing/2014/main" id="{C5C1A979-DADA-D625-0D4B-D2910E238087}"/>
            </a:ext>
          </a:extLst>
        </xdr:cNvPr>
        <xdr:cNvSpPr/>
      </xdr:nvSpPr>
      <xdr:spPr>
        <a:xfrm>
          <a:off x="846045" y="930089"/>
          <a:ext cx="913280" cy="11317940"/>
        </a:xfrm>
        <a:prstGeom prst="leftBrac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12</xdr:col>
      <xdr:colOff>152400</xdr:colOff>
      <xdr:row>21</xdr:row>
      <xdr:rowOff>0</xdr:rowOff>
    </xdr:from>
    <xdr:to>
      <xdr:col>18</xdr:col>
      <xdr:colOff>2017</xdr:colOff>
      <xdr:row>48</xdr:row>
      <xdr:rowOff>106680</xdr:rowOff>
    </xdr:to>
    <xdr:pic>
      <xdr:nvPicPr>
        <xdr:cNvPr id="3199" name="Picture 19" descr="C:\Users\Admin\Desktop\Project reports\Computax PL BS pics\PL v A &amp; Pr.jpg">
          <a:extLst>
            <a:ext uri="{FF2B5EF4-FFF2-40B4-BE49-F238E27FC236}">
              <a16:creationId xmlns:a16="http://schemas.microsoft.com/office/drawing/2014/main" id="{1E1A5783-3612-B14E-D717-D613918E0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16260" y="4099560"/>
          <a:ext cx="5349240" cy="487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137160</xdr:colOff>
      <xdr:row>47</xdr:row>
      <xdr:rowOff>121920</xdr:rowOff>
    </xdr:from>
    <xdr:to>
      <xdr:col>18</xdr:col>
      <xdr:colOff>30480</xdr:colOff>
      <xdr:row>72</xdr:row>
      <xdr:rowOff>114300</xdr:rowOff>
    </xdr:to>
    <xdr:pic>
      <xdr:nvPicPr>
        <xdr:cNvPr id="3200" name="Picture 20" descr="C:\Users\Admin\Desktop\Project reports\Computax PL BS pics\BS vertical A &amp; Pr.jpg">
          <a:extLst>
            <a:ext uri="{FF2B5EF4-FFF2-40B4-BE49-F238E27FC236}">
              <a16:creationId xmlns:a16="http://schemas.microsoft.com/office/drawing/2014/main" id="{1559E36F-A710-5686-F064-591E9DAFC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01020" y="8808720"/>
          <a:ext cx="5402580" cy="4442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57150</xdr:colOff>
      <xdr:row>22</xdr:row>
      <xdr:rowOff>64770</xdr:rowOff>
    </xdr:from>
    <xdr:to>
      <xdr:col>11</xdr:col>
      <xdr:colOff>19050</xdr:colOff>
      <xdr:row>66</xdr:row>
      <xdr:rowOff>171450</xdr:rowOff>
    </xdr:to>
    <xdr:sp macro="" textlink="">
      <xdr:nvSpPr>
        <xdr:cNvPr id="6" name="Right Brace 5">
          <a:extLst>
            <a:ext uri="{FF2B5EF4-FFF2-40B4-BE49-F238E27FC236}">
              <a16:creationId xmlns:a16="http://schemas.microsoft.com/office/drawing/2014/main" id="{48BAF4AE-55D9-F8AA-A73C-DEAB98E42A64}"/>
            </a:ext>
          </a:extLst>
        </xdr:cNvPr>
        <xdr:cNvSpPr/>
      </xdr:nvSpPr>
      <xdr:spPr>
        <a:xfrm>
          <a:off x="16287750" y="3933825"/>
          <a:ext cx="504825" cy="797242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868905</xdr:colOff>
      <xdr:row>2</xdr:row>
      <xdr:rowOff>160469</xdr:rowOff>
    </xdr:from>
    <xdr:to>
      <xdr:col>1</xdr:col>
      <xdr:colOff>407449</xdr:colOff>
      <xdr:row>67</xdr:row>
      <xdr:rowOff>5</xdr:rowOff>
    </xdr:to>
    <xdr:sp macro="" textlink="">
      <xdr:nvSpPr>
        <xdr:cNvPr id="2" name="Left Brace 1">
          <a:extLst>
            <a:ext uri="{FF2B5EF4-FFF2-40B4-BE49-F238E27FC236}">
              <a16:creationId xmlns:a16="http://schemas.microsoft.com/office/drawing/2014/main" id="{0EA33AFF-3CCF-48CE-95E0-B0A6510916A7}"/>
            </a:ext>
          </a:extLst>
        </xdr:cNvPr>
        <xdr:cNvSpPr/>
      </xdr:nvSpPr>
      <xdr:spPr>
        <a:xfrm>
          <a:off x="868905" y="930089"/>
          <a:ext cx="940624" cy="11391456"/>
        </a:xfrm>
        <a:prstGeom prst="leftBrac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12</xdr:col>
      <xdr:colOff>152400</xdr:colOff>
      <xdr:row>21</xdr:row>
      <xdr:rowOff>0</xdr:rowOff>
    </xdr:from>
    <xdr:to>
      <xdr:col>18</xdr:col>
      <xdr:colOff>2017</xdr:colOff>
      <xdr:row>48</xdr:row>
      <xdr:rowOff>106680</xdr:rowOff>
    </xdr:to>
    <xdr:pic>
      <xdr:nvPicPr>
        <xdr:cNvPr id="4" name="Picture 19" descr="C:\Users\Admin\Desktop\Project reports\Computax PL BS pics\PL v A &amp; Pr.jpg">
          <a:extLst>
            <a:ext uri="{FF2B5EF4-FFF2-40B4-BE49-F238E27FC236}">
              <a16:creationId xmlns:a16="http://schemas.microsoft.com/office/drawing/2014/main" id="{C508030D-8953-4683-82D5-CC78E3C08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16260" y="4099560"/>
          <a:ext cx="5349240" cy="487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137160</xdr:colOff>
      <xdr:row>47</xdr:row>
      <xdr:rowOff>121920</xdr:rowOff>
    </xdr:from>
    <xdr:to>
      <xdr:col>18</xdr:col>
      <xdr:colOff>30480</xdr:colOff>
      <xdr:row>72</xdr:row>
      <xdr:rowOff>114300</xdr:rowOff>
    </xdr:to>
    <xdr:pic>
      <xdr:nvPicPr>
        <xdr:cNvPr id="5" name="Picture 20" descr="C:\Users\Admin\Desktop\Project reports\Computax PL BS pics\BS vertical A &amp; Pr.jpg">
          <a:extLst>
            <a:ext uri="{FF2B5EF4-FFF2-40B4-BE49-F238E27FC236}">
              <a16:creationId xmlns:a16="http://schemas.microsoft.com/office/drawing/2014/main" id="{54A2AA56-495A-465C-8529-371D8B82A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01020" y="8808720"/>
          <a:ext cx="5402580" cy="4442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57150</xdr:colOff>
      <xdr:row>22</xdr:row>
      <xdr:rowOff>64770</xdr:rowOff>
    </xdr:from>
    <xdr:to>
      <xdr:col>11</xdr:col>
      <xdr:colOff>19050</xdr:colOff>
      <xdr:row>66</xdr:row>
      <xdr:rowOff>171450</xdr:rowOff>
    </xdr:to>
    <xdr:sp macro="" textlink="">
      <xdr:nvSpPr>
        <xdr:cNvPr id="7" name="Right Brace 6">
          <a:extLst>
            <a:ext uri="{FF2B5EF4-FFF2-40B4-BE49-F238E27FC236}">
              <a16:creationId xmlns:a16="http://schemas.microsoft.com/office/drawing/2014/main" id="{4D9CEF85-8CDE-44AE-8F66-9D4D55199115}"/>
            </a:ext>
          </a:extLst>
        </xdr:cNvPr>
        <xdr:cNvSpPr/>
      </xdr:nvSpPr>
      <xdr:spPr>
        <a:xfrm>
          <a:off x="20539710" y="4331970"/>
          <a:ext cx="518160" cy="797814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1166812</xdr:colOff>
      <xdr:row>87</xdr:row>
      <xdr:rowOff>604840</xdr:rowOff>
    </xdr:from>
    <xdr:to>
      <xdr:col>6</xdr:col>
      <xdr:colOff>1747046</xdr:colOff>
      <xdr:row>88</xdr:row>
      <xdr:rowOff>530502</xdr:rowOff>
    </xdr:to>
    <xdr:sp macro="" textlink="">
      <xdr:nvSpPr>
        <xdr:cNvPr id="8" name="Right Brace 7">
          <a:extLst>
            <a:ext uri="{FF2B5EF4-FFF2-40B4-BE49-F238E27FC236}">
              <a16:creationId xmlns:a16="http://schemas.microsoft.com/office/drawing/2014/main" id="{5F2B0CC0-51BB-760E-0115-E1C8621D9A69}"/>
            </a:ext>
          </a:extLst>
        </xdr:cNvPr>
        <xdr:cNvSpPr/>
      </xdr:nvSpPr>
      <xdr:spPr>
        <a:xfrm rot="5400000">
          <a:off x="8048295" y="40691132"/>
          <a:ext cx="560901" cy="8399318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1271587</xdr:colOff>
      <xdr:row>99</xdr:row>
      <xdr:rowOff>495303</xdr:rowOff>
    </xdr:from>
    <xdr:to>
      <xdr:col>6</xdr:col>
      <xdr:colOff>1851821</xdr:colOff>
      <xdr:row>101</xdr:row>
      <xdr:rowOff>127517</xdr:rowOff>
    </xdr:to>
    <xdr:sp macro="" textlink="">
      <xdr:nvSpPr>
        <xdr:cNvPr id="9" name="Right Brace 8">
          <a:extLst>
            <a:ext uri="{FF2B5EF4-FFF2-40B4-BE49-F238E27FC236}">
              <a16:creationId xmlns:a16="http://schemas.microsoft.com/office/drawing/2014/main" id="{E22BFB71-6A57-C6E8-03AD-B6F1149AB8BE}"/>
            </a:ext>
          </a:extLst>
        </xdr:cNvPr>
        <xdr:cNvSpPr/>
      </xdr:nvSpPr>
      <xdr:spPr>
        <a:xfrm rot="5400000">
          <a:off x="8153070" y="46177533"/>
          <a:ext cx="560901" cy="8399318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1545907</xdr:colOff>
      <xdr:row>56</xdr:row>
      <xdr:rowOff>223837</xdr:rowOff>
    </xdr:from>
    <xdr:to>
      <xdr:col>5</xdr:col>
      <xdr:colOff>622980</xdr:colOff>
      <xdr:row>56</xdr:row>
      <xdr:rowOff>541851</xdr:rowOff>
    </xdr:to>
    <xdr:sp macro="" textlink="">
      <xdr:nvSpPr>
        <xdr:cNvPr id="16" name="Right Brace 15">
          <a:extLst>
            <a:ext uri="{FF2B5EF4-FFF2-40B4-BE49-F238E27FC236}">
              <a16:creationId xmlns:a16="http://schemas.microsoft.com/office/drawing/2014/main" id="{A0944443-DF8D-2934-C019-DFB468D2187D}"/>
            </a:ext>
          </a:extLst>
        </xdr:cNvPr>
        <xdr:cNvSpPr/>
      </xdr:nvSpPr>
      <xdr:spPr>
        <a:xfrm rot="5400000">
          <a:off x="10392312" y="27002838"/>
          <a:ext cx="318014" cy="2338388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2"/>
  <sheetViews>
    <sheetView topLeftCell="A24" zoomScale="80" zoomScaleNormal="85" workbookViewId="0">
      <selection activeCell="C32" sqref="C32"/>
    </sheetView>
  </sheetViews>
  <sheetFormatPr defaultRowHeight="13.2" x14ac:dyDescent="0.25"/>
  <cols>
    <col min="1" max="1" width="20.44140625" customWidth="1"/>
    <col min="2" max="2" width="14.44140625" customWidth="1"/>
    <col min="3" max="3" width="65.5546875" style="92" customWidth="1"/>
    <col min="4" max="4" width="33.44140625" style="103" customWidth="1"/>
    <col min="5" max="5" width="13.21875" style="103" customWidth="1"/>
    <col min="6" max="6" width="57.21875" style="103" bestFit="1" customWidth="1"/>
    <col min="7" max="7" width="19.77734375" style="103" customWidth="1"/>
    <col min="8" max="8" width="14.77734375" customWidth="1"/>
    <col min="9" max="9" width="34.77734375" style="103" customWidth="1"/>
    <col min="10" max="10" width="24.77734375" customWidth="1"/>
    <col min="11" max="11" width="8.21875" customWidth="1"/>
    <col min="12" max="12" width="32.44140625" customWidth="1"/>
    <col min="13" max="13" width="10.77734375" customWidth="1"/>
    <col min="14" max="14" width="13.5546875" customWidth="1"/>
    <col min="15" max="15" width="19.21875" customWidth="1"/>
    <col min="16" max="16" width="12.77734375" customWidth="1"/>
    <col min="17" max="17" width="11.21875" customWidth="1"/>
    <col min="18" max="18" width="13" customWidth="1"/>
    <col min="19" max="20" width="15.5546875" bestFit="1" customWidth="1"/>
    <col min="21" max="21" width="11.5546875" bestFit="1" customWidth="1"/>
    <col min="257" max="257" width="20.44140625" customWidth="1"/>
    <col min="258" max="258" width="14.44140625" customWidth="1"/>
    <col min="259" max="259" width="65.5546875" customWidth="1"/>
    <col min="260" max="260" width="33.44140625" customWidth="1"/>
    <col min="261" max="261" width="13.21875" customWidth="1"/>
    <col min="262" max="262" width="57.21875" bestFit="1" customWidth="1"/>
    <col min="263" max="263" width="19.77734375" customWidth="1"/>
    <col min="264" max="264" width="14.77734375" customWidth="1"/>
    <col min="265" max="265" width="34.77734375" customWidth="1"/>
    <col min="266" max="266" width="24.77734375" customWidth="1"/>
    <col min="267" max="267" width="8.21875" customWidth="1"/>
    <col min="268" max="268" width="32.44140625" customWidth="1"/>
    <col min="269" max="269" width="10.77734375" customWidth="1"/>
    <col min="270" max="270" width="13.5546875" customWidth="1"/>
    <col min="271" max="271" width="19.21875" customWidth="1"/>
    <col min="272" max="272" width="12.77734375" customWidth="1"/>
    <col min="273" max="273" width="11.21875" customWidth="1"/>
    <col min="274" max="274" width="13" customWidth="1"/>
    <col min="275" max="276" width="15.5546875" bestFit="1" customWidth="1"/>
    <col min="277" max="277" width="11.5546875" bestFit="1" customWidth="1"/>
    <col min="513" max="513" width="20.44140625" customWidth="1"/>
    <col min="514" max="514" width="14.44140625" customWidth="1"/>
    <col min="515" max="515" width="65.5546875" customWidth="1"/>
    <col min="516" max="516" width="33.44140625" customWidth="1"/>
    <col min="517" max="517" width="13.21875" customWidth="1"/>
    <col min="518" max="518" width="57.21875" bestFit="1" customWidth="1"/>
    <col min="519" max="519" width="19.77734375" customWidth="1"/>
    <col min="520" max="520" width="14.77734375" customWidth="1"/>
    <col min="521" max="521" width="34.77734375" customWidth="1"/>
    <col min="522" max="522" width="24.77734375" customWidth="1"/>
    <col min="523" max="523" width="8.21875" customWidth="1"/>
    <col min="524" max="524" width="32.44140625" customWidth="1"/>
    <col min="525" max="525" width="10.77734375" customWidth="1"/>
    <col min="526" max="526" width="13.5546875" customWidth="1"/>
    <col min="527" max="527" width="19.21875" customWidth="1"/>
    <col min="528" max="528" width="12.77734375" customWidth="1"/>
    <col min="529" max="529" width="11.21875" customWidth="1"/>
    <col min="530" max="530" width="13" customWidth="1"/>
    <col min="531" max="532" width="15.5546875" bestFit="1" customWidth="1"/>
    <col min="533" max="533" width="11.5546875" bestFit="1" customWidth="1"/>
    <col min="769" max="769" width="20.44140625" customWidth="1"/>
    <col min="770" max="770" width="14.44140625" customWidth="1"/>
    <col min="771" max="771" width="65.5546875" customWidth="1"/>
    <col min="772" max="772" width="33.44140625" customWidth="1"/>
    <col min="773" max="773" width="13.21875" customWidth="1"/>
    <col min="774" max="774" width="57.21875" bestFit="1" customWidth="1"/>
    <col min="775" max="775" width="19.77734375" customWidth="1"/>
    <col min="776" max="776" width="14.77734375" customWidth="1"/>
    <col min="777" max="777" width="34.77734375" customWidth="1"/>
    <col min="778" max="778" width="24.77734375" customWidth="1"/>
    <col min="779" max="779" width="8.21875" customWidth="1"/>
    <col min="780" max="780" width="32.44140625" customWidth="1"/>
    <col min="781" max="781" width="10.77734375" customWidth="1"/>
    <col min="782" max="782" width="13.5546875" customWidth="1"/>
    <col min="783" max="783" width="19.21875" customWidth="1"/>
    <col min="784" max="784" width="12.77734375" customWidth="1"/>
    <col min="785" max="785" width="11.21875" customWidth="1"/>
    <col min="786" max="786" width="13" customWidth="1"/>
    <col min="787" max="788" width="15.5546875" bestFit="1" customWidth="1"/>
    <col min="789" max="789" width="11.5546875" bestFit="1" customWidth="1"/>
    <col min="1025" max="1025" width="20.44140625" customWidth="1"/>
    <col min="1026" max="1026" width="14.44140625" customWidth="1"/>
    <col min="1027" max="1027" width="65.5546875" customWidth="1"/>
    <col min="1028" max="1028" width="33.44140625" customWidth="1"/>
    <col min="1029" max="1029" width="13.21875" customWidth="1"/>
    <col min="1030" max="1030" width="57.21875" bestFit="1" customWidth="1"/>
    <col min="1031" max="1031" width="19.77734375" customWidth="1"/>
    <col min="1032" max="1032" width="14.77734375" customWidth="1"/>
    <col min="1033" max="1033" width="34.77734375" customWidth="1"/>
    <col min="1034" max="1034" width="24.77734375" customWidth="1"/>
    <col min="1035" max="1035" width="8.21875" customWidth="1"/>
    <col min="1036" max="1036" width="32.44140625" customWidth="1"/>
    <col min="1037" max="1037" width="10.77734375" customWidth="1"/>
    <col min="1038" max="1038" width="13.5546875" customWidth="1"/>
    <col min="1039" max="1039" width="19.21875" customWidth="1"/>
    <col min="1040" max="1040" width="12.77734375" customWidth="1"/>
    <col min="1041" max="1041" width="11.21875" customWidth="1"/>
    <col min="1042" max="1042" width="13" customWidth="1"/>
    <col min="1043" max="1044" width="15.5546875" bestFit="1" customWidth="1"/>
    <col min="1045" max="1045" width="11.5546875" bestFit="1" customWidth="1"/>
    <col min="1281" max="1281" width="20.44140625" customWidth="1"/>
    <col min="1282" max="1282" width="14.44140625" customWidth="1"/>
    <col min="1283" max="1283" width="65.5546875" customWidth="1"/>
    <col min="1284" max="1284" width="33.44140625" customWidth="1"/>
    <col min="1285" max="1285" width="13.21875" customWidth="1"/>
    <col min="1286" max="1286" width="57.21875" bestFit="1" customWidth="1"/>
    <col min="1287" max="1287" width="19.77734375" customWidth="1"/>
    <col min="1288" max="1288" width="14.77734375" customWidth="1"/>
    <col min="1289" max="1289" width="34.77734375" customWidth="1"/>
    <col min="1290" max="1290" width="24.77734375" customWidth="1"/>
    <col min="1291" max="1291" width="8.21875" customWidth="1"/>
    <col min="1292" max="1292" width="32.44140625" customWidth="1"/>
    <col min="1293" max="1293" width="10.77734375" customWidth="1"/>
    <col min="1294" max="1294" width="13.5546875" customWidth="1"/>
    <col min="1295" max="1295" width="19.21875" customWidth="1"/>
    <col min="1296" max="1296" width="12.77734375" customWidth="1"/>
    <col min="1297" max="1297" width="11.21875" customWidth="1"/>
    <col min="1298" max="1298" width="13" customWidth="1"/>
    <col min="1299" max="1300" width="15.5546875" bestFit="1" customWidth="1"/>
    <col min="1301" max="1301" width="11.5546875" bestFit="1" customWidth="1"/>
    <col min="1537" max="1537" width="20.44140625" customWidth="1"/>
    <col min="1538" max="1538" width="14.44140625" customWidth="1"/>
    <col min="1539" max="1539" width="65.5546875" customWidth="1"/>
    <col min="1540" max="1540" width="33.44140625" customWidth="1"/>
    <col min="1541" max="1541" width="13.21875" customWidth="1"/>
    <col min="1542" max="1542" width="57.21875" bestFit="1" customWidth="1"/>
    <col min="1543" max="1543" width="19.77734375" customWidth="1"/>
    <col min="1544" max="1544" width="14.77734375" customWidth="1"/>
    <col min="1545" max="1545" width="34.77734375" customWidth="1"/>
    <col min="1546" max="1546" width="24.77734375" customWidth="1"/>
    <col min="1547" max="1547" width="8.21875" customWidth="1"/>
    <col min="1548" max="1548" width="32.44140625" customWidth="1"/>
    <col min="1549" max="1549" width="10.77734375" customWidth="1"/>
    <col min="1550" max="1550" width="13.5546875" customWidth="1"/>
    <col min="1551" max="1551" width="19.21875" customWidth="1"/>
    <col min="1552" max="1552" width="12.77734375" customWidth="1"/>
    <col min="1553" max="1553" width="11.21875" customWidth="1"/>
    <col min="1554" max="1554" width="13" customWidth="1"/>
    <col min="1555" max="1556" width="15.5546875" bestFit="1" customWidth="1"/>
    <col min="1557" max="1557" width="11.5546875" bestFit="1" customWidth="1"/>
    <col min="1793" max="1793" width="20.44140625" customWidth="1"/>
    <col min="1794" max="1794" width="14.44140625" customWidth="1"/>
    <col min="1795" max="1795" width="65.5546875" customWidth="1"/>
    <col min="1796" max="1796" width="33.44140625" customWidth="1"/>
    <col min="1797" max="1797" width="13.21875" customWidth="1"/>
    <col min="1798" max="1798" width="57.21875" bestFit="1" customWidth="1"/>
    <col min="1799" max="1799" width="19.77734375" customWidth="1"/>
    <col min="1800" max="1800" width="14.77734375" customWidth="1"/>
    <col min="1801" max="1801" width="34.77734375" customWidth="1"/>
    <col min="1802" max="1802" width="24.77734375" customWidth="1"/>
    <col min="1803" max="1803" width="8.21875" customWidth="1"/>
    <col min="1804" max="1804" width="32.44140625" customWidth="1"/>
    <col min="1805" max="1805" width="10.77734375" customWidth="1"/>
    <col min="1806" max="1806" width="13.5546875" customWidth="1"/>
    <col min="1807" max="1807" width="19.21875" customWidth="1"/>
    <col min="1808" max="1808" width="12.77734375" customWidth="1"/>
    <col min="1809" max="1809" width="11.21875" customWidth="1"/>
    <col min="1810" max="1810" width="13" customWidth="1"/>
    <col min="1811" max="1812" width="15.5546875" bestFit="1" customWidth="1"/>
    <col min="1813" max="1813" width="11.5546875" bestFit="1" customWidth="1"/>
    <col min="2049" max="2049" width="20.44140625" customWidth="1"/>
    <col min="2050" max="2050" width="14.44140625" customWidth="1"/>
    <col min="2051" max="2051" width="65.5546875" customWidth="1"/>
    <col min="2052" max="2052" width="33.44140625" customWidth="1"/>
    <col min="2053" max="2053" width="13.21875" customWidth="1"/>
    <col min="2054" max="2054" width="57.21875" bestFit="1" customWidth="1"/>
    <col min="2055" max="2055" width="19.77734375" customWidth="1"/>
    <col min="2056" max="2056" width="14.77734375" customWidth="1"/>
    <col min="2057" max="2057" width="34.77734375" customWidth="1"/>
    <col min="2058" max="2058" width="24.77734375" customWidth="1"/>
    <col min="2059" max="2059" width="8.21875" customWidth="1"/>
    <col min="2060" max="2060" width="32.44140625" customWidth="1"/>
    <col min="2061" max="2061" width="10.77734375" customWidth="1"/>
    <col min="2062" max="2062" width="13.5546875" customWidth="1"/>
    <col min="2063" max="2063" width="19.21875" customWidth="1"/>
    <col min="2064" max="2064" width="12.77734375" customWidth="1"/>
    <col min="2065" max="2065" width="11.21875" customWidth="1"/>
    <col min="2066" max="2066" width="13" customWidth="1"/>
    <col min="2067" max="2068" width="15.5546875" bestFit="1" customWidth="1"/>
    <col min="2069" max="2069" width="11.5546875" bestFit="1" customWidth="1"/>
    <col min="2305" max="2305" width="20.44140625" customWidth="1"/>
    <col min="2306" max="2306" width="14.44140625" customWidth="1"/>
    <col min="2307" max="2307" width="65.5546875" customWidth="1"/>
    <col min="2308" max="2308" width="33.44140625" customWidth="1"/>
    <col min="2309" max="2309" width="13.21875" customWidth="1"/>
    <col min="2310" max="2310" width="57.21875" bestFit="1" customWidth="1"/>
    <col min="2311" max="2311" width="19.77734375" customWidth="1"/>
    <col min="2312" max="2312" width="14.77734375" customWidth="1"/>
    <col min="2313" max="2313" width="34.77734375" customWidth="1"/>
    <col min="2314" max="2314" width="24.77734375" customWidth="1"/>
    <col min="2315" max="2315" width="8.21875" customWidth="1"/>
    <col min="2316" max="2316" width="32.44140625" customWidth="1"/>
    <col min="2317" max="2317" width="10.77734375" customWidth="1"/>
    <col min="2318" max="2318" width="13.5546875" customWidth="1"/>
    <col min="2319" max="2319" width="19.21875" customWidth="1"/>
    <col min="2320" max="2320" width="12.77734375" customWidth="1"/>
    <col min="2321" max="2321" width="11.21875" customWidth="1"/>
    <col min="2322" max="2322" width="13" customWidth="1"/>
    <col min="2323" max="2324" width="15.5546875" bestFit="1" customWidth="1"/>
    <col min="2325" max="2325" width="11.5546875" bestFit="1" customWidth="1"/>
    <col min="2561" max="2561" width="20.44140625" customWidth="1"/>
    <col min="2562" max="2562" width="14.44140625" customWidth="1"/>
    <col min="2563" max="2563" width="65.5546875" customWidth="1"/>
    <col min="2564" max="2564" width="33.44140625" customWidth="1"/>
    <col min="2565" max="2565" width="13.21875" customWidth="1"/>
    <col min="2566" max="2566" width="57.21875" bestFit="1" customWidth="1"/>
    <col min="2567" max="2567" width="19.77734375" customWidth="1"/>
    <col min="2568" max="2568" width="14.77734375" customWidth="1"/>
    <col min="2569" max="2569" width="34.77734375" customWidth="1"/>
    <col min="2570" max="2570" width="24.77734375" customWidth="1"/>
    <col min="2571" max="2571" width="8.21875" customWidth="1"/>
    <col min="2572" max="2572" width="32.44140625" customWidth="1"/>
    <col min="2573" max="2573" width="10.77734375" customWidth="1"/>
    <col min="2574" max="2574" width="13.5546875" customWidth="1"/>
    <col min="2575" max="2575" width="19.21875" customWidth="1"/>
    <col min="2576" max="2576" width="12.77734375" customWidth="1"/>
    <col min="2577" max="2577" width="11.21875" customWidth="1"/>
    <col min="2578" max="2578" width="13" customWidth="1"/>
    <col min="2579" max="2580" width="15.5546875" bestFit="1" customWidth="1"/>
    <col min="2581" max="2581" width="11.5546875" bestFit="1" customWidth="1"/>
    <col min="2817" max="2817" width="20.44140625" customWidth="1"/>
    <col min="2818" max="2818" width="14.44140625" customWidth="1"/>
    <col min="2819" max="2819" width="65.5546875" customWidth="1"/>
    <col min="2820" max="2820" width="33.44140625" customWidth="1"/>
    <col min="2821" max="2821" width="13.21875" customWidth="1"/>
    <col min="2822" max="2822" width="57.21875" bestFit="1" customWidth="1"/>
    <col min="2823" max="2823" width="19.77734375" customWidth="1"/>
    <col min="2824" max="2824" width="14.77734375" customWidth="1"/>
    <col min="2825" max="2825" width="34.77734375" customWidth="1"/>
    <col min="2826" max="2826" width="24.77734375" customWidth="1"/>
    <col min="2827" max="2827" width="8.21875" customWidth="1"/>
    <col min="2828" max="2828" width="32.44140625" customWidth="1"/>
    <col min="2829" max="2829" width="10.77734375" customWidth="1"/>
    <col min="2830" max="2830" width="13.5546875" customWidth="1"/>
    <col min="2831" max="2831" width="19.21875" customWidth="1"/>
    <col min="2832" max="2832" width="12.77734375" customWidth="1"/>
    <col min="2833" max="2833" width="11.21875" customWidth="1"/>
    <col min="2834" max="2834" width="13" customWidth="1"/>
    <col min="2835" max="2836" width="15.5546875" bestFit="1" customWidth="1"/>
    <col min="2837" max="2837" width="11.5546875" bestFit="1" customWidth="1"/>
    <col min="3073" max="3073" width="20.44140625" customWidth="1"/>
    <col min="3074" max="3074" width="14.44140625" customWidth="1"/>
    <col min="3075" max="3075" width="65.5546875" customWidth="1"/>
    <col min="3076" max="3076" width="33.44140625" customWidth="1"/>
    <col min="3077" max="3077" width="13.21875" customWidth="1"/>
    <col min="3078" max="3078" width="57.21875" bestFit="1" customWidth="1"/>
    <col min="3079" max="3079" width="19.77734375" customWidth="1"/>
    <col min="3080" max="3080" width="14.77734375" customWidth="1"/>
    <col min="3081" max="3081" width="34.77734375" customWidth="1"/>
    <col min="3082" max="3082" width="24.77734375" customWidth="1"/>
    <col min="3083" max="3083" width="8.21875" customWidth="1"/>
    <col min="3084" max="3084" width="32.44140625" customWidth="1"/>
    <col min="3085" max="3085" width="10.77734375" customWidth="1"/>
    <col min="3086" max="3086" width="13.5546875" customWidth="1"/>
    <col min="3087" max="3087" width="19.21875" customWidth="1"/>
    <col min="3088" max="3088" width="12.77734375" customWidth="1"/>
    <col min="3089" max="3089" width="11.21875" customWidth="1"/>
    <col min="3090" max="3090" width="13" customWidth="1"/>
    <col min="3091" max="3092" width="15.5546875" bestFit="1" customWidth="1"/>
    <col min="3093" max="3093" width="11.5546875" bestFit="1" customWidth="1"/>
    <col min="3329" max="3329" width="20.44140625" customWidth="1"/>
    <col min="3330" max="3330" width="14.44140625" customWidth="1"/>
    <col min="3331" max="3331" width="65.5546875" customWidth="1"/>
    <col min="3332" max="3332" width="33.44140625" customWidth="1"/>
    <col min="3333" max="3333" width="13.21875" customWidth="1"/>
    <col min="3334" max="3334" width="57.21875" bestFit="1" customWidth="1"/>
    <col min="3335" max="3335" width="19.77734375" customWidth="1"/>
    <col min="3336" max="3336" width="14.77734375" customWidth="1"/>
    <col min="3337" max="3337" width="34.77734375" customWidth="1"/>
    <col min="3338" max="3338" width="24.77734375" customWidth="1"/>
    <col min="3339" max="3339" width="8.21875" customWidth="1"/>
    <col min="3340" max="3340" width="32.44140625" customWidth="1"/>
    <col min="3341" max="3341" width="10.77734375" customWidth="1"/>
    <col min="3342" max="3342" width="13.5546875" customWidth="1"/>
    <col min="3343" max="3343" width="19.21875" customWidth="1"/>
    <col min="3344" max="3344" width="12.77734375" customWidth="1"/>
    <col min="3345" max="3345" width="11.21875" customWidth="1"/>
    <col min="3346" max="3346" width="13" customWidth="1"/>
    <col min="3347" max="3348" width="15.5546875" bestFit="1" customWidth="1"/>
    <col min="3349" max="3349" width="11.5546875" bestFit="1" customWidth="1"/>
    <col min="3585" max="3585" width="20.44140625" customWidth="1"/>
    <col min="3586" max="3586" width="14.44140625" customWidth="1"/>
    <col min="3587" max="3587" width="65.5546875" customWidth="1"/>
    <col min="3588" max="3588" width="33.44140625" customWidth="1"/>
    <col min="3589" max="3589" width="13.21875" customWidth="1"/>
    <col min="3590" max="3590" width="57.21875" bestFit="1" customWidth="1"/>
    <col min="3591" max="3591" width="19.77734375" customWidth="1"/>
    <col min="3592" max="3592" width="14.77734375" customWidth="1"/>
    <col min="3593" max="3593" width="34.77734375" customWidth="1"/>
    <col min="3594" max="3594" width="24.77734375" customWidth="1"/>
    <col min="3595" max="3595" width="8.21875" customWidth="1"/>
    <col min="3596" max="3596" width="32.44140625" customWidth="1"/>
    <col min="3597" max="3597" width="10.77734375" customWidth="1"/>
    <col min="3598" max="3598" width="13.5546875" customWidth="1"/>
    <col min="3599" max="3599" width="19.21875" customWidth="1"/>
    <col min="3600" max="3600" width="12.77734375" customWidth="1"/>
    <col min="3601" max="3601" width="11.21875" customWidth="1"/>
    <col min="3602" max="3602" width="13" customWidth="1"/>
    <col min="3603" max="3604" width="15.5546875" bestFit="1" customWidth="1"/>
    <col min="3605" max="3605" width="11.5546875" bestFit="1" customWidth="1"/>
    <col min="3841" max="3841" width="20.44140625" customWidth="1"/>
    <col min="3842" max="3842" width="14.44140625" customWidth="1"/>
    <col min="3843" max="3843" width="65.5546875" customWidth="1"/>
    <col min="3844" max="3844" width="33.44140625" customWidth="1"/>
    <col min="3845" max="3845" width="13.21875" customWidth="1"/>
    <col min="3846" max="3846" width="57.21875" bestFit="1" customWidth="1"/>
    <col min="3847" max="3847" width="19.77734375" customWidth="1"/>
    <col min="3848" max="3848" width="14.77734375" customWidth="1"/>
    <col min="3849" max="3849" width="34.77734375" customWidth="1"/>
    <col min="3850" max="3850" width="24.77734375" customWidth="1"/>
    <col min="3851" max="3851" width="8.21875" customWidth="1"/>
    <col min="3852" max="3852" width="32.44140625" customWidth="1"/>
    <col min="3853" max="3853" width="10.77734375" customWidth="1"/>
    <col min="3854" max="3854" width="13.5546875" customWidth="1"/>
    <col min="3855" max="3855" width="19.21875" customWidth="1"/>
    <col min="3856" max="3856" width="12.77734375" customWidth="1"/>
    <col min="3857" max="3857" width="11.21875" customWidth="1"/>
    <col min="3858" max="3858" width="13" customWidth="1"/>
    <col min="3859" max="3860" width="15.5546875" bestFit="1" customWidth="1"/>
    <col min="3861" max="3861" width="11.5546875" bestFit="1" customWidth="1"/>
    <col min="4097" max="4097" width="20.44140625" customWidth="1"/>
    <col min="4098" max="4098" width="14.44140625" customWidth="1"/>
    <col min="4099" max="4099" width="65.5546875" customWidth="1"/>
    <col min="4100" max="4100" width="33.44140625" customWidth="1"/>
    <col min="4101" max="4101" width="13.21875" customWidth="1"/>
    <col min="4102" max="4102" width="57.21875" bestFit="1" customWidth="1"/>
    <col min="4103" max="4103" width="19.77734375" customWidth="1"/>
    <col min="4104" max="4104" width="14.77734375" customWidth="1"/>
    <col min="4105" max="4105" width="34.77734375" customWidth="1"/>
    <col min="4106" max="4106" width="24.77734375" customWidth="1"/>
    <col min="4107" max="4107" width="8.21875" customWidth="1"/>
    <col min="4108" max="4108" width="32.44140625" customWidth="1"/>
    <col min="4109" max="4109" width="10.77734375" customWidth="1"/>
    <col min="4110" max="4110" width="13.5546875" customWidth="1"/>
    <col min="4111" max="4111" width="19.21875" customWidth="1"/>
    <col min="4112" max="4112" width="12.77734375" customWidth="1"/>
    <col min="4113" max="4113" width="11.21875" customWidth="1"/>
    <col min="4114" max="4114" width="13" customWidth="1"/>
    <col min="4115" max="4116" width="15.5546875" bestFit="1" customWidth="1"/>
    <col min="4117" max="4117" width="11.5546875" bestFit="1" customWidth="1"/>
    <col min="4353" max="4353" width="20.44140625" customWidth="1"/>
    <col min="4354" max="4354" width="14.44140625" customWidth="1"/>
    <col min="4355" max="4355" width="65.5546875" customWidth="1"/>
    <col min="4356" max="4356" width="33.44140625" customWidth="1"/>
    <col min="4357" max="4357" width="13.21875" customWidth="1"/>
    <col min="4358" max="4358" width="57.21875" bestFit="1" customWidth="1"/>
    <col min="4359" max="4359" width="19.77734375" customWidth="1"/>
    <col min="4360" max="4360" width="14.77734375" customWidth="1"/>
    <col min="4361" max="4361" width="34.77734375" customWidth="1"/>
    <col min="4362" max="4362" width="24.77734375" customWidth="1"/>
    <col min="4363" max="4363" width="8.21875" customWidth="1"/>
    <col min="4364" max="4364" width="32.44140625" customWidth="1"/>
    <col min="4365" max="4365" width="10.77734375" customWidth="1"/>
    <col min="4366" max="4366" width="13.5546875" customWidth="1"/>
    <col min="4367" max="4367" width="19.21875" customWidth="1"/>
    <col min="4368" max="4368" width="12.77734375" customWidth="1"/>
    <col min="4369" max="4369" width="11.21875" customWidth="1"/>
    <col min="4370" max="4370" width="13" customWidth="1"/>
    <col min="4371" max="4372" width="15.5546875" bestFit="1" customWidth="1"/>
    <col min="4373" max="4373" width="11.5546875" bestFit="1" customWidth="1"/>
    <col min="4609" max="4609" width="20.44140625" customWidth="1"/>
    <col min="4610" max="4610" width="14.44140625" customWidth="1"/>
    <col min="4611" max="4611" width="65.5546875" customWidth="1"/>
    <col min="4612" max="4612" width="33.44140625" customWidth="1"/>
    <col min="4613" max="4613" width="13.21875" customWidth="1"/>
    <col min="4614" max="4614" width="57.21875" bestFit="1" customWidth="1"/>
    <col min="4615" max="4615" width="19.77734375" customWidth="1"/>
    <col min="4616" max="4616" width="14.77734375" customWidth="1"/>
    <col min="4617" max="4617" width="34.77734375" customWidth="1"/>
    <col min="4618" max="4618" width="24.77734375" customWidth="1"/>
    <col min="4619" max="4619" width="8.21875" customWidth="1"/>
    <col min="4620" max="4620" width="32.44140625" customWidth="1"/>
    <col min="4621" max="4621" width="10.77734375" customWidth="1"/>
    <col min="4622" max="4622" width="13.5546875" customWidth="1"/>
    <col min="4623" max="4623" width="19.21875" customWidth="1"/>
    <col min="4624" max="4624" width="12.77734375" customWidth="1"/>
    <col min="4625" max="4625" width="11.21875" customWidth="1"/>
    <col min="4626" max="4626" width="13" customWidth="1"/>
    <col min="4627" max="4628" width="15.5546875" bestFit="1" customWidth="1"/>
    <col min="4629" max="4629" width="11.5546875" bestFit="1" customWidth="1"/>
    <col min="4865" max="4865" width="20.44140625" customWidth="1"/>
    <col min="4866" max="4866" width="14.44140625" customWidth="1"/>
    <col min="4867" max="4867" width="65.5546875" customWidth="1"/>
    <col min="4868" max="4868" width="33.44140625" customWidth="1"/>
    <col min="4869" max="4869" width="13.21875" customWidth="1"/>
    <col min="4870" max="4870" width="57.21875" bestFit="1" customWidth="1"/>
    <col min="4871" max="4871" width="19.77734375" customWidth="1"/>
    <col min="4872" max="4872" width="14.77734375" customWidth="1"/>
    <col min="4873" max="4873" width="34.77734375" customWidth="1"/>
    <col min="4874" max="4874" width="24.77734375" customWidth="1"/>
    <col min="4875" max="4875" width="8.21875" customWidth="1"/>
    <col min="4876" max="4876" width="32.44140625" customWidth="1"/>
    <col min="4877" max="4877" width="10.77734375" customWidth="1"/>
    <col min="4878" max="4878" width="13.5546875" customWidth="1"/>
    <col min="4879" max="4879" width="19.21875" customWidth="1"/>
    <col min="4880" max="4880" width="12.77734375" customWidth="1"/>
    <col min="4881" max="4881" width="11.21875" customWidth="1"/>
    <col min="4882" max="4882" width="13" customWidth="1"/>
    <col min="4883" max="4884" width="15.5546875" bestFit="1" customWidth="1"/>
    <col min="4885" max="4885" width="11.5546875" bestFit="1" customWidth="1"/>
    <col min="5121" max="5121" width="20.44140625" customWidth="1"/>
    <col min="5122" max="5122" width="14.44140625" customWidth="1"/>
    <col min="5123" max="5123" width="65.5546875" customWidth="1"/>
    <col min="5124" max="5124" width="33.44140625" customWidth="1"/>
    <col min="5125" max="5125" width="13.21875" customWidth="1"/>
    <col min="5126" max="5126" width="57.21875" bestFit="1" customWidth="1"/>
    <col min="5127" max="5127" width="19.77734375" customWidth="1"/>
    <col min="5128" max="5128" width="14.77734375" customWidth="1"/>
    <col min="5129" max="5129" width="34.77734375" customWidth="1"/>
    <col min="5130" max="5130" width="24.77734375" customWidth="1"/>
    <col min="5131" max="5131" width="8.21875" customWidth="1"/>
    <col min="5132" max="5132" width="32.44140625" customWidth="1"/>
    <col min="5133" max="5133" width="10.77734375" customWidth="1"/>
    <col min="5134" max="5134" width="13.5546875" customWidth="1"/>
    <col min="5135" max="5135" width="19.21875" customWidth="1"/>
    <col min="5136" max="5136" width="12.77734375" customWidth="1"/>
    <col min="5137" max="5137" width="11.21875" customWidth="1"/>
    <col min="5138" max="5138" width="13" customWidth="1"/>
    <col min="5139" max="5140" width="15.5546875" bestFit="1" customWidth="1"/>
    <col min="5141" max="5141" width="11.5546875" bestFit="1" customWidth="1"/>
    <col min="5377" max="5377" width="20.44140625" customWidth="1"/>
    <col min="5378" max="5378" width="14.44140625" customWidth="1"/>
    <col min="5379" max="5379" width="65.5546875" customWidth="1"/>
    <col min="5380" max="5380" width="33.44140625" customWidth="1"/>
    <col min="5381" max="5381" width="13.21875" customWidth="1"/>
    <col min="5382" max="5382" width="57.21875" bestFit="1" customWidth="1"/>
    <col min="5383" max="5383" width="19.77734375" customWidth="1"/>
    <col min="5384" max="5384" width="14.77734375" customWidth="1"/>
    <col min="5385" max="5385" width="34.77734375" customWidth="1"/>
    <col min="5386" max="5386" width="24.77734375" customWidth="1"/>
    <col min="5387" max="5387" width="8.21875" customWidth="1"/>
    <col min="5388" max="5388" width="32.44140625" customWidth="1"/>
    <col min="5389" max="5389" width="10.77734375" customWidth="1"/>
    <col min="5390" max="5390" width="13.5546875" customWidth="1"/>
    <col min="5391" max="5391" width="19.21875" customWidth="1"/>
    <col min="5392" max="5392" width="12.77734375" customWidth="1"/>
    <col min="5393" max="5393" width="11.21875" customWidth="1"/>
    <col min="5394" max="5394" width="13" customWidth="1"/>
    <col min="5395" max="5396" width="15.5546875" bestFit="1" customWidth="1"/>
    <col min="5397" max="5397" width="11.5546875" bestFit="1" customWidth="1"/>
    <col min="5633" max="5633" width="20.44140625" customWidth="1"/>
    <col min="5634" max="5634" width="14.44140625" customWidth="1"/>
    <col min="5635" max="5635" width="65.5546875" customWidth="1"/>
    <col min="5636" max="5636" width="33.44140625" customWidth="1"/>
    <col min="5637" max="5637" width="13.21875" customWidth="1"/>
    <col min="5638" max="5638" width="57.21875" bestFit="1" customWidth="1"/>
    <col min="5639" max="5639" width="19.77734375" customWidth="1"/>
    <col min="5640" max="5640" width="14.77734375" customWidth="1"/>
    <col min="5641" max="5641" width="34.77734375" customWidth="1"/>
    <col min="5642" max="5642" width="24.77734375" customWidth="1"/>
    <col min="5643" max="5643" width="8.21875" customWidth="1"/>
    <col min="5644" max="5644" width="32.44140625" customWidth="1"/>
    <col min="5645" max="5645" width="10.77734375" customWidth="1"/>
    <col min="5646" max="5646" width="13.5546875" customWidth="1"/>
    <col min="5647" max="5647" width="19.21875" customWidth="1"/>
    <col min="5648" max="5648" width="12.77734375" customWidth="1"/>
    <col min="5649" max="5649" width="11.21875" customWidth="1"/>
    <col min="5650" max="5650" width="13" customWidth="1"/>
    <col min="5651" max="5652" width="15.5546875" bestFit="1" customWidth="1"/>
    <col min="5653" max="5653" width="11.5546875" bestFit="1" customWidth="1"/>
    <col min="5889" max="5889" width="20.44140625" customWidth="1"/>
    <col min="5890" max="5890" width="14.44140625" customWidth="1"/>
    <col min="5891" max="5891" width="65.5546875" customWidth="1"/>
    <col min="5892" max="5892" width="33.44140625" customWidth="1"/>
    <col min="5893" max="5893" width="13.21875" customWidth="1"/>
    <col min="5894" max="5894" width="57.21875" bestFit="1" customWidth="1"/>
    <col min="5895" max="5895" width="19.77734375" customWidth="1"/>
    <col min="5896" max="5896" width="14.77734375" customWidth="1"/>
    <col min="5897" max="5897" width="34.77734375" customWidth="1"/>
    <col min="5898" max="5898" width="24.77734375" customWidth="1"/>
    <col min="5899" max="5899" width="8.21875" customWidth="1"/>
    <col min="5900" max="5900" width="32.44140625" customWidth="1"/>
    <col min="5901" max="5901" width="10.77734375" customWidth="1"/>
    <col min="5902" max="5902" width="13.5546875" customWidth="1"/>
    <col min="5903" max="5903" width="19.21875" customWidth="1"/>
    <col min="5904" max="5904" width="12.77734375" customWidth="1"/>
    <col min="5905" max="5905" width="11.21875" customWidth="1"/>
    <col min="5906" max="5906" width="13" customWidth="1"/>
    <col min="5907" max="5908" width="15.5546875" bestFit="1" customWidth="1"/>
    <col min="5909" max="5909" width="11.5546875" bestFit="1" customWidth="1"/>
    <col min="6145" max="6145" width="20.44140625" customWidth="1"/>
    <col min="6146" max="6146" width="14.44140625" customWidth="1"/>
    <col min="6147" max="6147" width="65.5546875" customWidth="1"/>
    <col min="6148" max="6148" width="33.44140625" customWidth="1"/>
    <col min="6149" max="6149" width="13.21875" customWidth="1"/>
    <col min="6150" max="6150" width="57.21875" bestFit="1" customWidth="1"/>
    <col min="6151" max="6151" width="19.77734375" customWidth="1"/>
    <col min="6152" max="6152" width="14.77734375" customWidth="1"/>
    <col min="6153" max="6153" width="34.77734375" customWidth="1"/>
    <col min="6154" max="6154" width="24.77734375" customWidth="1"/>
    <col min="6155" max="6155" width="8.21875" customWidth="1"/>
    <col min="6156" max="6156" width="32.44140625" customWidth="1"/>
    <col min="6157" max="6157" width="10.77734375" customWidth="1"/>
    <col min="6158" max="6158" width="13.5546875" customWidth="1"/>
    <col min="6159" max="6159" width="19.21875" customWidth="1"/>
    <col min="6160" max="6160" width="12.77734375" customWidth="1"/>
    <col min="6161" max="6161" width="11.21875" customWidth="1"/>
    <col min="6162" max="6162" width="13" customWidth="1"/>
    <col min="6163" max="6164" width="15.5546875" bestFit="1" customWidth="1"/>
    <col min="6165" max="6165" width="11.5546875" bestFit="1" customWidth="1"/>
    <col min="6401" max="6401" width="20.44140625" customWidth="1"/>
    <col min="6402" max="6402" width="14.44140625" customWidth="1"/>
    <col min="6403" max="6403" width="65.5546875" customWidth="1"/>
    <col min="6404" max="6404" width="33.44140625" customWidth="1"/>
    <col min="6405" max="6405" width="13.21875" customWidth="1"/>
    <col min="6406" max="6406" width="57.21875" bestFit="1" customWidth="1"/>
    <col min="6407" max="6407" width="19.77734375" customWidth="1"/>
    <col min="6408" max="6408" width="14.77734375" customWidth="1"/>
    <col min="6409" max="6409" width="34.77734375" customWidth="1"/>
    <col min="6410" max="6410" width="24.77734375" customWidth="1"/>
    <col min="6411" max="6411" width="8.21875" customWidth="1"/>
    <col min="6412" max="6412" width="32.44140625" customWidth="1"/>
    <col min="6413" max="6413" width="10.77734375" customWidth="1"/>
    <col min="6414" max="6414" width="13.5546875" customWidth="1"/>
    <col min="6415" max="6415" width="19.21875" customWidth="1"/>
    <col min="6416" max="6416" width="12.77734375" customWidth="1"/>
    <col min="6417" max="6417" width="11.21875" customWidth="1"/>
    <col min="6418" max="6418" width="13" customWidth="1"/>
    <col min="6419" max="6420" width="15.5546875" bestFit="1" customWidth="1"/>
    <col min="6421" max="6421" width="11.5546875" bestFit="1" customWidth="1"/>
    <col min="6657" max="6657" width="20.44140625" customWidth="1"/>
    <col min="6658" max="6658" width="14.44140625" customWidth="1"/>
    <col min="6659" max="6659" width="65.5546875" customWidth="1"/>
    <col min="6660" max="6660" width="33.44140625" customWidth="1"/>
    <col min="6661" max="6661" width="13.21875" customWidth="1"/>
    <col min="6662" max="6662" width="57.21875" bestFit="1" customWidth="1"/>
    <col min="6663" max="6663" width="19.77734375" customWidth="1"/>
    <col min="6664" max="6664" width="14.77734375" customWidth="1"/>
    <col min="6665" max="6665" width="34.77734375" customWidth="1"/>
    <col min="6666" max="6666" width="24.77734375" customWidth="1"/>
    <col min="6667" max="6667" width="8.21875" customWidth="1"/>
    <col min="6668" max="6668" width="32.44140625" customWidth="1"/>
    <col min="6669" max="6669" width="10.77734375" customWidth="1"/>
    <col min="6670" max="6670" width="13.5546875" customWidth="1"/>
    <col min="6671" max="6671" width="19.21875" customWidth="1"/>
    <col min="6672" max="6672" width="12.77734375" customWidth="1"/>
    <col min="6673" max="6673" width="11.21875" customWidth="1"/>
    <col min="6674" max="6674" width="13" customWidth="1"/>
    <col min="6675" max="6676" width="15.5546875" bestFit="1" customWidth="1"/>
    <col min="6677" max="6677" width="11.5546875" bestFit="1" customWidth="1"/>
    <col min="6913" max="6913" width="20.44140625" customWidth="1"/>
    <col min="6914" max="6914" width="14.44140625" customWidth="1"/>
    <col min="6915" max="6915" width="65.5546875" customWidth="1"/>
    <col min="6916" max="6916" width="33.44140625" customWidth="1"/>
    <col min="6917" max="6917" width="13.21875" customWidth="1"/>
    <col min="6918" max="6918" width="57.21875" bestFit="1" customWidth="1"/>
    <col min="6919" max="6919" width="19.77734375" customWidth="1"/>
    <col min="6920" max="6920" width="14.77734375" customWidth="1"/>
    <col min="6921" max="6921" width="34.77734375" customWidth="1"/>
    <col min="6922" max="6922" width="24.77734375" customWidth="1"/>
    <col min="6923" max="6923" width="8.21875" customWidth="1"/>
    <col min="6924" max="6924" width="32.44140625" customWidth="1"/>
    <col min="6925" max="6925" width="10.77734375" customWidth="1"/>
    <col min="6926" max="6926" width="13.5546875" customWidth="1"/>
    <col min="6927" max="6927" width="19.21875" customWidth="1"/>
    <col min="6928" max="6928" width="12.77734375" customWidth="1"/>
    <col min="6929" max="6929" width="11.21875" customWidth="1"/>
    <col min="6930" max="6930" width="13" customWidth="1"/>
    <col min="6931" max="6932" width="15.5546875" bestFit="1" customWidth="1"/>
    <col min="6933" max="6933" width="11.5546875" bestFit="1" customWidth="1"/>
    <col min="7169" max="7169" width="20.44140625" customWidth="1"/>
    <col min="7170" max="7170" width="14.44140625" customWidth="1"/>
    <col min="7171" max="7171" width="65.5546875" customWidth="1"/>
    <col min="7172" max="7172" width="33.44140625" customWidth="1"/>
    <col min="7173" max="7173" width="13.21875" customWidth="1"/>
    <col min="7174" max="7174" width="57.21875" bestFit="1" customWidth="1"/>
    <col min="7175" max="7175" width="19.77734375" customWidth="1"/>
    <col min="7176" max="7176" width="14.77734375" customWidth="1"/>
    <col min="7177" max="7177" width="34.77734375" customWidth="1"/>
    <col min="7178" max="7178" width="24.77734375" customWidth="1"/>
    <col min="7179" max="7179" width="8.21875" customWidth="1"/>
    <col min="7180" max="7180" width="32.44140625" customWidth="1"/>
    <col min="7181" max="7181" width="10.77734375" customWidth="1"/>
    <col min="7182" max="7182" width="13.5546875" customWidth="1"/>
    <col min="7183" max="7183" width="19.21875" customWidth="1"/>
    <col min="7184" max="7184" width="12.77734375" customWidth="1"/>
    <col min="7185" max="7185" width="11.21875" customWidth="1"/>
    <col min="7186" max="7186" width="13" customWidth="1"/>
    <col min="7187" max="7188" width="15.5546875" bestFit="1" customWidth="1"/>
    <col min="7189" max="7189" width="11.5546875" bestFit="1" customWidth="1"/>
    <col min="7425" max="7425" width="20.44140625" customWidth="1"/>
    <col min="7426" max="7426" width="14.44140625" customWidth="1"/>
    <col min="7427" max="7427" width="65.5546875" customWidth="1"/>
    <col min="7428" max="7428" width="33.44140625" customWidth="1"/>
    <col min="7429" max="7429" width="13.21875" customWidth="1"/>
    <col min="7430" max="7430" width="57.21875" bestFit="1" customWidth="1"/>
    <col min="7431" max="7431" width="19.77734375" customWidth="1"/>
    <col min="7432" max="7432" width="14.77734375" customWidth="1"/>
    <col min="7433" max="7433" width="34.77734375" customWidth="1"/>
    <col min="7434" max="7434" width="24.77734375" customWidth="1"/>
    <col min="7435" max="7435" width="8.21875" customWidth="1"/>
    <col min="7436" max="7436" width="32.44140625" customWidth="1"/>
    <col min="7437" max="7437" width="10.77734375" customWidth="1"/>
    <col min="7438" max="7438" width="13.5546875" customWidth="1"/>
    <col min="7439" max="7439" width="19.21875" customWidth="1"/>
    <col min="7440" max="7440" width="12.77734375" customWidth="1"/>
    <col min="7441" max="7441" width="11.21875" customWidth="1"/>
    <col min="7442" max="7442" width="13" customWidth="1"/>
    <col min="7443" max="7444" width="15.5546875" bestFit="1" customWidth="1"/>
    <col min="7445" max="7445" width="11.5546875" bestFit="1" customWidth="1"/>
    <col min="7681" max="7681" width="20.44140625" customWidth="1"/>
    <col min="7682" max="7682" width="14.44140625" customWidth="1"/>
    <col min="7683" max="7683" width="65.5546875" customWidth="1"/>
    <col min="7684" max="7684" width="33.44140625" customWidth="1"/>
    <col min="7685" max="7685" width="13.21875" customWidth="1"/>
    <col min="7686" max="7686" width="57.21875" bestFit="1" customWidth="1"/>
    <col min="7687" max="7687" width="19.77734375" customWidth="1"/>
    <col min="7688" max="7688" width="14.77734375" customWidth="1"/>
    <col min="7689" max="7689" width="34.77734375" customWidth="1"/>
    <col min="7690" max="7690" width="24.77734375" customWidth="1"/>
    <col min="7691" max="7691" width="8.21875" customWidth="1"/>
    <col min="7692" max="7692" width="32.44140625" customWidth="1"/>
    <col min="7693" max="7693" width="10.77734375" customWidth="1"/>
    <col min="7694" max="7694" width="13.5546875" customWidth="1"/>
    <col min="7695" max="7695" width="19.21875" customWidth="1"/>
    <col min="7696" max="7696" width="12.77734375" customWidth="1"/>
    <col min="7697" max="7697" width="11.21875" customWidth="1"/>
    <col min="7698" max="7698" width="13" customWidth="1"/>
    <col min="7699" max="7700" width="15.5546875" bestFit="1" customWidth="1"/>
    <col min="7701" max="7701" width="11.5546875" bestFit="1" customWidth="1"/>
    <col min="7937" max="7937" width="20.44140625" customWidth="1"/>
    <col min="7938" max="7938" width="14.44140625" customWidth="1"/>
    <col min="7939" max="7939" width="65.5546875" customWidth="1"/>
    <col min="7940" max="7940" width="33.44140625" customWidth="1"/>
    <col min="7941" max="7941" width="13.21875" customWidth="1"/>
    <col min="7942" max="7942" width="57.21875" bestFit="1" customWidth="1"/>
    <col min="7943" max="7943" width="19.77734375" customWidth="1"/>
    <col min="7944" max="7944" width="14.77734375" customWidth="1"/>
    <col min="7945" max="7945" width="34.77734375" customWidth="1"/>
    <col min="7946" max="7946" width="24.77734375" customWidth="1"/>
    <col min="7947" max="7947" width="8.21875" customWidth="1"/>
    <col min="7948" max="7948" width="32.44140625" customWidth="1"/>
    <col min="7949" max="7949" width="10.77734375" customWidth="1"/>
    <col min="7950" max="7950" width="13.5546875" customWidth="1"/>
    <col min="7951" max="7951" width="19.21875" customWidth="1"/>
    <col min="7952" max="7952" width="12.77734375" customWidth="1"/>
    <col min="7953" max="7953" width="11.21875" customWidth="1"/>
    <col min="7954" max="7954" width="13" customWidth="1"/>
    <col min="7955" max="7956" width="15.5546875" bestFit="1" customWidth="1"/>
    <col min="7957" max="7957" width="11.5546875" bestFit="1" customWidth="1"/>
    <col min="8193" max="8193" width="20.44140625" customWidth="1"/>
    <col min="8194" max="8194" width="14.44140625" customWidth="1"/>
    <col min="8195" max="8195" width="65.5546875" customWidth="1"/>
    <col min="8196" max="8196" width="33.44140625" customWidth="1"/>
    <col min="8197" max="8197" width="13.21875" customWidth="1"/>
    <col min="8198" max="8198" width="57.21875" bestFit="1" customWidth="1"/>
    <col min="8199" max="8199" width="19.77734375" customWidth="1"/>
    <col min="8200" max="8200" width="14.77734375" customWidth="1"/>
    <col min="8201" max="8201" width="34.77734375" customWidth="1"/>
    <col min="8202" max="8202" width="24.77734375" customWidth="1"/>
    <col min="8203" max="8203" width="8.21875" customWidth="1"/>
    <col min="8204" max="8204" width="32.44140625" customWidth="1"/>
    <col min="8205" max="8205" width="10.77734375" customWidth="1"/>
    <col min="8206" max="8206" width="13.5546875" customWidth="1"/>
    <col min="8207" max="8207" width="19.21875" customWidth="1"/>
    <col min="8208" max="8208" width="12.77734375" customWidth="1"/>
    <col min="8209" max="8209" width="11.21875" customWidth="1"/>
    <col min="8210" max="8210" width="13" customWidth="1"/>
    <col min="8211" max="8212" width="15.5546875" bestFit="1" customWidth="1"/>
    <col min="8213" max="8213" width="11.5546875" bestFit="1" customWidth="1"/>
    <col min="8449" max="8449" width="20.44140625" customWidth="1"/>
    <col min="8450" max="8450" width="14.44140625" customWidth="1"/>
    <col min="8451" max="8451" width="65.5546875" customWidth="1"/>
    <col min="8452" max="8452" width="33.44140625" customWidth="1"/>
    <col min="8453" max="8453" width="13.21875" customWidth="1"/>
    <col min="8454" max="8454" width="57.21875" bestFit="1" customWidth="1"/>
    <col min="8455" max="8455" width="19.77734375" customWidth="1"/>
    <col min="8456" max="8456" width="14.77734375" customWidth="1"/>
    <col min="8457" max="8457" width="34.77734375" customWidth="1"/>
    <col min="8458" max="8458" width="24.77734375" customWidth="1"/>
    <col min="8459" max="8459" width="8.21875" customWidth="1"/>
    <col min="8460" max="8460" width="32.44140625" customWidth="1"/>
    <col min="8461" max="8461" width="10.77734375" customWidth="1"/>
    <col min="8462" max="8462" width="13.5546875" customWidth="1"/>
    <col min="8463" max="8463" width="19.21875" customWidth="1"/>
    <col min="8464" max="8464" width="12.77734375" customWidth="1"/>
    <col min="8465" max="8465" width="11.21875" customWidth="1"/>
    <col min="8466" max="8466" width="13" customWidth="1"/>
    <col min="8467" max="8468" width="15.5546875" bestFit="1" customWidth="1"/>
    <col min="8469" max="8469" width="11.5546875" bestFit="1" customWidth="1"/>
    <col min="8705" max="8705" width="20.44140625" customWidth="1"/>
    <col min="8706" max="8706" width="14.44140625" customWidth="1"/>
    <col min="8707" max="8707" width="65.5546875" customWidth="1"/>
    <col min="8708" max="8708" width="33.44140625" customWidth="1"/>
    <col min="8709" max="8709" width="13.21875" customWidth="1"/>
    <col min="8710" max="8710" width="57.21875" bestFit="1" customWidth="1"/>
    <col min="8711" max="8711" width="19.77734375" customWidth="1"/>
    <col min="8712" max="8712" width="14.77734375" customWidth="1"/>
    <col min="8713" max="8713" width="34.77734375" customWidth="1"/>
    <col min="8714" max="8714" width="24.77734375" customWidth="1"/>
    <col min="8715" max="8715" width="8.21875" customWidth="1"/>
    <col min="8716" max="8716" width="32.44140625" customWidth="1"/>
    <col min="8717" max="8717" width="10.77734375" customWidth="1"/>
    <col min="8718" max="8718" width="13.5546875" customWidth="1"/>
    <col min="8719" max="8719" width="19.21875" customWidth="1"/>
    <col min="8720" max="8720" width="12.77734375" customWidth="1"/>
    <col min="8721" max="8721" width="11.21875" customWidth="1"/>
    <col min="8722" max="8722" width="13" customWidth="1"/>
    <col min="8723" max="8724" width="15.5546875" bestFit="1" customWidth="1"/>
    <col min="8725" max="8725" width="11.5546875" bestFit="1" customWidth="1"/>
    <col min="8961" max="8961" width="20.44140625" customWidth="1"/>
    <col min="8962" max="8962" width="14.44140625" customWidth="1"/>
    <col min="8963" max="8963" width="65.5546875" customWidth="1"/>
    <col min="8964" max="8964" width="33.44140625" customWidth="1"/>
    <col min="8965" max="8965" width="13.21875" customWidth="1"/>
    <col min="8966" max="8966" width="57.21875" bestFit="1" customWidth="1"/>
    <col min="8967" max="8967" width="19.77734375" customWidth="1"/>
    <col min="8968" max="8968" width="14.77734375" customWidth="1"/>
    <col min="8969" max="8969" width="34.77734375" customWidth="1"/>
    <col min="8970" max="8970" width="24.77734375" customWidth="1"/>
    <col min="8971" max="8971" width="8.21875" customWidth="1"/>
    <col min="8972" max="8972" width="32.44140625" customWidth="1"/>
    <col min="8973" max="8973" width="10.77734375" customWidth="1"/>
    <col min="8974" max="8974" width="13.5546875" customWidth="1"/>
    <col min="8975" max="8975" width="19.21875" customWidth="1"/>
    <col min="8976" max="8976" width="12.77734375" customWidth="1"/>
    <col min="8977" max="8977" width="11.21875" customWidth="1"/>
    <col min="8978" max="8978" width="13" customWidth="1"/>
    <col min="8979" max="8980" width="15.5546875" bestFit="1" customWidth="1"/>
    <col min="8981" max="8981" width="11.5546875" bestFit="1" customWidth="1"/>
    <col min="9217" max="9217" width="20.44140625" customWidth="1"/>
    <col min="9218" max="9218" width="14.44140625" customWidth="1"/>
    <col min="9219" max="9219" width="65.5546875" customWidth="1"/>
    <col min="9220" max="9220" width="33.44140625" customWidth="1"/>
    <col min="9221" max="9221" width="13.21875" customWidth="1"/>
    <col min="9222" max="9222" width="57.21875" bestFit="1" customWidth="1"/>
    <col min="9223" max="9223" width="19.77734375" customWidth="1"/>
    <col min="9224" max="9224" width="14.77734375" customWidth="1"/>
    <col min="9225" max="9225" width="34.77734375" customWidth="1"/>
    <col min="9226" max="9226" width="24.77734375" customWidth="1"/>
    <col min="9227" max="9227" width="8.21875" customWidth="1"/>
    <col min="9228" max="9228" width="32.44140625" customWidth="1"/>
    <col min="9229" max="9229" width="10.77734375" customWidth="1"/>
    <col min="9230" max="9230" width="13.5546875" customWidth="1"/>
    <col min="9231" max="9231" width="19.21875" customWidth="1"/>
    <col min="9232" max="9232" width="12.77734375" customWidth="1"/>
    <col min="9233" max="9233" width="11.21875" customWidth="1"/>
    <col min="9234" max="9234" width="13" customWidth="1"/>
    <col min="9235" max="9236" width="15.5546875" bestFit="1" customWidth="1"/>
    <col min="9237" max="9237" width="11.5546875" bestFit="1" customWidth="1"/>
    <col min="9473" max="9473" width="20.44140625" customWidth="1"/>
    <col min="9474" max="9474" width="14.44140625" customWidth="1"/>
    <col min="9475" max="9475" width="65.5546875" customWidth="1"/>
    <col min="9476" max="9476" width="33.44140625" customWidth="1"/>
    <col min="9477" max="9477" width="13.21875" customWidth="1"/>
    <col min="9478" max="9478" width="57.21875" bestFit="1" customWidth="1"/>
    <col min="9479" max="9479" width="19.77734375" customWidth="1"/>
    <col min="9480" max="9480" width="14.77734375" customWidth="1"/>
    <col min="9481" max="9481" width="34.77734375" customWidth="1"/>
    <col min="9482" max="9482" width="24.77734375" customWidth="1"/>
    <col min="9483" max="9483" width="8.21875" customWidth="1"/>
    <col min="9484" max="9484" width="32.44140625" customWidth="1"/>
    <col min="9485" max="9485" width="10.77734375" customWidth="1"/>
    <col min="9486" max="9486" width="13.5546875" customWidth="1"/>
    <col min="9487" max="9487" width="19.21875" customWidth="1"/>
    <col min="9488" max="9488" width="12.77734375" customWidth="1"/>
    <col min="9489" max="9489" width="11.21875" customWidth="1"/>
    <col min="9490" max="9490" width="13" customWidth="1"/>
    <col min="9491" max="9492" width="15.5546875" bestFit="1" customWidth="1"/>
    <col min="9493" max="9493" width="11.5546875" bestFit="1" customWidth="1"/>
    <col min="9729" max="9729" width="20.44140625" customWidth="1"/>
    <col min="9730" max="9730" width="14.44140625" customWidth="1"/>
    <col min="9731" max="9731" width="65.5546875" customWidth="1"/>
    <col min="9732" max="9732" width="33.44140625" customWidth="1"/>
    <col min="9733" max="9733" width="13.21875" customWidth="1"/>
    <col min="9734" max="9734" width="57.21875" bestFit="1" customWidth="1"/>
    <col min="9735" max="9735" width="19.77734375" customWidth="1"/>
    <col min="9736" max="9736" width="14.77734375" customWidth="1"/>
    <col min="9737" max="9737" width="34.77734375" customWidth="1"/>
    <col min="9738" max="9738" width="24.77734375" customWidth="1"/>
    <col min="9739" max="9739" width="8.21875" customWidth="1"/>
    <col min="9740" max="9740" width="32.44140625" customWidth="1"/>
    <col min="9741" max="9741" width="10.77734375" customWidth="1"/>
    <col min="9742" max="9742" width="13.5546875" customWidth="1"/>
    <col min="9743" max="9743" width="19.21875" customWidth="1"/>
    <col min="9744" max="9744" width="12.77734375" customWidth="1"/>
    <col min="9745" max="9745" width="11.21875" customWidth="1"/>
    <col min="9746" max="9746" width="13" customWidth="1"/>
    <col min="9747" max="9748" width="15.5546875" bestFit="1" customWidth="1"/>
    <col min="9749" max="9749" width="11.5546875" bestFit="1" customWidth="1"/>
    <col min="9985" max="9985" width="20.44140625" customWidth="1"/>
    <col min="9986" max="9986" width="14.44140625" customWidth="1"/>
    <col min="9987" max="9987" width="65.5546875" customWidth="1"/>
    <col min="9988" max="9988" width="33.44140625" customWidth="1"/>
    <col min="9989" max="9989" width="13.21875" customWidth="1"/>
    <col min="9990" max="9990" width="57.21875" bestFit="1" customWidth="1"/>
    <col min="9991" max="9991" width="19.77734375" customWidth="1"/>
    <col min="9992" max="9992" width="14.77734375" customWidth="1"/>
    <col min="9993" max="9993" width="34.77734375" customWidth="1"/>
    <col min="9994" max="9994" width="24.77734375" customWidth="1"/>
    <col min="9995" max="9995" width="8.21875" customWidth="1"/>
    <col min="9996" max="9996" width="32.44140625" customWidth="1"/>
    <col min="9997" max="9997" width="10.77734375" customWidth="1"/>
    <col min="9998" max="9998" width="13.5546875" customWidth="1"/>
    <col min="9999" max="9999" width="19.21875" customWidth="1"/>
    <col min="10000" max="10000" width="12.77734375" customWidth="1"/>
    <col min="10001" max="10001" width="11.21875" customWidth="1"/>
    <col min="10002" max="10002" width="13" customWidth="1"/>
    <col min="10003" max="10004" width="15.5546875" bestFit="1" customWidth="1"/>
    <col min="10005" max="10005" width="11.5546875" bestFit="1" customWidth="1"/>
    <col min="10241" max="10241" width="20.44140625" customWidth="1"/>
    <col min="10242" max="10242" width="14.44140625" customWidth="1"/>
    <col min="10243" max="10243" width="65.5546875" customWidth="1"/>
    <col min="10244" max="10244" width="33.44140625" customWidth="1"/>
    <col min="10245" max="10245" width="13.21875" customWidth="1"/>
    <col min="10246" max="10246" width="57.21875" bestFit="1" customWidth="1"/>
    <col min="10247" max="10247" width="19.77734375" customWidth="1"/>
    <col min="10248" max="10248" width="14.77734375" customWidth="1"/>
    <col min="10249" max="10249" width="34.77734375" customWidth="1"/>
    <col min="10250" max="10250" width="24.77734375" customWidth="1"/>
    <col min="10251" max="10251" width="8.21875" customWidth="1"/>
    <col min="10252" max="10252" width="32.44140625" customWidth="1"/>
    <col min="10253" max="10253" width="10.77734375" customWidth="1"/>
    <col min="10254" max="10254" width="13.5546875" customWidth="1"/>
    <col min="10255" max="10255" width="19.21875" customWidth="1"/>
    <col min="10256" max="10256" width="12.77734375" customWidth="1"/>
    <col min="10257" max="10257" width="11.21875" customWidth="1"/>
    <col min="10258" max="10258" width="13" customWidth="1"/>
    <col min="10259" max="10260" width="15.5546875" bestFit="1" customWidth="1"/>
    <col min="10261" max="10261" width="11.5546875" bestFit="1" customWidth="1"/>
    <col min="10497" max="10497" width="20.44140625" customWidth="1"/>
    <col min="10498" max="10498" width="14.44140625" customWidth="1"/>
    <col min="10499" max="10499" width="65.5546875" customWidth="1"/>
    <col min="10500" max="10500" width="33.44140625" customWidth="1"/>
    <col min="10501" max="10501" width="13.21875" customWidth="1"/>
    <col min="10502" max="10502" width="57.21875" bestFit="1" customWidth="1"/>
    <col min="10503" max="10503" width="19.77734375" customWidth="1"/>
    <col min="10504" max="10504" width="14.77734375" customWidth="1"/>
    <col min="10505" max="10505" width="34.77734375" customWidth="1"/>
    <col min="10506" max="10506" width="24.77734375" customWidth="1"/>
    <col min="10507" max="10507" width="8.21875" customWidth="1"/>
    <col min="10508" max="10508" width="32.44140625" customWidth="1"/>
    <col min="10509" max="10509" width="10.77734375" customWidth="1"/>
    <col min="10510" max="10510" width="13.5546875" customWidth="1"/>
    <col min="10511" max="10511" width="19.21875" customWidth="1"/>
    <col min="10512" max="10512" width="12.77734375" customWidth="1"/>
    <col min="10513" max="10513" width="11.21875" customWidth="1"/>
    <col min="10514" max="10514" width="13" customWidth="1"/>
    <col min="10515" max="10516" width="15.5546875" bestFit="1" customWidth="1"/>
    <col min="10517" max="10517" width="11.5546875" bestFit="1" customWidth="1"/>
    <col min="10753" max="10753" width="20.44140625" customWidth="1"/>
    <col min="10754" max="10754" width="14.44140625" customWidth="1"/>
    <col min="10755" max="10755" width="65.5546875" customWidth="1"/>
    <col min="10756" max="10756" width="33.44140625" customWidth="1"/>
    <col min="10757" max="10757" width="13.21875" customWidth="1"/>
    <col min="10758" max="10758" width="57.21875" bestFit="1" customWidth="1"/>
    <col min="10759" max="10759" width="19.77734375" customWidth="1"/>
    <col min="10760" max="10760" width="14.77734375" customWidth="1"/>
    <col min="10761" max="10761" width="34.77734375" customWidth="1"/>
    <col min="10762" max="10762" width="24.77734375" customWidth="1"/>
    <col min="10763" max="10763" width="8.21875" customWidth="1"/>
    <col min="10764" max="10764" width="32.44140625" customWidth="1"/>
    <col min="10765" max="10765" width="10.77734375" customWidth="1"/>
    <col min="10766" max="10766" width="13.5546875" customWidth="1"/>
    <col min="10767" max="10767" width="19.21875" customWidth="1"/>
    <col min="10768" max="10768" width="12.77734375" customWidth="1"/>
    <col min="10769" max="10769" width="11.21875" customWidth="1"/>
    <col min="10770" max="10770" width="13" customWidth="1"/>
    <col min="10771" max="10772" width="15.5546875" bestFit="1" customWidth="1"/>
    <col min="10773" max="10773" width="11.5546875" bestFit="1" customWidth="1"/>
    <col min="11009" max="11009" width="20.44140625" customWidth="1"/>
    <col min="11010" max="11010" width="14.44140625" customWidth="1"/>
    <col min="11011" max="11011" width="65.5546875" customWidth="1"/>
    <col min="11012" max="11012" width="33.44140625" customWidth="1"/>
    <col min="11013" max="11013" width="13.21875" customWidth="1"/>
    <col min="11014" max="11014" width="57.21875" bestFit="1" customWidth="1"/>
    <col min="11015" max="11015" width="19.77734375" customWidth="1"/>
    <col min="11016" max="11016" width="14.77734375" customWidth="1"/>
    <col min="11017" max="11017" width="34.77734375" customWidth="1"/>
    <col min="11018" max="11018" width="24.77734375" customWidth="1"/>
    <col min="11019" max="11019" width="8.21875" customWidth="1"/>
    <col min="11020" max="11020" width="32.44140625" customWidth="1"/>
    <col min="11021" max="11021" width="10.77734375" customWidth="1"/>
    <col min="11022" max="11022" width="13.5546875" customWidth="1"/>
    <col min="11023" max="11023" width="19.21875" customWidth="1"/>
    <col min="11024" max="11024" width="12.77734375" customWidth="1"/>
    <col min="11025" max="11025" width="11.21875" customWidth="1"/>
    <col min="11026" max="11026" width="13" customWidth="1"/>
    <col min="11027" max="11028" width="15.5546875" bestFit="1" customWidth="1"/>
    <col min="11029" max="11029" width="11.5546875" bestFit="1" customWidth="1"/>
    <col min="11265" max="11265" width="20.44140625" customWidth="1"/>
    <col min="11266" max="11266" width="14.44140625" customWidth="1"/>
    <col min="11267" max="11267" width="65.5546875" customWidth="1"/>
    <col min="11268" max="11268" width="33.44140625" customWidth="1"/>
    <col min="11269" max="11269" width="13.21875" customWidth="1"/>
    <col min="11270" max="11270" width="57.21875" bestFit="1" customWidth="1"/>
    <col min="11271" max="11271" width="19.77734375" customWidth="1"/>
    <col min="11272" max="11272" width="14.77734375" customWidth="1"/>
    <col min="11273" max="11273" width="34.77734375" customWidth="1"/>
    <col min="11274" max="11274" width="24.77734375" customWidth="1"/>
    <col min="11275" max="11275" width="8.21875" customWidth="1"/>
    <col min="11276" max="11276" width="32.44140625" customWidth="1"/>
    <col min="11277" max="11277" width="10.77734375" customWidth="1"/>
    <col min="11278" max="11278" width="13.5546875" customWidth="1"/>
    <col min="11279" max="11279" width="19.21875" customWidth="1"/>
    <col min="11280" max="11280" width="12.77734375" customWidth="1"/>
    <col min="11281" max="11281" width="11.21875" customWidth="1"/>
    <col min="11282" max="11282" width="13" customWidth="1"/>
    <col min="11283" max="11284" width="15.5546875" bestFit="1" customWidth="1"/>
    <col min="11285" max="11285" width="11.5546875" bestFit="1" customWidth="1"/>
    <col min="11521" max="11521" width="20.44140625" customWidth="1"/>
    <col min="11522" max="11522" width="14.44140625" customWidth="1"/>
    <col min="11523" max="11523" width="65.5546875" customWidth="1"/>
    <col min="11524" max="11524" width="33.44140625" customWidth="1"/>
    <col min="11525" max="11525" width="13.21875" customWidth="1"/>
    <col min="11526" max="11526" width="57.21875" bestFit="1" customWidth="1"/>
    <col min="11527" max="11527" width="19.77734375" customWidth="1"/>
    <col min="11528" max="11528" width="14.77734375" customWidth="1"/>
    <col min="11529" max="11529" width="34.77734375" customWidth="1"/>
    <col min="11530" max="11530" width="24.77734375" customWidth="1"/>
    <col min="11531" max="11531" width="8.21875" customWidth="1"/>
    <col min="11532" max="11532" width="32.44140625" customWidth="1"/>
    <col min="11533" max="11533" width="10.77734375" customWidth="1"/>
    <col min="11534" max="11534" width="13.5546875" customWidth="1"/>
    <col min="11535" max="11535" width="19.21875" customWidth="1"/>
    <col min="11536" max="11536" width="12.77734375" customWidth="1"/>
    <col min="11537" max="11537" width="11.21875" customWidth="1"/>
    <col min="11538" max="11538" width="13" customWidth="1"/>
    <col min="11539" max="11540" width="15.5546875" bestFit="1" customWidth="1"/>
    <col min="11541" max="11541" width="11.5546875" bestFit="1" customWidth="1"/>
    <col min="11777" max="11777" width="20.44140625" customWidth="1"/>
    <col min="11778" max="11778" width="14.44140625" customWidth="1"/>
    <col min="11779" max="11779" width="65.5546875" customWidth="1"/>
    <col min="11780" max="11780" width="33.44140625" customWidth="1"/>
    <col min="11781" max="11781" width="13.21875" customWidth="1"/>
    <col min="11782" max="11782" width="57.21875" bestFit="1" customWidth="1"/>
    <col min="11783" max="11783" width="19.77734375" customWidth="1"/>
    <col min="11784" max="11784" width="14.77734375" customWidth="1"/>
    <col min="11785" max="11785" width="34.77734375" customWidth="1"/>
    <col min="11786" max="11786" width="24.77734375" customWidth="1"/>
    <col min="11787" max="11787" width="8.21875" customWidth="1"/>
    <col min="11788" max="11788" width="32.44140625" customWidth="1"/>
    <col min="11789" max="11789" width="10.77734375" customWidth="1"/>
    <col min="11790" max="11790" width="13.5546875" customWidth="1"/>
    <col min="11791" max="11791" width="19.21875" customWidth="1"/>
    <col min="11792" max="11792" width="12.77734375" customWidth="1"/>
    <col min="11793" max="11793" width="11.21875" customWidth="1"/>
    <col min="11794" max="11794" width="13" customWidth="1"/>
    <col min="11795" max="11796" width="15.5546875" bestFit="1" customWidth="1"/>
    <col min="11797" max="11797" width="11.5546875" bestFit="1" customWidth="1"/>
    <col min="12033" max="12033" width="20.44140625" customWidth="1"/>
    <col min="12034" max="12034" width="14.44140625" customWidth="1"/>
    <col min="12035" max="12035" width="65.5546875" customWidth="1"/>
    <col min="12036" max="12036" width="33.44140625" customWidth="1"/>
    <col min="12037" max="12037" width="13.21875" customWidth="1"/>
    <col min="12038" max="12038" width="57.21875" bestFit="1" customWidth="1"/>
    <col min="12039" max="12039" width="19.77734375" customWidth="1"/>
    <col min="12040" max="12040" width="14.77734375" customWidth="1"/>
    <col min="12041" max="12041" width="34.77734375" customWidth="1"/>
    <col min="12042" max="12042" width="24.77734375" customWidth="1"/>
    <col min="12043" max="12043" width="8.21875" customWidth="1"/>
    <col min="12044" max="12044" width="32.44140625" customWidth="1"/>
    <col min="12045" max="12045" width="10.77734375" customWidth="1"/>
    <col min="12046" max="12046" width="13.5546875" customWidth="1"/>
    <col min="12047" max="12047" width="19.21875" customWidth="1"/>
    <col min="12048" max="12048" width="12.77734375" customWidth="1"/>
    <col min="12049" max="12049" width="11.21875" customWidth="1"/>
    <col min="12050" max="12050" width="13" customWidth="1"/>
    <col min="12051" max="12052" width="15.5546875" bestFit="1" customWidth="1"/>
    <col min="12053" max="12053" width="11.5546875" bestFit="1" customWidth="1"/>
    <col min="12289" max="12289" width="20.44140625" customWidth="1"/>
    <col min="12290" max="12290" width="14.44140625" customWidth="1"/>
    <col min="12291" max="12291" width="65.5546875" customWidth="1"/>
    <col min="12292" max="12292" width="33.44140625" customWidth="1"/>
    <col min="12293" max="12293" width="13.21875" customWidth="1"/>
    <col min="12294" max="12294" width="57.21875" bestFit="1" customWidth="1"/>
    <col min="12295" max="12295" width="19.77734375" customWidth="1"/>
    <col min="12296" max="12296" width="14.77734375" customWidth="1"/>
    <col min="12297" max="12297" width="34.77734375" customWidth="1"/>
    <col min="12298" max="12298" width="24.77734375" customWidth="1"/>
    <col min="12299" max="12299" width="8.21875" customWidth="1"/>
    <col min="12300" max="12300" width="32.44140625" customWidth="1"/>
    <col min="12301" max="12301" width="10.77734375" customWidth="1"/>
    <col min="12302" max="12302" width="13.5546875" customWidth="1"/>
    <col min="12303" max="12303" width="19.21875" customWidth="1"/>
    <col min="12304" max="12304" width="12.77734375" customWidth="1"/>
    <col min="12305" max="12305" width="11.21875" customWidth="1"/>
    <col min="12306" max="12306" width="13" customWidth="1"/>
    <col min="12307" max="12308" width="15.5546875" bestFit="1" customWidth="1"/>
    <col min="12309" max="12309" width="11.5546875" bestFit="1" customWidth="1"/>
    <col min="12545" max="12545" width="20.44140625" customWidth="1"/>
    <col min="12546" max="12546" width="14.44140625" customWidth="1"/>
    <col min="12547" max="12547" width="65.5546875" customWidth="1"/>
    <col min="12548" max="12548" width="33.44140625" customWidth="1"/>
    <col min="12549" max="12549" width="13.21875" customWidth="1"/>
    <col min="12550" max="12550" width="57.21875" bestFit="1" customWidth="1"/>
    <col min="12551" max="12551" width="19.77734375" customWidth="1"/>
    <col min="12552" max="12552" width="14.77734375" customWidth="1"/>
    <col min="12553" max="12553" width="34.77734375" customWidth="1"/>
    <col min="12554" max="12554" width="24.77734375" customWidth="1"/>
    <col min="12555" max="12555" width="8.21875" customWidth="1"/>
    <col min="12556" max="12556" width="32.44140625" customWidth="1"/>
    <col min="12557" max="12557" width="10.77734375" customWidth="1"/>
    <col min="12558" max="12558" width="13.5546875" customWidth="1"/>
    <col min="12559" max="12559" width="19.21875" customWidth="1"/>
    <col min="12560" max="12560" width="12.77734375" customWidth="1"/>
    <col min="12561" max="12561" width="11.21875" customWidth="1"/>
    <col min="12562" max="12562" width="13" customWidth="1"/>
    <col min="12563" max="12564" width="15.5546875" bestFit="1" customWidth="1"/>
    <col min="12565" max="12565" width="11.5546875" bestFit="1" customWidth="1"/>
    <col min="12801" max="12801" width="20.44140625" customWidth="1"/>
    <col min="12802" max="12802" width="14.44140625" customWidth="1"/>
    <col min="12803" max="12803" width="65.5546875" customWidth="1"/>
    <col min="12804" max="12804" width="33.44140625" customWidth="1"/>
    <col min="12805" max="12805" width="13.21875" customWidth="1"/>
    <col min="12806" max="12806" width="57.21875" bestFit="1" customWidth="1"/>
    <col min="12807" max="12807" width="19.77734375" customWidth="1"/>
    <col min="12808" max="12808" width="14.77734375" customWidth="1"/>
    <col min="12809" max="12809" width="34.77734375" customWidth="1"/>
    <col min="12810" max="12810" width="24.77734375" customWidth="1"/>
    <col min="12811" max="12811" width="8.21875" customWidth="1"/>
    <col min="12812" max="12812" width="32.44140625" customWidth="1"/>
    <col min="12813" max="12813" width="10.77734375" customWidth="1"/>
    <col min="12814" max="12814" width="13.5546875" customWidth="1"/>
    <col min="12815" max="12815" width="19.21875" customWidth="1"/>
    <col min="12816" max="12816" width="12.77734375" customWidth="1"/>
    <col min="12817" max="12817" width="11.21875" customWidth="1"/>
    <col min="12818" max="12818" width="13" customWidth="1"/>
    <col min="12819" max="12820" width="15.5546875" bestFit="1" customWidth="1"/>
    <col min="12821" max="12821" width="11.5546875" bestFit="1" customWidth="1"/>
    <col min="13057" max="13057" width="20.44140625" customWidth="1"/>
    <col min="13058" max="13058" width="14.44140625" customWidth="1"/>
    <col min="13059" max="13059" width="65.5546875" customWidth="1"/>
    <col min="13060" max="13060" width="33.44140625" customWidth="1"/>
    <col min="13061" max="13061" width="13.21875" customWidth="1"/>
    <col min="13062" max="13062" width="57.21875" bestFit="1" customWidth="1"/>
    <col min="13063" max="13063" width="19.77734375" customWidth="1"/>
    <col min="13064" max="13064" width="14.77734375" customWidth="1"/>
    <col min="13065" max="13065" width="34.77734375" customWidth="1"/>
    <col min="13066" max="13066" width="24.77734375" customWidth="1"/>
    <col min="13067" max="13067" width="8.21875" customWidth="1"/>
    <col min="13068" max="13068" width="32.44140625" customWidth="1"/>
    <col min="13069" max="13069" width="10.77734375" customWidth="1"/>
    <col min="13070" max="13070" width="13.5546875" customWidth="1"/>
    <col min="13071" max="13071" width="19.21875" customWidth="1"/>
    <col min="13072" max="13072" width="12.77734375" customWidth="1"/>
    <col min="13073" max="13073" width="11.21875" customWidth="1"/>
    <col min="13074" max="13074" width="13" customWidth="1"/>
    <col min="13075" max="13076" width="15.5546875" bestFit="1" customWidth="1"/>
    <col min="13077" max="13077" width="11.5546875" bestFit="1" customWidth="1"/>
    <col min="13313" max="13313" width="20.44140625" customWidth="1"/>
    <col min="13314" max="13314" width="14.44140625" customWidth="1"/>
    <col min="13315" max="13315" width="65.5546875" customWidth="1"/>
    <col min="13316" max="13316" width="33.44140625" customWidth="1"/>
    <col min="13317" max="13317" width="13.21875" customWidth="1"/>
    <col min="13318" max="13318" width="57.21875" bestFit="1" customWidth="1"/>
    <col min="13319" max="13319" width="19.77734375" customWidth="1"/>
    <col min="13320" max="13320" width="14.77734375" customWidth="1"/>
    <col min="13321" max="13321" width="34.77734375" customWidth="1"/>
    <col min="13322" max="13322" width="24.77734375" customWidth="1"/>
    <col min="13323" max="13323" width="8.21875" customWidth="1"/>
    <col min="13324" max="13324" width="32.44140625" customWidth="1"/>
    <col min="13325" max="13325" width="10.77734375" customWidth="1"/>
    <col min="13326" max="13326" width="13.5546875" customWidth="1"/>
    <col min="13327" max="13327" width="19.21875" customWidth="1"/>
    <col min="13328" max="13328" width="12.77734375" customWidth="1"/>
    <col min="13329" max="13329" width="11.21875" customWidth="1"/>
    <col min="13330" max="13330" width="13" customWidth="1"/>
    <col min="13331" max="13332" width="15.5546875" bestFit="1" customWidth="1"/>
    <col min="13333" max="13333" width="11.5546875" bestFit="1" customWidth="1"/>
    <col min="13569" max="13569" width="20.44140625" customWidth="1"/>
    <col min="13570" max="13570" width="14.44140625" customWidth="1"/>
    <col min="13571" max="13571" width="65.5546875" customWidth="1"/>
    <col min="13572" max="13572" width="33.44140625" customWidth="1"/>
    <col min="13573" max="13573" width="13.21875" customWidth="1"/>
    <col min="13574" max="13574" width="57.21875" bestFit="1" customWidth="1"/>
    <col min="13575" max="13575" width="19.77734375" customWidth="1"/>
    <col min="13576" max="13576" width="14.77734375" customWidth="1"/>
    <col min="13577" max="13577" width="34.77734375" customWidth="1"/>
    <col min="13578" max="13578" width="24.77734375" customWidth="1"/>
    <col min="13579" max="13579" width="8.21875" customWidth="1"/>
    <col min="13580" max="13580" width="32.44140625" customWidth="1"/>
    <col min="13581" max="13581" width="10.77734375" customWidth="1"/>
    <col min="13582" max="13582" width="13.5546875" customWidth="1"/>
    <col min="13583" max="13583" width="19.21875" customWidth="1"/>
    <col min="13584" max="13584" width="12.77734375" customWidth="1"/>
    <col min="13585" max="13585" width="11.21875" customWidth="1"/>
    <col min="13586" max="13586" width="13" customWidth="1"/>
    <col min="13587" max="13588" width="15.5546875" bestFit="1" customWidth="1"/>
    <col min="13589" max="13589" width="11.5546875" bestFit="1" customWidth="1"/>
    <col min="13825" max="13825" width="20.44140625" customWidth="1"/>
    <col min="13826" max="13826" width="14.44140625" customWidth="1"/>
    <col min="13827" max="13827" width="65.5546875" customWidth="1"/>
    <col min="13828" max="13828" width="33.44140625" customWidth="1"/>
    <col min="13829" max="13829" width="13.21875" customWidth="1"/>
    <col min="13830" max="13830" width="57.21875" bestFit="1" customWidth="1"/>
    <col min="13831" max="13831" width="19.77734375" customWidth="1"/>
    <col min="13832" max="13832" width="14.77734375" customWidth="1"/>
    <col min="13833" max="13833" width="34.77734375" customWidth="1"/>
    <col min="13834" max="13834" width="24.77734375" customWidth="1"/>
    <col min="13835" max="13835" width="8.21875" customWidth="1"/>
    <col min="13836" max="13836" width="32.44140625" customWidth="1"/>
    <col min="13837" max="13837" width="10.77734375" customWidth="1"/>
    <col min="13838" max="13838" width="13.5546875" customWidth="1"/>
    <col min="13839" max="13839" width="19.21875" customWidth="1"/>
    <col min="13840" max="13840" width="12.77734375" customWidth="1"/>
    <col min="13841" max="13841" width="11.21875" customWidth="1"/>
    <col min="13842" max="13842" width="13" customWidth="1"/>
    <col min="13843" max="13844" width="15.5546875" bestFit="1" customWidth="1"/>
    <col min="13845" max="13845" width="11.5546875" bestFit="1" customWidth="1"/>
    <col min="14081" max="14081" width="20.44140625" customWidth="1"/>
    <col min="14082" max="14082" width="14.44140625" customWidth="1"/>
    <col min="14083" max="14083" width="65.5546875" customWidth="1"/>
    <col min="14084" max="14084" width="33.44140625" customWidth="1"/>
    <col min="14085" max="14085" width="13.21875" customWidth="1"/>
    <col min="14086" max="14086" width="57.21875" bestFit="1" customWidth="1"/>
    <col min="14087" max="14087" width="19.77734375" customWidth="1"/>
    <col min="14088" max="14088" width="14.77734375" customWidth="1"/>
    <col min="14089" max="14089" width="34.77734375" customWidth="1"/>
    <col min="14090" max="14090" width="24.77734375" customWidth="1"/>
    <col min="14091" max="14091" width="8.21875" customWidth="1"/>
    <col min="14092" max="14092" width="32.44140625" customWidth="1"/>
    <col min="14093" max="14093" width="10.77734375" customWidth="1"/>
    <col min="14094" max="14094" width="13.5546875" customWidth="1"/>
    <col min="14095" max="14095" width="19.21875" customWidth="1"/>
    <col min="14096" max="14096" width="12.77734375" customWidth="1"/>
    <col min="14097" max="14097" width="11.21875" customWidth="1"/>
    <col min="14098" max="14098" width="13" customWidth="1"/>
    <col min="14099" max="14100" width="15.5546875" bestFit="1" customWidth="1"/>
    <col min="14101" max="14101" width="11.5546875" bestFit="1" customWidth="1"/>
    <col min="14337" max="14337" width="20.44140625" customWidth="1"/>
    <col min="14338" max="14338" width="14.44140625" customWidth="1"/>
    <col min="14339" max="14339" width="65.5546875" customWidth="1"/>
    <col min="14340" max="14340" width="33.44140625" customWidth="1"/>
    <col min="14341" max="14341" width="13.21875" customWidth="1"/>
    <col min="14342" max="14342" width="57.21875" bestFit="1" customWidth="1"/>
    <col min="14343" max="14343" width="19.77734375" customWidth="1"/>
    <col min="14344" max="14344" width="14.77734375" customWidth="1"/>
    <col min="14345" max="14345" width="34.77734375" customWidth="1"/>
    <col min="14346" max="14346" width="24.77734375" customWidth="1"/>
    <col min="14347" max="14347" width="8.21875" customWidth="1"/>
    <col min="14348" max="14348" width="32.44140625" customWidth="1"/>
    <col min="14349" max="14349" width="10.77734375" customWidth="1"/>
    <col min="14350" max="14350" width="13.5546875" customWidth="1"/>
    <col min="14351" max="14351" width="19.21875" customWidth="1"/>
    <col min="14352" max="14352" width="12.77734375" customWidth="1"/>
    <col min="14353" max="14353" width="11.21875" customWidth="1"/>
    <col min="14354" max="14354" width="13" customWidth="1"/>
    <col min="14355" max="14356" width="15.5546875" bestFit="1" customWidth="1"/>
    <col min="14357" max="14357" width="11.5546875" bestFit="1" customWidth="1"/>
    <col min="14593" max="14593" width="20.44140625" customWidth="1"/>
    <col min="14594" max="14594" width="14.44140625" customWidth="1"/>
    <col min="14595" max="14595" width="65.5546875" customWidth="1"/>
    <col min="14596" max="14596" width="33.44140625" customWidth="1"/>
    <col min="14597" max="14597" width="13.21875" customWidth="1"/>
    <col min="14598" max="14598" width="57.21875" bestFit="1" customWidth="1"/>
    <col min="14599" max="14599" width="19.77734375" customWidth="1"/>
    <col min="14600" max="14600" width="14.77734375" customWidth="1"/>
    <col min="14601" max="14601" width="34.77734375" customWidth="1"/>
    <col min="14602" max="14602" width="24.77734375" customWidth="1"/>
    <col min="14603" max="14603" width="8.21875" customWidth="1"/>
    <col min="14604" max="14604" width="32.44140625" customWidth="1"/>
    <col min="14605" max="14605" width="10.77734375" customWidth="1"/>
    <col min="14606" max="14606" width="13.5546875" customWidth="1"/>
    <col min="14607" max="14607" width="19.21875" customWidth="1"/>
    <col min="14608" max="14608" width="12.77734375" customWidth="1"/>
    <col min="14609" max="14609" width="11.21875" customWidth="1"/>
    <col min="14610" max="14610" width="13" customWidth="1"/>
    <col min="14611" max="14612" width="15.5546875" bestFit="1" customWidth="1"/>
    <col min="14613" max="14613" width="11.5546875" bestFit="1" customWidth="1"/>
    <col min="14849" max="14849" width="20.44140625" customWidth="1"/>
    <col min="14850" max="14850" width="14.44140625" customWidth="1"/>
    <col min="14851" max="14851" width="65.5546875" customWidth="1"/>
    <col min="14852" max="14852" width="33.44140625" customWidth="1"/>
    <col min="14853" max="14853" width="13.21875" customWidth="1"/>
    <col min="14854" max="14854" width="57.21875" bestFit="1" customWidth="1"/>
    <col min="14855" max="14855" width="19.77734375" customWidth="1"/>
    <col min="14856" max="14856" width="14.77734375" customWidth="1"/>
    <col min="14857" max="14857" width="34.77734375" customWidth="1"/>
    <col min="14858" max="14858" width="24.77734375" customWidth="1"/>
    <col min="14859" max="14859" width="8.21875" customWidth="1"/>
    <col min="14860" max="14860" width="32.44140625" customWidth="1"/>
    <col min="14861" max="14861" width="10.77734375" customWidth="1"/>
    <col min="14862" max="14862" width="13.5546875" customWidth="1"/>
    <col min="14863" max="14863" width="19.21875" customWidth="1"/>
    <col min="14864" max="14864" width="12.77734375" customWidth="1"/>
    <col min="14865" max="14865" width="11.21875" customWidth="1"/>
    <col min="14866" max="14866" width="13" customWidth="1"/>
    <col min="14867" max="14868" width="15.5546875" bestFit="1" customWidth="1"/>
    <col min="14869" max="14869" width="11.5546875" bestFit="1" customWidth="1"/>
    <col min="15105" max="15105" width="20.44140625" customWidth="1"/>
    <col min="15106" max="15106" width="14.44140625" customWidth="1"/>
    <col min="15107" max="15107" width="65.5546875" customWidth="1"/>
    <col min="15108" max="15108" width="33.44140625" customWidth="1"/>
    <col min="15109" max="15109" width="13.21875" customWidth="1"/>
    <col min="15110" max="15110" width="57.21875" bestFit="1" customWidth="1"/>
    <col min="15111" max="15111" width="19.77734375" customWidth="1"/>
    <col min="15112" max="15112" width="14.77734375" customWidth="1"/>
    <col min="15113" max="15113" width="34.77734375" customWidth="1"/>
    <col min="15114" max="15114" width="24.77734375" customWidth="1"/>
    <col min="15115" max="15115" width="8.21875" customWidth="1"/>
    <col min="15116" max="15116" width="32.44140625" customWidth="1"/>
    <col min="15117" max="15117" width="10.77734375" customWidth="1"/>
    <col min="15118" max="15118" width="13.5546875" customWidth="1"/>
    <col min="15119" max="15119" width="19.21875" customWidth="1"/>
    <col min="15120" max="15120" width="12.77734375" customWidth="1"/>
    <col min="15121" max="15121" width="11.21875" customWidth="1"/>
    <col min="15122" max="15122" width="13" customWidth="1"/>
    <col min="15123" max="15124" width="15.5546875" bestFit="1" customWidth="1"/>
    <col min="15125" max="15125" width="11.5546875" bestFit="1" customWidth="1"/>
    <col min="15361" max="15361" width="20.44140625" customWidth="1"/>
    <col min="15362" max="15362" width="14.44140625" customWidth="1"/>
    <col min="15363" max="15363" width="65.5546875" customWidth="1"/>
    <col min="15364" max="15364" width="33.44140625" customWidth="1"/>
    <col min="15365" max="15365" width="13.21875" customWidth="1"/>
    <col min="15366" max="15366" width="57.21875" bestFit="1" customWidth="1"/>
    <col min="15367" max="15367" width="19.77734375" customWidth="1"/>
    <col min="15368" max="15368" width="14.77734375" customWidth="1"/>
    <col min="15369" max="15369" width="34.77734375" customWidth="1"/>
    <col min="15370" max="15370" width="24.77734375" customWidth="1"/>
    <col min="15371" max="15371" width="8.21875" customWidth="1"/>
    <col min="15372" max="15372" width="32.44140625" customWidth="1"/>
    <col min="15373" max="15373" width="10.77734375" customWidth="1"/>
    <col min="15374" max="15374" width="13.5546875" customWidth="1"/>
    <col min="15375" max="15375" width="19.21875" customWidth="1"/>
    <col min="15376" max="15376" width="12.77734375" customWidth="1"/>
    <col min="15377" max="15377" width="11.21875" customWidth="1"/>
    <col min="15378" max="15378" width="13" customWidth="1"/>
    <col min="15379" max="15380" width="15.5546875" bestFit="1" customWidth="1"/>
    <col min="15381" max="15381" width="11.5546875" bestFit="1" customWidth="1"/>
    <col min="15617" max="15617" width="20.44140625" customWidth="1"/>
    <col min="15618" max="15618" width="14.44140625" customWidth="1"/>
    <col min="15619" max="15619" width="65.5546875" customWidth="1"/>
    <col min="15620" max="15620" width="33.44140625" customWidth="1"/>
    <col min="15621" max="15621" width="13.21875" customWidth="1"/>
    <col min="15622" max="15622" width="57.21875" bestFit="1" customWidth="1"/>
    <col min="15623" max="15623" width="19.77734375" customWidth="1"/>
    <col min="15624" max="15624" width="14.77734375" customWidth="1"/>
    <col min="15625" max="15625" width="34.77734375" customWidth="1"/>
    <col min="15626" max="15626" width="24.77734375" customWidth="1"/>
    <col min="15627" max="15627" width="8.21875" customWidth="1"/>
    <col min="15628" max="15628" width="32.44140625" customWidth="1"/>
    <col min="15629" max="15629" width="10.77734375" customWidth="1"/>
    <col min="15630" max="15630" width="13.5546875" customWidth="1"/>
    <col min="15631" max="15631" width="19.21875" customWidth="1"/>
    <col min="15632" max="15632" width="12.77734375" customWidth="1"/>
    <col min="15633" max="15633" width="11.21875" customWidth="1"/>
    <col min="15634" max="15634" width="13" customWidth="1"/>
    <col min="15635" max="15636" width="15.5546875" bestFit="1" customWidth="1"/>
    <col min="15637" max="15637" width="11.5546875" bestFit="1" customWidth="1"/>
    <col min="15873" max="15873" width="20.44140625" customWidth="1"/>
    <col min="15874" max="15874" width="14.44140625" customWidth="1"/>
    <col min="15875" max="15875" width="65.5546875" customWidth="1"/>
    <col min="15876" max="15876" width="33.44140625" customWidth="1"/>
    <col min="15877" max="15877" width="13.21875" customWidth="1"/>
    <col min="15878" max="15878" width="57.21875" bestFit="1" customWidth="1"/>
    <col min="15879" max="15879" width="19.77734375" customWidth="1"/>
    <col min="15880" max="15880" width="14.77734375" customWidth="1"/>
    <col min="15881" max="15881" width="34.77734375" customWidth="1"/>
    <col min="15882" max="15882" width="24.77734375" customWidth="1"/>
    <col min="15883" max="15883" width="8.21875" customWidth="1"/>
    <col min="15884" max="15884" width="32.44140625" customWidth="1"/>
    <col min="15885" max="15885" width="10.77734375" customWidth="1"/>
    <col min="15886" max="15886" width="13.5546875" customWidth="1"/>
    <col min="15887" max="15887" width="19.21875" customWidth="1"/>
    <col min="15888" max="15888" width="12.77734375" customWidth="1"/>
    <col min="15889" max="15889" width="11.21875" customWidth="1"/>
    <col min="15890" max="15890" width="13" customWidth="1"/>
    <col min="15891" max="15892" width="15.5546875" bestFit="1" customWidth="1"/>
    <col min="15893" max="15893" width="11.5546875" bestFit="1" customWidth="1"/>
    <col min="16129" max="16129" width="20.44140625" customWidth="1"/>
    <col min="16130" max="16130" width="14.44140625" customWidth="1"/>
    <col min="16131" max="16131" width="65.5546875" customWidth="1"/>
    <col min="16132" max="16132" width="33.44140625" customWidth="1"/>
    <col min="16133" max="16133" width="13.21875" customWidth="1"/>
    <col min="16134" max="16134" width="57.21875" bestFit="1" customWidth="1"/>
    <col min="16135" max="16135" width="19.77734375" customWidth="1"/>
    <col min="16136" max="16136" width="14.77734375" customWidth="1"/>
    <col min="16137" max="16137" width="34.77734375" customWidth="1"/>
    <col min="16138" max="16138" width="24.77734375" customWidth="1"/>
    <col min="16139" max="16139" width="8.21875" customWidth="1"/>
    <col min="16140" max="16140" width="32.44140625" customWidth="1"/>
    <col min="16141" max="16141" width="10.77734375" customWidth="1"/>
    <col min="16142" max="16142" width="13.5546875" customWidth="1"/>
    <col min="16143" max="16143" width="19.21875" customWidth="1"/>
    <col min="16144" max="16144" width="12.77734375" customWidth="1"/>
    <col min="16145" max="16145" width="11.21875" customWidth="1"/>
    <col min="16146" max="16146" width="13" customWidth="1"/>
    <col min="16147" max="16148" width="15.5546875" bestFit="1" customWidth="1"/>
    <col min="16149" max="16149" width="11.5546875" bestFit="1" customWidth="1"/>
  </cols>
  <sheetData>
    <row r="1" spans="2:18" ht="7.5" customHeight="1" x14ac:dyDescent="0.25"/>
    <row r="2" spans="2:18" ht="53.4" thickBot="1" x14ac:dyDescent="0.3">
      <c r="B2" s="110" t="s">
        <v>146</v>
      </c>
      <c r="C2" s="110" t="s">
        <v>147</v>
      </c>
      <c r="D2" s="111" t="s">
        <v>148</v>
      </c>
      <c r="E2" s="111" t="s">
        <v>149</v>
      </c>
      <c r="F2" s="111" t="s">
        <v>150</v>
      </c>
      <c r="G2" s="111" t="s">
        <v>151</v>
      </c>
      <c r="H2" s="112" t="s">
        <v>152</v>
      </c>
      <c r="I2" s="111" t="s">
        <v>153</v>
      </c>
      <c r="J2" s="111" t="s">
        <v>23</v>
      </c>
      <c r="L2" s="92"/>
      <c r="M2" s="92"/>
      <c r="N2" s="93"/>
      <c r="O2" s="92"/>
      <c r="P2" s="92"/>
      <c r="Q2" s="92"/>
      <c r="R2" s="92"/>
    </row>
    <row r="3" spans="2:18" ht="15" thickBot="1" x14ac:dyDescent="0.4">
      <c r="B3" s="384" t="s">
        <v>161</v>
      </c>
      <c r="C3" s="174" t="s">
        <v>101</v>
      </c>
      <c r="D3" s="117" t="s">
        <v>122</v>
      </c>
      <c r="E3" s="117" t="s">
        <v>123</v>
      </c>
      <c r="F3" s="117"/>
      <c r="G3" s="117"/>
      <c r="H3" s="118"/>
      <c r="I3" s="232"/>
      <c r="J3" s="258"/>
      <c r="L3" s="92"/>
      <c r="M3" s="92"/>
      <c r="N3" s="93"/>
      <c r="O3" s="92"/>
      <c r="P3" s="92"/>
      <c r="Q3" s="92"/>
      <c r="R3" s="92"/>
    </row>
    <row r="4" spans="2:18" ht="14.4" x14ac:dyDescent="0.35">
      <c r="B4" s="385"/>
      <c r="C4" s="285" t="s">
        <v>266</v>
      </c>
      <c r="D4" s="286" t="s">
        <v>210</v>
      </c>
      <c r="E4" s="287" t="s">
        <v>123</v>
      </c>
      <c r="F4" s="288" t="s">
        <v>267</v>
      </c>
      <c r="G4" s="289"/>
      <c r="H4" s="284"/>
      <c r="I4" s="290"/>
      <c r="J4" s="291"/>
      <c r="L4" s="92"/>
      <c r="M4" s="92"/>
      <c r="N4" s="93"/>
      <c r="O4" s="92"/>
      <c r="P4" s="92"/>
      <c r="Q4" s="92"/>
      <c r="R4" s="92"/>
    </row>
    <row r="5" spans="2:18" ht="14.4" x14ac:dyDescent="0.35">
      <c r="B5" s="385"/>
      <c r="C5" s="175" t="s">
        <v>102</v>
      </c>
      <c r="D5" s="108" t="s">
        <v>122</v>
      </c>
      <c r="E5" s="108" t="s">
        <v>123</v>
      </c>
      <c r="F5" s="108"/>
      <c r="G5" s="108"/>
      <c r="H5" s="114"/>
      <c r="I5" s="233"/>
      <c r="J5" s="259"/>
      <c r="L5" s="92"/>
      <c r="M5" s="92"/>
      <c r="N5" s="93"/>
      <c r="O5" s="92"/>
      <c r="P5" s="92"/>
      <c r="Q5" s="92"/>
      <c r="R5" s="92"/>
    </row>
    <row r="6" spans="2:18" ht="14.4" x14ac:dyDescent="0.25">
      <c r="B6" s="385"/>
      <c r="C6" s="215" t="s">
        <v>103</v>
      </c>
      <c r="D6" s="158" t="s">
        <v>122</v>
      </c>
      <c r="E6" s="158" t="s">
        <v>123</v>
      </c>
      <c r="F6" s="158"/>
      <c r="G6" s="158"/>
      <c r="H6" s="169"/>
      <c r="I6" s="234"/>
      <c r="J6" s="260"/>
      <c r="L6" s="92"/>
      <c r="M6" s="92"/>
      <c r="N6" s="93"/>
      <c r="O6" s="92"/>
      <c r="P6" s="92"/>
      <c r="Q6" s="92"/>
      <c r="R6" s="92"/>
    </row>
    <row r="7" spans="2:18" ht="14.4" x14ac:dyDescent="0.25">
      <c r="B7" s="385"/>
      <c r="C7" s="115" t="s">
        <v>154</v>
      </c>
      <c r="D7" s="108" t="s">
        <v>208</v>
      </c>
      <c r="E7" s="108" t="s">
        <v>123</v>
      </c>
      <c r="F7" s="106" t="s">
        <v>233</v>
      </c>
      <c r="G7" s="108"/>
      <c r="H7" s="114"/>
      <c r="I7" s="235"/>
      <c r="J7" s="106"/>
      <c r="L7" s="92"/>
      <c r="M7" s="92"/>
      <c r="N7" s="93"/>
      <c r="O7" s="92"/>
      <c r="P7" s="92"/>
      <c r="Q7" s="92"/>
      <c r="R7" s="92"/>
    </row>
    <row r="8" spans="2:18" ht="14.4" x14ac:dyDescent="0.25">
      <c r="B8" s="385"/>
      <c r="C8" s="176" t="s">
        <v>130</v>
      </c>
      <c r="D8" s="108" t="s">
        <v>122</v>
      </c>
      <c r="E8" s="108" t="s">
        <v>123</v>
      </c>
      <c r="F8" s="108"/>
      <c r="G8" s="108"/>
      <c r="H8" s="114"/>
      <c r="I8" s="235"/>
      <c r="J8" s="113"/>
      <c r="L8" s="92"/>
      <c r="M8" s="92"/>
      <c r="N8" s="93"/>
      <c r="O8" s="92"/>
      <c r="P8" s="92"/>
      <c r="Q8" s="92"/>
      <c r="R8" s="92"/>
    </row>
    <row r="9" spans="2:18" ht="13.8" thickBot="1" x14ac:dyDescent="0.3">
      <c r="B9" s="110"/>
      <c r="C9" s="110"/>
      <c r="D9" s="111"/>
      <c r="E9" s="111"/>
      <c r="F9" s="111"/>
      <c r="G9" s="111"/>
      <c r="H9" s="112"/>
      <c r="I9" s="111"/>
      <c r="J9" s="111"/>
      <c r="L9" s="92"/>
      <c r="M9" s="92"/>
      <c r="N9" s="93"/>
      <c r="O9" s="92"/>
      <c r="P9" s="92"/>
      <c r="Q9" s="92"/>
      <c r="R9" s="92"/>
    </row>
    <row r="10" spans="2:18" x14ac:dyDescent="0.25">
      <c r="B10" s="407" t="s">
        <v>160</v>
      </c>
      <c r="C10" s="116" t="s">
        <v>225</v>
      </c>
      <c r="D10" s="117" t="s">
        <v>208</v>
      </c>
      <c r="E10" s="117"/>
      <c r="F10" s="117" t="s">
        <v>176</v>
      </c>
      <c r="G10" s="117"/>
      <c r="H10" s="118"/>
      <c r="I10" s="117"/>
      <c r="J10" s="255"/>
      <c r="L10" s="92"/>
      <c r="M10" s="92"/>
      <c r="N10" s="93"/>
      <c r="O10" s="92"/>
      <c r="P10" s="92"/>
      <c r="Q10" s="92"/>
      <c r="R10" s="92"/>
    </row>
    <row r="11" spans="2:18" x14ac:dyDescent="0.25">
      <c r="B11" s="408"/>
      <c r="C11" s="109" t="s">
        <v>226</v>
      </c>
      <c r="D11" s="108" t="s">
        <v>122</v>
      </c>
      <c r="E11" s="108" t="s">
        <v>110</v>
      </c>
      <c r="F11" s="108"/>
      <c r="G11" s="108"/>
      <c r="H11" s="279"/>
      <c r="I11" s="108"/>
      <c r="J11" s="256" t="s">
        <v>127</v>
      </c>
      <c r="L11" s="92"/>
      <c r="M11" s="92"/>
      <c r="N11" s="93"/>
      <c r="O11" s="92"/>
      <c r="P11" s="92"/>
      <c r="Q11" s="92"/>
      <c r="R11" s="92"/>
    </row>
    <row r="12" spans="2:18" x14ac:dyDescent="0.25">
      <c r="B12" s="408"/>
      <c r="C12" s="109" t="s">
        <v>98</v>
      </c>
      <c r="D12" s="108" t="s">
        <v>122</v>
      </c>
      <c r="E12" s="108" t="s">
        <v>110</v>
      </c>
      <c r="F12" s="108"/>
      <c r="G12" s="108"/>
      <c r="H12" s="279"/>
      <c r="I12" s="276">
        <f>H12*1/100</f>
        <v>0</v>
      </c>
      <c r="J12" s="256" t="s">
        <v>126</v>
      </c>
      <c r="L12" s="92"/>
      <c r="M12" s="92"/>
      <c r="N12" s="93"/>
      <c r="O12" s="92"/>
      <c r="P12" s="92"/>
      <c r="Q12" s="92"/>
      <c r="R12" s="92"/>
    </row>
    <row r="13" spans="2:18" x14ac:dyDescent="0.25">
      <c r="B13" s="408"/>
      <c r="C13" s="109" t="s">
        <v>177</v>
      </c>
      <c r="D13" s="108" t="s">
        <v>122</v>
      </c>
      <c r="E13" s="108" t="s">
        <v>110</v>
      </c>
      <c r="F13" s="108"/>
      <c r="G13" s="108"/>
      <c r="H13" s="279"/>
      <c r="I13" s="277">
        <f>(H13+H13*18/100)*1/100</f>
        <v>0</v>
      </c>
      <c r="J13" s="256" t="s">
        <v>125</v>
      </c>
      <c r="L13" s="92"/>
      <c r="M13" s="92"/>
      <c r="N13" s="93"/>
      <c r="O13" s="92"/>
      <c r="P13" s="92"/>
      <c r="Q13" s="92"/>
      <c r="R13" s="92"/>
    </row>
    <row r="14" spans="2:18" ht="13.8" thickBot="1" x14ac:dyDescent="0.3">
      <c r="B14" s="408"/>
      <c r="C14" s="173" t="s">
        <v>106</v>
      </c>
      <c r="D14" s="108" t="s">
        <v>122</v>
      </c>
      <c r="E14" s="158" t="s">
        <v>110</v>
      </c>
      <c r="F14" s="158"/>
      <c r="G14" s="158" t="s">
        <v>232</v>
      </c>
      <c r="H14" s="280"/>
      <c r="I14" s="278">
        <f>H14*1/100</f>
        <v>0</v>
      </c>
      <c r="J14" s="257" t="s">
        <v>129</v>
      </c>
      <c r="L14" s="92"/>
      <c r="M14" s="92"/>
      <c r="N14" s="93"/>
      <c r="O14" s="92"/>
      <c r="P14" s="92"/>
      <c r="Q14" s="92"/>
      <c r="R14" s="92"/>
    </row>
    <row r="15" spans="2:18" ht="13.8" thickBot="1" x14ac:dyDescent="0.3">
      <c r="B15" s="110"/>
      <c r="C15" s="110"/>
      <c r="D15" s="111"/>
      <c r="E15" s="111"/>
      <c r="F15" s="111"/>
      <c r="G15" s="111"/>
      <c r="H15" s="112"/>
      <c r="I15" s="111"/>
      <c r="J15" s="111"/>
      <c r="L15" s="92"/>
      <c r="M15" s="92"/>
      <c r="N15" s="93"/>
      <c r="O15" s="92"/>
      <c r="P15" s="92"/>
      <c r="Q15" s="92"/>
      <c r="R15" s="92"/>
    </row>
    <row r="16" spans="2:18" ht="13.8" thickBot="1" x14ac:dyDescent="0.3">
      <c r="B16" s="404" t="s">
        <v>211</v>
      </c>
      <c r="C16" s="286" t="s">
        <v>155</v>
      </c>
      <c r="D16" s="185" t="s">
        <v>210</v>
      </c>
      <c r="E16" s="117" t="s">
        <v>110</v>
      </c>
      <c r="F16" s="185" t="s">
        <v>234</v>
      </c>
      <c r="G16" s="185"/>
      <c r="H16" s="118"/>
      <c r="I16" s="117"/>
      <c r="J16" s="252" t="s">
        <v>95</v>
      </c>
      <c r="L16" s="92"/>
      <c r="M16" s="92"/>
      <c r="N16" s="93"/>
      <c r="O16" s="92"/>
      <c r="P16" s="92"/>
      <c r="Q16" s="92"/>
      <c r="R16" s="92"/>
    </row>
    <row r="17" spans="2:18" ht="13.8" thickBot="1" x14ac:dyDescent="0.3">
      <c r="B17" s="405"/>
      <c r="C17" s="352" t="s">
        <v>156</v>
      </c>
      <c r="D17" s="106" t="s">
        <v>210</v>
      </c>
      <c r="E17" s="108" t="s">
        <v>110</v>
      </c>
      <c r="F17" s="185" t="s">
        <v>234</v>
      </c>
      <c r="G17" s="106"/>
      <c r="H17" s="114"/>
      <c r="I17" s="108"/>
      <c r="J17" s="253" t="s">
        <v>96</v>
      </c>
      <c r="L17" s="92"/>
      <c r="M17" s="92"/>
      <c r="N17" s="93"/>
      <c r="O17" s="92"/>
      <c r="P17" s="92"/>
      <c r="Q17" s="92"/>
      <c r="R17" s="92"/>
    </row>
    <row r="18" spans="2:18" ht="13.8" thickBot="1" x14ac:dyDescent="0.3">
      <c r="B18" s="405"/>
      <c r="C18" s="106" t="s">
        <v>157</v>
      </c>
      <c r="D18" s="106" t="s">
        <v>210</v>
      </c>
      <c r="E18" s="108" t="s">
        <v>110</v>
      </c>
      <c r="F18" s="185" t="s">
        <v>234</v>
      </c>
      <c r="G18" s="106"/>
      <c r="H18" s="114"/>
      <c r="I18" s="108"/>
      <c r="J18" s="253" t="s">
        <v>104</v>
      </c>
      <c r="L18" s="92"/>
      <c r="M18" s="92"/>
      <c r="N18" s="93"/>
      <c r="O18" s="92"/>
      <c r="P18" s="92"/>
      <c r="Q18" s="92"/>
      <c r="R18" s="92"/>
    </row>
    <row r="19" spans="2:18" ht="13.8" thickBot="1" x14ac:dyDescent="0.3">
      <c r="B19" s="405"/>
      <c r="C19" s="352" t="s">
        <v>158</v>
      </c>
      <c r="D19" s="106" t="s">
        <v>210</v>
      </c>
      <c r="E19" s="108" t="s">
        <v>110</v>
      </c>
      <c r="F19" s="185" t="s">
        <v>234</v>
      </c>
      <c r="G19" s="106"/>
      <c r="H19" s="114"/>
      <c r="I19" s="108"/>
      <c r="J19" s="253" t="s">
        <v>97</v>
      </c>
      <c r="L19" s="92"/>
      <c r="M19" s="92"/>
      <c r="N19" s="93"/>
      <c r="O19" s="92"/>
      <c r="P19" s="92"/>
      <c r="Q19" s="92"/>
      <c r="R19" s="92"/>
    </row>
    <row r="20" spans="2:18" ht="13.8" thickBot="1" x14ac:dyDescent="0.3">
      <c r="B20" s="406"/>
      <c r="C20" s="353" t="s">
        <v>159</v>
      </c>
      <c r="D20" s="186" t="s">
        <v>210</v>
      </c>
      <c r="E20" s="119" t="s">
        <v>110</v>
      </c>
      <c r="F20" s="185" t="s">
        <v>234</v>
      </c>
      <c r="G20" s="186"/>
      <c r="H20" s="120"/>
      <c r="I20" s="119"/>
      <c r="J20" s="254" t="s">
        <v>97</v>
      </c>
      <c r="L20" s="92"/>
      <c r="M20" s="92"/>
      <c r="N20" s="93"/>
      <c r="O20" s="92"/>
      <c r="P20" s="92"/>
      <c r="Q20" s="92"/>
      <c r="R20" s="92"/>
    </row>
    <row r="21" spans="2:18" ht="13.8" thickBot="1" x14ac:dyDescent="0.3">
      <c r="B21" s="153"/>
      <c r="C21" s="153">
        <f>I16</f>
        <v>0</v>
      </c>
      <c r="D21" s="154"/>
      <c r="E21" s="154"/>
      <c r="F21" s="154"/>
      <c r="G21" s="154"/>
      <c r="H21" s="152"/>
      <c r="I21" s="154"/>
      <c r="J21" s="152"/>
    </row>
    <row r="22" spans="2:18" x14ac:dyDescent="0.25">
      <c r="B22" s="410" t="s">
        <v>228</v>
      </c>
      <c r="C22" s="354" t="s">
        <v>187</v>
      </c>
      <c r="D22" s="222" t="s">
        <v>122</v>
      </c>
      <c r="E22" s="108" t="s">
        <v>110</v>
      </c>
      <c r="F22" s="106"/>
      <c r="G22" s="106"/>
      <c r="H22" s="228"/>
      <c r="I22" s="236"/>
      <c r="J22" s="249"/>
    </row>
    <row r="23" spans="2:18" x14ac:dyDescent="0.25">
      <c r="B23" s="411"/>
      <c r="C23" s="374" t="s">
        <v>1</v>
      </c>
      <c r="D23" s="222" t="s">
        <v>122</v>
      </c>
      <c r="E23" s="108" t="s">
        <v>110</v>
      </c>
      <c r="F23" s="106"/>
      <c r="G23" s="106"/>
      <c r="H23" s="229"/>
      <c r="I23" s="237"/>
      <c r="J23" s="250"/>
    </row>
    <row r="24" spans="2:18" x14ac:dyDescent="0.25">
      <c r="B24" s="411"/>
      <c r="C24" s="374" t="s">
        <v>93</v>
      </c>
      <c r="D24" s="222" t="s">
        <v>122</v>
      </c>
      <c r="E24" s="108" t="s">
        <v>110</v>
      </c>
      <c r="F24" s="106"/>
      <c r="G24" s="106"/>
      <c r="H24" s="229"/>
      <c r="I24" s="237"/>
      <c r="J24" s="250"/>
    </row>
    <row r="25" spans="2:18" x14ac:dyDescent="0.25">
      <c r="B25" s="411"/>
      <c r="C25" s="374" t="s">
        <v>2</v>
      </c>
      <c r="D25" s="222" t="s">
        <v>122</v>
      </c>
      <c r="E25" s="108" t="s">
        <v>110</v>
      </c>
      <c r="F25" s="106"/>
      <c r="G25" s="106"/>
      <c r="H25" s="229"/>
      <c r="I25" s="237"/>
      <c r="J25" s="250"/>
    </row>
    <row r="26" spans="2:18" x14ac:dyDescent="0.25">
      <c r="B26" s="411"/>
      <c r="C26" s="374" t="s">
        <v>179</v>
      </c>
      <c r="D26" s="222" t="s">
        <v>122</v>
      </c>
      <c r="E26" s="108" t="s">
        <v>110</v>
      </c>
      <c r="F26" s="106"/>
      <c r="G26" s="106"/>
      <c r="H26" s="229"/>
      <c r="I26" s="238"/>
      <c r="J26" s="250"/>
    </row>
    <row r="27" spans="2:18" x14ac:dyDescent="0.25">
      <c r="B27" s="411"/>
      <c r="C27" s="374" t="s">
        <v>33</v>
      </c>
      <c r="D27" s="222" t="s">
        <v>122</v>
      </c>
      <c r="E27" s="108" t="s">
        <v>110</v>
      </c>
      <c r="F27" s="106"/>
      <c r="G27" s="106"/>
      <c r="H27" s="229"/>
      <c r="I27" s="239"/>
      <c r="J27" s="250"/>
    </row>
    <row r="28" spans="2:18" x14ac:dyDescent="0.25">
      <c r="B28" s="411"/>
      <c r="C28" s="374" t="s">
        <v>69</v>
      </c>
      <c r="D28" s="222" t="s">
        <v>122</v>
      </c>
      <c r="E28" s="108" t="s">
        <v>110</v>
      </c>
      <c r="F28" s="106"/>
      <c r="G28" s="106"/>
      <c r="H28" s="229"/>
      <c r="I28" s="237"/>
      <c r="J28" s="250"/>
    </row>
    <row r="29" spans="2:18" x14ac:dyDescent="0.25">
      <c r="B29" s="411"/>
      <c r="C29" s="374" t="s">
        <v>164</v>
      </c>
      <c r="D29" s="222" t="s">
        <v>122</v>
      </c>
      <c r="E29" s="108" t="s">
        <v>110</v>
      </c>
      <c r="F29" s="106"/>
      <c r="G29" s="106"/>
      <c r="H29" s="229"/>
      <c r="I29" s="237"/>
      <c r="J29" s="250"/>
    </row>
    <row r="30" spans="2:18" x14ac:dyDescent="0.25">
      <c r="B30" s="411"/>
      <c r="C30" s="374" t="s">
        <v>70</v>
      </c>
      <c r="D30" s="222" t="s">
        <v>122</v>
      </c>
      <c r="E30" s="108" t="s">
        <v>110</v>
      </c>
      <c r="F30" s="106"/>
      <c r="G30" s="106"/>
      <c r="H30" s="229"/>
      <c r="I30" s="237"/>
      <c r="J30" s="250"/>
    </row>
    <row r="31" spans="2:18" x14ac:dyDescent="0.25">
      <c r="B31" s="411"/>
      <c r="C31" s="375" t="s">
        <v>136</v>
      </c>
      <c r="D31" s="222" t="s">
        <v>122</v>
      </c>
      <c r="E31" s="108" t="s">
        <v>110</v>
      </c>
      <c r="F31" s="106"/>
      <c r="G31" s="106"/>
      <c r="H31" s="229"/>
      <c r="I31" s="238"/>
      <c r="J31" s="250"/>
    </row>
    <row r="32" spans="2:18" x14ac:dyDescent="0.25">
      <c r="B32" s="411"/>
      <c r="C32" s="374" t="s">
        <v>248</v>
      </c>
      <c r="D32" s="222" t="s">
        <v>122</v>
      </c>
      <c r="E32" s="108" t="s">
        <v>110</v>
      </c>
      <c r="F32" s="106"/>
      <c r="G32" s="106"/>
      <c r="H32" s="229"/>
      <c r="I32" s="237"/>
      <c r="J32" s="250"/>
    </row>
    <row r="33" spans="1:12" s="357" customFormat="1" ht="13.8" thickBot="1" x14ac:dyDescent="0.3">
      <c r="B33" s="411"/>
      <c r="C33" s="358" t="s">
        <v>249</v>
      </c>
      <c r="D33" s="355" t="s">
        <v>251</v>
      </c>
      <c r="E33" s="359" t="s">
        <v>252</v>
      </c>
      <c r="F33" s="360"/>
      <c r="G33" s="360"/>
      <c r="H33" s="361"/>
      <c r="I33" s="356">
        <f>I22-I23-I24+I25+I26-I27-I28-I29-I30-I31-I32</f>
        <v>0</v>
      </c>
      <c r="J33" s="362"/>
    </row>
    <row r="34" spans="1:12" ht="14.4" x14ac:dyDescent="0.35">
      <c r="B34" s="411"/>
      <c r="C34" s="226" t="s">
        <v>189</v>
      </c>
      <c r="D34" s="224" t="s">
        <v>122</v>
      </c>
      <c r="E34" s="158" t="s">
        <v>110</v>
      </c>
      <c r="F34" s="106"/>
      <c r="G34" s="106"/>
      <c r="H34" s="229"/>
      <c r="I34" s="240"/>
      <c r="J34" s="250"/>
    </row>
    <row r="35" spans="1:12" ht="14.4" x14ac:dyDescent="0.35">
      <c r="B35" s="411"/>
      <c r="C35" s="223" t="s">
        <v>190</v>
      </c>
      <c r="D35" s="224" t="s">
        <v>122</v>
      </c>
      <c r="E35" s="158" t="s">
        <v>110</v>
      </c>
      <c r="F35" s="106"/>
      <c r="G35" s="106"/>
      <c r="H35" s="229"/>
      <c r="I35" s="241"/>
      <c r="J35" s="250"/>
    </row>
    <row r="36" spans="1:12" ht="14.4" x14ac:dyDescent="0.35">
      <c r="B36" s="411"/>
      <c r="C36" s="223" t="s">
        <v>191</v>
      </c>
      <c r="D36" s="224" t="s">
        <v>122</v>
      </c>
      <c r="E36" s="108" t="s">
        <v>110</v>
      </c>
      <c r="F36" s="106"/>
      <c r="G36" s="106"/>
      <c r="H36" s="229"/>
      <c r="I36" s="241"/>
      <c r="J36" s="250"/>
    </row>
    <row r="37" spans="1:12" x14ac:dyDescent="0.25">
      <c r="B37" s="411"/>
      <c r="C37" s="223" t="s">
        <v>196</v>
      </c>
      <c r="D37" s="224" t="s">
        <v>122</v>
      </c>
      <c r="E37" s="108" t="s">
        <v>110</v>
      </c>
      <c r="F37" s="343" t="s">
        <v>312</v>
      </c>
      <c r="G37" s="106"/>
      <c r="H37" s="229"/>
      <c r="I37" s="238"/>
      <c r="J37" s="250"/>
    </row>
    <row r="38" spans="1:12" s="357" customFormat="1" x14ac:dyDescent="0.25">
      <c r="B38" s="411"/>
      <c r="C38" s="363" t="s">
        <v>33</v>
      </c>
      <c r="D38" s="355" t="s">
        <v>251</v>
      </c>
      <c r="E38" s="364" t="s">
        <v>252</v>
      </c>
      <c r="F38" s="365"/>
      <c r="G38" s="360"/>
      <c r="H38" s="361"/>
      <c r="I38" s="366">
        <f>I27</f>
        <v>0</v>
      </c>
      <c r="J38" s="362"/>
    </row>
    <row r="39" spans="1:12" s="357" customFormat="1" ht="21" x14ac:dyDescent="0.4">
      <c r="A39" s="367" t="s">
        <v>229</v>
      </c>
      <c r="B39" s="411"/>
      <c r="C39" s="368" t="s">
        <v>195</v>
      </c>
      <c r="D39" s="355" t="s">
        <v>251</v>
      </c>
      <c r="E39" s="364" t="s">
        <v>252</v>
      </c>
      <c r="F39" s="360"/>
      <c r="G39" s="360"/>
      <c r="H39" s="361"/>
      <c r="I39" s="366">
        <f>I37+I38</f>
        <v>0</v>
      </c>
      <c r="J39" s="362"/>
    </row>
    <row r="40" spans="1:12" ht="14.4" x14ac:dyDescent="0.35">
      <c r="B40" s="411"/>
      <c r="C40" s="223" t="s">
        <v>192</v>
      </c>
      <c r="D40" s="222" t="s">
        <v>122</v>
      </c>
      <c r="E40" s="158" t="s">
        <v>110</v>
      </c>
      <c r="F40" s="106"/>
      <c r="G40" s="106"/>
      <c r="H40" s="229"/>
      <c r="I40" s="241"/>
      <c r="J40" s="250"/>
    </row>
    <row r="41" spans="1:12" ht="14.4" x14ac:dyDescent="0.35">
      <c r="B41" s="411"/>
      <c r="C41" s="223" t="s">
        <v>4</v>
      </c>
      <c r="D41" s="222" t="s">
        <v>122</v>
      </c>
      <c r="E41" s="158" t="s">
        <v>110</v>
      </c>
      <c r="F41" s="106"/>
      <c r="G41" s="106"/>
      <c r="H41" s="229"/>
      <c r="I41" s="241"/>
      <c r="J41" s="250"/>
    </row>
    <row r="42" spans="1:12" ht="14.4" x14ac:dyDescent="0.35">
      <c r="B42" s="411"/>
      <c r="C42" s="223" t="s">
        <v>66</v>
      </c>
      <c r="D42" s="222" t="s">
        <v>122</v>
      </c>
      <c r="E42" s="158" t="s">
        <v>110</v>
      </c>
      <c r="F42" s="106"/>
      <c r="G42" s="106"/>
      <c r="H42" s="229"/>
      <c r="I42" s="241"/>
      <c r="J42" s="250"/>
    </row>
    <row r="43" spans="1:12" ht="15" thickBot="1" x14ac:dyDescent="0.4">
      <c r="B43" s="412"/>
      <c r="C43" s="227" t="s">
        <v>193</v>
      </c>
      <c r="D43" s="222" t="s">
        <v>122</v>
      </c>
      <c r="E43" s="158" t="s">
        <v>110</v>
      </c>
      <c r="F43" s="106"/>
      <c r="G43" s="106"/>
      <c r="H43" s="230"/>
      <c r="I43" s="242"/>
      <c r="J43" s="251"/>
    </row>
    <row r="44" spans="1:12" x14ac:dyDescent="0.25">
      <c r="B44" s="159"/>
      <c r="C44" s="225">
        <f>I17</f>
        <v>0</v>
      </c>
      <c r="D44" s="160"/>
      <c r="E44" s="160"/>
      <c r="F44" s="160"/>
      <c r="G44" s="160"/>
      <c r="H44" s="161"/>
      <c r="I44" s="231"/>
      <c r="J44" s="162"/>
      <c r="L44" s="409" t="s">
        <v>224</v>
      </c>
    </row>
    <row r="45" spans="1:12" ht="12.75" customHeight="1" x14ac:dyDescent="0.25">
      <c r="B45" s="413" t="s">
        <v>227</v>
      </c>
      <c r="C45" s="165" t="s">
        <v>206</v>
      </c>
      <c r="D45" s="219" t="s">
        <v>122</v>
      </c>
      <c r="E45" s="108" t="s">
        <v>110</v>
      </c>
      <c r="F45" s="106"/>
      <c r="G45" s="106"/>
      <c r="H45" s="169"/>
      <c r="I45" s="245"/>
      <c r="J45" s="246" t="s">
        <v>128</v>
      </c>
      <c r="L45" s="409"/>
    </row>
    <row r="46" spans="1:12" ht="15" customHeight="1" x14ac:dyDescent="0.35">
      <c r="B46" s="414"/>
      <c r="C46" s="165" t="s">
        <v>187</v>
      </c>
      <c r="D46" s="219" t="s">
        <v>122</v>
      </c>
      <c r="E46" s="155" t="s">
        <v>110</v>
      </c>
      <c r="F46" s="106"/>
      <c r="G46" s="106"/>
      <c r="H46" s="170"/>
      <c r="I46" s="243"/>
      <c r="J46" s="247"/>
      <c r="L46" s="409"/>
    </row>
    <row r="47" spans="1:12" ht="12.75" customHeight="1" x14ac:dyDescent="0.25">
      <c r="B47" s="414"/>
      <c r="C47" s="164" t="s">
        <v>1</v>
      </c>
      <c r="D47" s="219" t="s">
        <v>122</v>
      </c>
      <c r="E47" s="108" t="s">
        <v>110</v>
      </c>
      <c r="F47" s="106"/>
      <c r="G47" s="106"/>
      <c r="H47" s="171"/>
      <c r="I47" s="108">
        <f>I25</f>
        <v>0</v>
      </c>
      <c r="J47" s="218"/>
      <c r="L47" s="409"/>
    </row>
    <row r="48" spans="1:12" ht="14.4" x14ac:dyDescent="0.35">
      <c r="B48" s="414"/>
      <c r="C48" s="164" t="s">
        <v>93</v>
      </c>
      <c r="D48" s="219" t="s">
        <v>122</v>
      </c>
      <c r="E48" s="108" t="s">
        <v>110</v>
      </c>
      <c r="F48" s="106"/>
      <c r="G48" s="106"/>
      <c r="H48" s="171"/>
      <c r="I48" s="244"/>
      <c r="J48" s="218"/>
      <c r="L48" s="409"/>
    </row>
    <row r="49" spans="2:10" ht="14.4" x14ac:dyDescent="0.35">
      <c r="B49" s="414"/>
      <c r="C49" s="164" t="s">
        <v>2</v>
      </c>
      <c r="D49" s="219" t="s">
        <v>122</v>
      </c>
      <c r="E49" s="108" t="s">
        <v>110</v>
      </c>
      <c r="F49" s="106"/>
      <c r="G49" s="106"/>
      <c r="H49" s="171"/>
      <c r="I49" s="244"/>
      <c r="J49" s="218"/>
    </row>
    <row r="50" spans="2:10" ht="14.4" x14ac:dyDescent="0.35">
      <c r="B50" s="414"/>
      <c r="C50" s="164" t="s">
        <v>179</v>
      </c>
      <c r="D50" s="219" t="s">
        <v>122</v>
      </c>
      <c r="E50" s="108" t="s">
        <v>110</v>
      </c>
      <c r="F50" s="106"/>
      <c r="G50" s="106"/>
      <c r="H50" s="171"/>
      <c r="I50" s="244"/>
      <c r="J50" s="218"/>
    </row>
    <row r="51" spans="2:10" ht="12.75" customHeight="1" x14ac:dyDescent="0.25">
      <c r="B51" s="414"/>
      <c r="C51" s="164" t="s">
        <v>33</v>
      </c>
      <c r="D51" s="219" t="s">
        <v>122</v>
      </c>
      <c r="E51" s="108" t="s">
        <v>110</v>
      </c>
      <c r="F51" s="106"/>
      <c r="G51" s="106"/>
      <c r="H51" s="171"/>
      <c r="I51" s="108"/>
      <c r="J51" s="218"/>
    </row>
    <row r="52" spans="2:10" ht="14.4" x14ac:dyDescent="0.35">
      <c r="B52" s="414"/>
      <c r="C52" s="164" t="s">
        <v>69</v>
      </c>
      <c r="D52" s="219" t="s">
        <v>122</v>
      </c>
      <c r="E52" s="108" t="s">
        <v>110</v>
      </c>
      <c r="F52" s="106"/>
      <c r="G52" s="106"/>
      <c r="H52" s="171"/>
      <c r="I52" s="244"/>
      <c r="J52" s="218"/>
    </row>
    <row r="53" spans="2:10" ht="14.4" x14ac:dyDescent="0.35">
      <c r="B53" s="414"/>
      <c r="C53" s="164" t="s">
        <v>164</v>
      </c>
      <c r="D53" s="219" t="s">
        <v>122</v>
      </c>
      <c r="E53" s="108" t="s">
        <v>110</v>
      </c>
      <c r="F53" s="106"/>
      <c r="G53" s="106"/>
      <c r="H53" s="171"/>
      <c r="I53" s="244"/>
      <c r="J53" s="218"/>
    </row>
    <row r="54" spans="2:10" ht="14.4" x14ac:dyDescent="0.35">
      <c r="B54" s="414"/>
      <c r="C54" s="164" t="s">
        <v>70</v>
      </c>
      <c r="D54" s="219" t="s">
        <v>122</v>
      </c>
      <c r="E54" s="108" t="s">
        <v>110</v>
      </c>
      <c r="F54" s="106"/>
      <c r="G54" s="106"/>
      <c r="H54" s="171"/>
      <c r="I54" s="244"/>
      <c r="J54" s="218"/>
    </row>
    <row r="55" spans="2:10" ht="14.4" x14ac:dyDescent="0.35">
      <c r="B55" s="414"/>
      <c r="C55" s="281" t="s">
        <v>254</v>
      </c>
      <c r="D55" s="219" t="s">
        <v>122</v>
      </c>
      <c r="E55" s="108" t="s">
        <v>110</v>
      </c>
      <c r="F55" s="106"/>
      <c r="G55" s="106"/>
      <c r="H55" s="171"/>
      <c r="I55" s="244"/>
      <c r="J55" s="218"/>
    </row>
    <row r="56" spans="2:10" ht="14.4" x14ac:dyDescent="0.35">
      <c r="B56" s="414"/>
      <c r="C56" s="164" t="s">
        <v>248</v>
      </c>
      <c r="D56" s="219" t="s">
        <v>122</v>
      </c>
      <c r="E56" s="108" t="s">
        <v>110</v>
      </c>
      <c r="F56" s="106"/>
      <c r="G56" s="106"/>
      <c r="H56" s="171"/>
      <c r="I56" s="244"/>
      <c r="J56" s="218"/>
    </row>
    <row r="57" spans="2:10" s="357" customFormat="1" ht="14.4" x14ac:dyDescent="0.35">
      <c r="B57" s="414"/>
      <c r="C57" s="369" t="s">
        <v>249</v>
      </c>
      <c r="D57" s="370" t="s">
        <v>251</v>
      </c>
      <c r="E57" s="359" t="s">
        <v>252</v>
      </c>
      <c r="F57" s="360"/>
      <c r="G57" s="360"/>
      <c r="H57" s="371"/>
      <c r="I57" s="372">
        <f>I46-I47-I48+I49+I50-I51-I52-I53-I54-I55-I56</f>
        <v>0</v>
      </c>
      <c r="J57" s="371"/>
    </row>
    <row r="58" spans="2:10" ht="14.4" x14ac:dyDescent="0.35">
      <c r="B58" s="414"/>
      <c r="C58" s="163" t="s">
        <v>189</v>
      </c>
      <c r="D58" s="220" t="s">
        <v>122</v>
      </c>
      <c r="E58" s="108" t="s">
        <v>110</v>
      </c>
      <c r="F58" s="106"/>
      <c r="G58" s="106"/>
      <c r="H58" s="171"/>
      <c r="I58" s="233"/>
      <c r="J58" s="218"/>
    </row>
    <row r="59" spans="2:10" ht="14.4" x14ac:dyDescent="0.35">
      <c r="B59" s="414"/>
      <c r="C59" s="163" t="s">
        <v>190</v>
      </c>
      <c r="D59" s="220" t="s">
        <v>122</v>
      </c>
      <c r="E59" s="108" t="s">
        <v>110</v>
      </c>
      <c r="F59" s="106"/>
      <c r="G59" s="106"/>
      <c r="H59" s="171"/>
      <c r="I59" s="233"/>
      <c r="J59" s="218"/>
    </row>
    <row r="60" spans="2:10" ht="14.4" x14ac:dyDescent="0.35">
      <c r="B60" s="414"/>
      <c r="C60" s="163" t="s">
        <v>191</v>
      </c>
      <c r="D60" s="220" t="s">
        <v>122</v>
      </c>
      <c r="E60" s="108" t="s">
        <v>110</v>
      </c>
      <c r="F60" s="106"/>
      <c r="G60" s="106"/>
      <c r="H60" s="171"/>
      <c r="I60" s="244"/>
      <c r="J60" s="218"/>
    </row>
    <row r="61" spans="2:10" s="357" customFormat="1" ht="14.4" x14ac:dyDescent="0.35">
      <c r="B61" s="414"/>
      <c r="C61" s="373" t="s">
        <v>195</v>
      </c>
      <c r="D61" s="370" t="s">
        <v>251</v>
      </c>
      <c r="E61" s="359" t="s">
        <v>252</v>
      </c>
      <c r="F61" s="360"/>
      <c r="G61" s="360"/>
      <c r="H61" s="371"/>
      <c r="I61" s="372">
        <f>F222</f>
        <v>549482</v>
      </c>
      <c r="J61" s="371"/>
    </row>
    <row r="62" spans="2:10" s="357" customFormat="1" ht="14.4" x14ac:dyDescent="0.35">
      <c r="B62" s="414"/>
      <c r="C62" s="373" t="s">
        <v>33</v>
      </c>
      <c r="D62" s="370" t="s">
        <v>251</v>
      </c>
      <c r="E62" s="364" t="s">
        <v>252</v>
      </c>
      <c r="F62" s="360"/>
      <c r="G62" s="360"/>
      <c r="H62" s="371"/>
      <c r="I62" s="372">
        <f>I51</f>
        <v>0</v>
      </c>
      <c r="J62" s="371"/>
    </row>
    <row r="63" spans="2:10" ht="14.4" x14ac:dyDescent="0.35">
      <c r="B63" s="414"/>
      <c r="C63" s="163" t="s">
        <v>250</v>
      </c>
      <c r="D63" s="346" t="s">
        <v>251</v>
      </c>
      <c r="E63" s="108" t="s">
        <v>110</v>
      </c>
      <c r="F63" s="106"/>
      <c r="G63" s="106"/>
      <c r="H63" s="345"/>
      <c r="I63" s="244">
        <f>I61-I62</f>
        <v>549482</v>
      </c>
      <c r="J63" s="218"/>
    </row>
    <row r="64" spans="2:10" ht="14.4" x14ac:dyDescent="0.35">
      <c r="B64" s="414"/>
      <c r="C64" s="163" t="s">
        <v>192</v>
      </c>
      <c r="D64" s="219" t="s">
        <v>122</v>
      </c>
      <c r="E64" s="108" t="s">
        <v>110</v>
      </c>
      <c r="F64" s="106"/>
      <c r="G64" s="106"/>
      <c r="H64" s="171"/>
      <c r="I64" s="233"/>
      <c r="J64" s="218"/>
    </row>
    <row r="65" spans="2:18" ht="14.4" x14ac:dyDescent="0.35">
      <c r="B65" s="414"/>
      <c r="C65" s="163" t="s">
        <v>4</v>
      </c>
      <c r="D65" s="219" t="s">
        <v>122</v>
      </c>
      <c r="E65" s="108" t="s">
        <v>110</v>
      </c>
      <c r="F65" s="106"/>
      <c r="G65" s="106"/>
      <c r="H65" s="171"/>
      <c r="I65" s="244"/>
      <c r="J65" s="218"/>
    </row>
    <row r="66" spans="2:18" ht="14.4" x14ac:dyDescent="0.35">
      <c r="B66" s="414"/>
      <c r="C66" s="163" t="s">
        <v>66</v>
      </c>
      <c r="D66" s="219" t="s">
        <v>122</v>
      </c>
      <c r="E66" s="108" t="s">
        <v>110</v>
      </c>
      <c r="F66" s="106"/>
      <c r="G66" s="106"/>
      <c r="H66" s="171"/>
      <c r="I66" s="233"/>
      <c r="J66" s="218"/>
    </row>
    <row r="67" spans="2:18" ht="14.4" x14ac:dyDescent="0.35">
      <c r="B67" s="415"/>
      <c r="C67" s="168" t="s">
        <v>193</v>
      </c>
      <c r="D67" s="221" t="s">
        <v>122</v>
      </c>
      <c r="E67" s="108" t="s">
        <v>110</v>
      </c>
      <c r="F67" s="106"/>
      <c r="G67" s="106"/>
      <c r="H67" s="172"/>
      <c r="I67" s="233"/>
      <c r="J67" s="248"/>
    </row>
    <row r="68" spans="2:18" ht="13.8" thickBot="1" x14ac:dyDescent="0.3">
      <c r="B68" s="166"/>
      <c r="C68" s="110"/>
      <c r="D68" s="167"/>
      <c r="E68" s="167"/>
      <c r="F68" s="167"/>
      <c r="G68" s="167"/>
      <c r="H68" s="166"/>
      <c r="I68" s="167"/>
      <c r="J68" s="166"/>
    </row>
    <row r="69" spans="2:18" ht="12.75" customHeight="1" x14ac:dyDescent="0.25">
      <c r="B69" s="401" t="s">
        <v>205</v>
      </c>
      <c r="C69" s="209" t="s">
        <v>201</v>
      </c>
      <c r="D69" s="398" t="s">
        <v>253</v>
      </c>
      <c r="E69" s="210"/>
      <c r="F69" s="211"/>
      <c r="G69" s="211"/>
      <c r="H69" s="212"/>
      <c r="I69" s="213" t="e">
        <f>100/I14/100</f>
        <v>#DIV/0!</v>
      </c>
      <c r="J69" s="214" t="s">
        <v>105</v>
      </c>
      <c r="L69" s="92"/>
      <c r="M69" s="92"/>
      <c r="N69" s="93"/>
      <c r="O69" s="92"/>
      <c r="P69" s="92"/>
      <c r="Q69" s="92"/>
      <c r="R69" s="92"/>
    </row>
    <row r="70" spans="2:18" ht="12.75" customHeight="1" thickBot="1" x14ac:dyDescent="0.3">
      <c r="B70" s="402"/>
      <c r="C70" s="264" t="s">
        <v>207</v>
      </c>
      <c r="D70" s="399"/>
      <c r="E70" s="262"/>
      <c r="F70" s="263"/>
      <c r="G70" s="265"/>
      <c r="H70" s="266"/>
      <c r="I70" s="268">
        <v>1.05</v>
      </c>
      <c r="J70" s="267" t="s">
        <v>124</v>
      </c>
      <c r="L70" s="92"/>
      <c r="M70" s="92"/>
      <c r="N70" s="93"/>
      <c r="O70" s="92"/>
      <c r="P70" s="92"/>
      <c r="Q70" s="92"/>
      <c r="R70" s="92"/>
    </row>
    <row r="71" spans="2:18" ht="12.75" customHeight="1" x14ac:dyDescent="0.25">
      <c r="B71" s="402"/>
      <c r="C71" s="187" t="s">
        <v>209</v>
      </c>
      <c r="D71" s="399"/>
      <c r="E71" s="191"/>
      <c r="F71" s="192"/>
      <c r="G71" s="192"/>
      <c r="H71" s="193"/>
      <c r="I71" s="194">
        <v>1.02</v>
      </c>
      <c r="J71" s="195" t="s">
        <v>124</v>
      </c>
      <c r="L71" s="92"/>
      <c r="M71" s="92"/>
      <c r="N71" s="93"/>
      <c r="O71" s="92"/>
      <c r="P71" s="92"/>
      <c r="Q71" s="92"/>
      <c r="R71" s="92"/>
    </row>
    <row r="72" spans="2:18" ht="12.75" customHeight="1" x14ac:dyDescent="0.25">
      <c r="B72" s="402"/>
      <c r="C72" s="187" t="s">
        <v>202</v>
      </c>
      <c r="D72" s="399"/>
      <c r="E72" s="191"/>
      <c r="F72" s="192"/>
      <c r="G72" s="192"/>
      <c r="H72" s="193"/>
      <c r="I72" s="194">
        <v>1.0049999999999999</v>
      </c>
      <c r="J72" s="195" t="s">
        <v>124</v>
      </c>
      <c r="L72" s="92"/>
      <c r="M72" s="92"/>
      <c r="N72" s="93"/>
      <c r="O72" s="92"/>
      <c r="P72" s="92"/>
      <c r="Q72" s="92"/>
      <c r="R72" s="92"/>
    </row>
    <row r="73" spans="2:18" ht="12.75" customHeight="1" x14ac:dyDescent="0.25">
      <c r="B73" s="402"/>
      <c r="C73" s="187" t="s">
        <v>162</v>
      </c>
      <c r="D73" s="399"/>
      <c r="E73" s="191"/>
      <c r="F73" s="192"/>
      <c r="G73" s="192"/>
      <c r="H73" s="193"/>
      <c r="I73" s="194">
        <v>1.05</v>
      </c>
      <c r="J73" s="195" t="s">
        <v>124</v>
      </c>
      <c r="L73" s="92"/>
      <c r="M73" s="92"/>
      <c r="N73" s="93"/>
      <c r="O73" s="92"/>
      <c r="P73" s="92"/>
      <c r="Q73" s="92"/>
      <c r="R73" s="92"/>
    </row>
    <row r="74" spans="2:18" ht="12.75" customHeight="1" x14ac:dyDescent="0.25">
      <c r="B74" s="402"/>
      <c r="C74" s="187" t="s">
        <v>199</v>
      </c>
      <c r="D74" s="399"/>
      <c r="E74" s="191"/>
      <c r="F74" s="192"/>
      <c r="G74" s="192"/>
      <c r="H74" s="193"/>
      <c r="I74" s="194">
        <v>1.3</v>
      </c>
      <c r="J74" s="195" t="s">
        <v>108</v>
      </c>
    </row>
    <row r="75" spans="2:18" ht="12.75" customHeight="1" x14ac:dyDescent="0.25">
      <c r="B75" s="402"/>
      <c r="C75" s="187" t="s">
        <v>94</v>
      </c>
      <c r="D75" s="399"/>
      <c r="E75" s="191"/>
      <c r="F75" s="192"/>
      <c r="G75" s="192"/>
      <c r="H75" s="193"/>
      <c r="I75" s="194">
        <v>1.01</v>
      </c>
      <c r="J75" s="195" t="s">
        <v>109</v>
      </c>
    </row>
    <row r="76" spans="2:18" ht="12.75" customHeight="1" x14ac:dyDescent="0.25">
      <c r="B76" s="402"/>
      <c r="C76" s="187" t="s">
        <v>197</v>
      </c>
      <c r="D76" s="399"/>
      <c r="E76" s="191"/>
      <c r="F76" s="192"/>
      <c r="G76" s="192"/>
      <c r="H76" s="193"/>
      <c r="I76" s="194">
        <v>12</v>
      </c>
      <c r="J76" s="195" t="s">
        <v>128</v>
      </c>
    </row>
    <row r="77" spans="2:18" ht="12.75" customHeight="1" x14ac:dyDescent="0.25">
      <c r="B77" s="402"/>
      <c r="C77" s="140" t="s">
        <v>212</v>
      </c>
      <c r="D77" s="399"/>
      <c r="E77" s="180"/>
      <c r="F77" s="181"/>
      <c r="G77" s="181"/>
      <c r="H77" s="182"/>
      <c r="I77" s="269"/>
      <c r="J77" s="183"/>
    </row>
    <row r="78" spans="2:18" ht="12.75" customHeight="1" x14ac:dyDescent="0.25">
      <c r="B78" s="402"/>
      <c r="C78" s="187">
        <f>I18</f>
        <v>0</v>
      </c>
      <c r="D78" s="399"/>
      <c r="E78" s="196"/>
      <c r="F78" s="197"/>
      <c r="G78" s="197"/>
      <c r="H78" s="193"/>
      <c r="I78" s="194">
        <v>0.05</v>
      </c>
      <c r="J78" s="195" t="s">
        <v>221</v>
      </c>
    </row>
    <row r="79" spans="2:18" ht="12.75" customHeight="1" x14ac:dyDescent="0.25">
      <c r="B79" s="402"/>
      <c r="C79" s="187">
        <f>I19</f>
        <v>0</v>
      </c>
      <c r="D79" s="399"/>
      <c r="E79" s="196"/>
      <c r="F79" s="197"/>
      <c r="G79" s="197"/>
      <c r="H79" s="193"/>
      <c r="I79" s="194">
        <v>7.0000000000000007E-2</v>
      </c>
      <c r="J79" s="195" t="s">
        <v>221</v>
      </c>
    </row>
    <row r="80" spans="2:18" ht="12.75" customHeight="1" x14ac:dyDescent="0.25">
      <c r="B80" s="402"/>
      <c r="C80" s="187">
        <f>I20</f>
        <v>0</v>
      </c>
      <c r="D80" s="399"/>
      <c r="E80" s="196"/>
      <c r="F80" s="197"/>
      <c r="G80" s="197"/>
      <c r="H80" s="193"/>
      <c r="I80" s="194">
        <v>0.1</v>
      </c>
      <c r="J80" s="195" t="s">
        <v>221</v>
      </c>
    </row>
    <row r="81" spans="2:19" ht="12.75" customHeight="1" x14ac:dyDescent="0.25">
      <c r="B81" s="402"/>
      <c r="C81" s="140" t="s">
        <v>213</v>
      </c>
      <c r="D81" s="399"/>
      <c r="E81" s="180"/>
      <c r="F81" s="181"/>
      <c r="G81" s="181"/>
      <c r="H81" s="182"/>
      <c r="I81" s="269"/>
      <c r="J81" s="183"/>
    </row>
    <row r="82" spans="2:19" ht="12.75" customHeight="1" x14ac:dyDescent="0.25">
      <c r="B82" s="402"/>
      <c r="C82" s="187">
        <f>I18</f>
        <v>0</v>
      </c>
      <c r="D82" s="399"/>
      <c r="E82" s="196"/>
      <c r="F82" s="197"/>
      <c r="G82" s="197"/>
      <c r="H82" s="193"/>
      <c r="I82" s="194">
        <v>0.08</v>
      </c>
      <c r="J82" s="195" t="s">
        <v>222</v>
      </c>
    </row>
    <row r="83" spans="2:19" ht="12.75" customHeight="1" x14ac:dyDescent="0.25">
      <c r="B83" s="402"/>
      <c r="C83" s="187">
        <f>I19</f>
        <v>0</v>
      </c>
      <c r="D83" s="399"/>
      <c r="E83" s="196"/>
      <c r="F83" s="197"/>
      <c r="G83" s="197"/>
      <c r="H83" s="193"/>
      <c r="I83" s="194">
        <v>0.09</v>
      </c>
      <c r="J83" s="195" t="s">
        <v>222</v>
      </c>
    </row>
    <row r="84" spans="2:19" ht="12.75" customHeight="1" x14ac:dyDescent="0.25">
      <c r="B84" s="402"/>
      <c r="C84" s="187">
        <f>I20</f>
        <v>0</v>
      </c>
      <c r="D84" s="399"/>
      <c r="E84" s="196"/>
      <c r="F84" s="197"/>
      <c r="G84" s="197"/>
      <c r="H84" s="193"/>
      <c r="I84" s="194">
        <v>0.1</v>
      </c>
      <c r="J84" s="195" t="s">
        <v>222</v>
      </c>
    </row>
    <row r="85" spans="2:19" ht="12.75" customHeight="1" x14ac:dyDescent="0.25">
      <c r="B85" s="402"/>
      <c r="C85" s="140" t="s">
        <v>214</v>
      </c>
      <c r="D85" s="399"/>
      <c r="E85" s="180"/>
      <c r="F85" s="181"/>
      <c r="G85" s="181"/>
      <c r="H85" s="182"/>
      <c r="I85" s="269"/>
      <c r="J85" s="183"/>
    </row>
    <row r="86" spans="2:19" ht="12.75" customHeight="1" x14ac:dyDescent="0.25">
      <c r="B86" s="402"/>
      <c r="C86" s="187">
        <f>I16</f>
        <v>0</v>
      </c>
      <c r="D86" s="399"/>
      <c r="E86" s="196"/>
      <c r="F86" s="197"/>
      <c r="G86" s="197"/>
      <c r="H86" s="193"/>
      <c r="I86" s="270" t="e">
        <f>wp!C21/wp!C10</f>
        <v>#DIV/0!</v>
      </c>
      <c r="J86" s="195" t="s">
        <v>223</v>
      </c>
    </row>
    <row r="87" spans="2:19" ht="12.75" customHeight="1" x14ac:dyDescent="0.25">
      <c r="B87" s="402"/>
      <c r="C87" s="187">
        <f>I17</f>
        <v>0</v>
      </c>
      <c r="D87" s="399"/>
      <c r="E87" s="196"/>
      <c r="F87" s="197"/>
      <c r="G87" s="197"/>
      <c r="H87" s="193"/>
      <c r="I87" s="194" t="e">
        <f>wp!D21/wp!D10</f>
        <v>#DIV/0!</v>
      </c>
      <c r="J87" s="195" t="s">
        <v>223</v>
      </c>
    </row>
    <row r="88" spans="2:19" ht="12.75" customHeight="1" x14ac:dyDescent="0.25">
      <c r="B88" s="402"/>
      <c r="C88" s="187">
        <f>C82</f>
        <v>0</v>
      </c>
      <c r="D88" s="399"/>
      <c r="E88" s="196"/>
      <c r="F88" s="197"/>
      <c r="G88" s="197"/>
      <c r="H88" s="193"/>
      <c r="I88" s="194" t="e">
        <f>I87*95/100</f>
        <v>#DIV/0!</v>
      </c>
      <c r="J88" s="195" t="s">
        <v>223</v>
      </c>
      <c r="L88" s="184"/>
    </row>
    <row r="89" spans="2:19" ht="12.75" customHeight="1" x14ac:dyDescent="0.25">
      <c r="B89" s="402"/>
      <c r="C89" s="187">
        <f>C83</f>
        <v>0</v>
      </c>
      <c r="D89" s="399"/>
      <c r="E89" s="196"/>
      <c r="F89" s="197"/>
      <c r="G89" s="197"/>
      <c r="H89" s="193"/>
      <c r="I89" s="194" t="e">
        <f>I87*100.5/100</f>
        <v>#DIV/0!</v>
      </c>
      <c r="J89" s="195" t="s">
        <v>223</v>
      </c>
    </row>
    <row r="90" spans="2:19" ht="12.75" customHeight="1" x14ac:dyDescent="0.25">
      <c r="B90" s="402"/>
      <c r="C90" s="187">
        <f>C84</f>
        <v>0</v>
      </c>
      <c r="D90" s="399"/>
      <c r="E90" s="196"/>
      <c r="F90" s="197"/>
      <c r="G90" s="197"/>
      <c r="H90" s="193"/>
      <c r="I90" s="194" t="e">
        <f>I89*100.5/100</f>
        <v>#DIV/0!</v>
      </c>
      <c r="J90" s="195" t="s">
        <v>223</v>
      </c>
    </row>
    <row r="91" spans="2:19" ht="12.75" customHeight="1" x14ac:dyDescent="0.25">
      <c r="B91" s="402"/>
      <c r="C91" s="140"/>
      <c r="D91" s="399"/>
      <c r="E91" s="180"/>
      <c r="F91" s="181"/>
      <c r="G91" s="181"/>
      <c r="H91" s="182"/>
      <c r="I91" s="269"/>
      <c r="J91" s="183"/>
    </row>
    <row r="92" spans="2:19" ht="12.75" customHeight="1" x14ac:dyDescent="0.25">
      <c r="B92" s="402"/>
      <c r="C92" s="187" t="s">
        <v>134</v>
      </c>
      <c r="D92" s="399"/>
      <c r="E92" s="191"/>
      <c r="F92" s="192"/>
      <c r="G92" s="192"/>
      <c r="H92" s="193"/>
      <c r="I92" s="198" t="e">
        <f>I11/I14</f>
        <v>#DIV/0!</v>
      </c>
      <c r="J92" s="199"/>
    </row>
    <row r="93" spans="2:19" ht="12.75" customHeight="1" x14ac:dyDescent="0.25">
      <c r="B93" s="402"/>
      <c r="C93" s="187" t="s">
        <v>131</v>
      </c>
      <c r="D93" s="399"/>
      <c r="E93" s="191"/>
      <c r="F93" s="192"/>
      <c r="G93" s="192"/>
      <c r="H93" s="193"/>
      <c r="I93" s="198">
        <f>I46</f>
        <v>0</v>
      </c>
      <c r="J93" s="199"/>
    </row>
    <row r="94" spans="2:19" ht="15.75" customHeight="1" x14ac:dyDescent="0.25">
      <c r="B94" s="402"/>
      <c r="C94" s="187" t="s">
        <v>132</v>
      </c>
      <c r="D94" s="399"/>
      <c r="E94" s="191"/>
      <c r="F94" s="192"/>
      <c r="G94" s="192"/>
      <c r="H94" s="193"/>
      <c r="I94" s="198" t="e">
        <f>I93*I76/I45</f>
        <v>#DIV/0!</v>
      </c>
      <c r="J94" s="199"/>
    </row>
    <row r="95" spans="2:19" ht="17.25" customHeight="1" x14ac:dyDescent="0.25">
      <c r="B95" s="402"/>
      <c r="C95" s="187" t="s">
        <v>133</v>
      </c>
      <c r="D95" s="399"/>
      <c r="E95" s="191"/>
      <c r="F95" s="192"/>
      <c r="G95" s="192"/>
      <c r="H95" s="193"/>
      <c r="I95" s="198" t="e">
        <f>MAX(I92,I94)</f>
        <v>#DIV/0!</v>
      </c>
      <c r="J95" s="199"/>
    </row>
    <row r="96" spans="2:19" ht="14.25" customHeight="1" x14ac:dyDescent="0.25">
      <c r="B96" s="402"/>
      <c r="C96" s="140"/>
      <c r="D96" s="399"/>
      <c r="E96" s="141"/>
      <c r="F96" s="125"/>
      <c r="G96" s="125"/>
      <c r="H96" s="126"/>
      <c r="I96" s="271"/>
      <c r="J96" s="129"/>
      <c r="S96" s="84"/>
    </row>
    <row r="97" spans="2:18" ht="12" customHeight="1" x14ac:dyDescent="0.25">
      <c r="B97" s="402"/>
      <c r="C97" s="187" t="s">
        <v>139</v>
      </c>
      <c r="D97" s="399"/>
      <c r="E97" s="196"/>
      <c r="F97" s="197"/>
      <c r="G97" s="197"/>
      <c r="H97" s="193"/>
      <c r="I97" s="198">
        <f>I11*I74</f>
        <v>0</v>
      </c>
      <c r="J97" s="199"/>
    </row>
    <row r="98" spans="2:18" ht="20.25" customHeight="1" x14ac:dyDescent="0.35">
      <c r="B98" s="402"/>
      <c r="C98" s="187" t="s">
        <v>138</v>
      </c>
      <c r="D98" s="399"/>
      <c r="E98" s="196"/>
      <c r="F98" s="197"/>
      <c r="G98" s="197"/>
      <c r="H98" s="200"/>
      <c r="I98" s="198">
        <f>I49</f>
        <v>0</v>
      </c>
      <c r="J98" s="199"/>
    </row>
    <row r="99" spans="2:18" ht="12" customHeight="1" x14ac:dyDescent="0.25">
      <c r="B99" s="402"/>
      <c r="C99" s="187" t="s">
        <v>143</v>
      </c>
      <c r="D99" s="399"/>
      <c r="E99" s="196"/>
      <c r="F99" s="197"/>
      <c r="G99" s="197"/>
      <c r="H99" s="201"/>
      <c r="I99" s="198">
        <f>MAX(I97:I98)</f>
        <v>0</v>
      </c>
      <c r="J99" s="199"/>
    </row>
    <row r="100" spans="2:18" ht="15" customHeight="1" x14ac:dyDescent="0.25">
      <c r="B100" s="402"/>
      <c r="C100" s="140" t="s">
        <v>204</v>
      </c>
      <c r="D100" s="399"/>
      <c r="E100" s="142"/>
      <c r="F100" s="127"/>
      <c r="G100" s="127"/>
      <c r="H100" s="128"/>
      <c r="I100" s="272"/>
      <c r="J100" s="130"/>
    </row>
    <row r="101" spans="2:18" ht="18.75" customHeight="1" x14ac:dyDescent="0.25">
      <c r="B101" s="402"/>
      <c r="C101" s="187" t="s">
        <v>198</v>
      </c>
      <c r="D101" s="399"/>
      <c r="E101" s="196"/>
      <c r="F101" s="197"/>
      <c r="G101" s="197"/>
      <c r="H101" s="193"/>
      <c r="I101" s="198">
        <f>I59</f>
        <v>0</v>
      </c>
      <c r="J101" s="199"/>
      <c r="Q101" s="122"/>
      <c r="R101" s="122"/>
    </row>
    <row r="102" spans="2:18" ht="12.75" customHeight="1" x14ac:dyDescent="0.25">
      <c r="B102" s="402"/>
      <c r="C102" s="187" t="s">
        <v>200</v>
      </c>
      <c r="D102" s="399"/>
      <c r="E102" s="196"/>
      <c r="F102" s="197"/>
      <c r="G102" s="197"/>
      <c r="H102" s="193"/>
      <c r="I102" s="198">
        <v>4</v>
      </c>
      <c r="J102" s="199"/>
      <c r="Q102" s="122"/>
      <c r="R102" s="121"/>
    </row>
    <row r="103" spans="2:18" ht="15" customHeight="1" x14ac:dyDescent="0.35">
      <c r="B103" s="402"/>
      <c r="C103" s="188" t="s">
        <v>135</v>
      </c>
      <c r="D103" s="399"/>
      <c r="E103" s="202"/>
      <c r="F103" s="203"/>
      <c r="G103" s="203"/>
      <c r="H103" s="204"/>
      <c r="I103" s="275">
        <f>I101/I102</f>
        <v>0</v>
      </c>
      <c r="J103" s="205"/>
      <c r="O103" s="138"/>
      <c r="Q103" s="139"/>
      <c r="R103" s="92"/>
    </row>
    <row r="104" spans="2:18" ht="26.25" customHeight="1" x14ac:dyDescent="0.25">
      <c r="B104" s="402"/>
      <c r="C104" s="124" t="s">
        <v>203</v>
      </c>
      <c r="D104" s="399"/>
      <c r="E104" s="125"/>
      <c r="F104" s="125"/>
      <c r="G104" s="125"/>
      <c r="H104" s="126"/>
      <c r="I104" s="273" t="s">
        <v>121</v>
      </c>
      <c r="J104" s="129"/>
      <c r="O104" s="138"/>
      <c r="Q104" s="92"/>
      <c r="R104" s="92"/>
    </row>
    <row r="105" spans="2:18" ht="12.75" customHeight="1" x14ac:dyDescent="0.25">
      <c r="B105" s="402"/>
      <c r="C105" s="189" t="s">
        <v>100</v>
      </c>
      <c r="D105" s="399"/>
      <c r="E105" s="197"/>
      <c r="F105" s="197"/>
      <c r="G105" s="197"/>
      <c r="H105" s="193"/>
      <c r="I105" s="194">
        <v>0.15</v>
      </c>
      <c r="J105" s="199"/>
      <c r="O105" s="138"/>
      <c r="Q105" s="92"/>
      <c r="R105" s="92"/>
    </row>
    <row r="106" spans="2:18" ht="12.75" customHeight="1" x14ac:dyDescent="0.25">
      <c r="B106" s="402"/>
      <c r="C106" s="189" t="s">
        <v>175</v>
      </c>
      <c r="D106" s="399"/>
      <c r="E106" s="197"/>
      <c r="F106" s="197"/>
      <c r="G106" s="197"/>
      <c r="H106" s="193"/>
      <c r="I106" s="194">
        <v>0.15</v>
      </c>
      <c r="J106" s="199"/>
    </row>
    <row r="107" spans="2:18" ht="12.75" customHeight="1" x14ac:dyDescent="0.25">
      <c r="B107" s="402"/>
      <c r="C107" s="189" t="s">
        <v>301</v>
      </c>
      <c r="D107" s="399"/>
      <c r="E107" s="197"/>
      <c r="F107" s="197"/>
      <c r="G107" s="197"/>
      <c r="H107" s="193"/>
      <c r="I107" s="194">
        <v>0.1</v>
      </c>
      <c r="J107" s="199"/>
    </row>
    <row r="108" spans="2:18" ht="12.75" customHeight="1" x14ac:dyDescent="0.25">
      <c r="B108" s="402"/>
      <c r="C108" s="189" t="s">
        <v>294</v>
      </c>
      <c r="D108" s="399"/>
      <c r="E108" s="197"/>
      <c r="F108" s="197"/>
      <c r="G108" s="197"/>
      <c r="H108" s="193"/>
      <c r="I108" s="194">
        <v>0</v>
      </c>
      <c r="J108" s="199"/>
    </row>
    <row r="109" spans="2:18" ht="12.75" customHeight="1" x14ac:dyDescent="0.25">
      <c r="B109" s="402"/>
      <c r="C109" s="189" t="s">
        <v>99</v>
      </c>
      <c r="D109" s="399"/>
      <c r="E109" s="197"/>
      <c r="F109" s="197"/>
      <c r="G109" s="197"/>
      <c r="H109" s="193"/>
      <c r="I109" s="194">
        <v>0.1</v>
      </c>
      <c r="J109" s="199"/>
    </row>
    <row r="110" spans="2:18" ht="12.75" customHeight="1" x14ac:dyDescent="0.25">
      <c r="B110" s="402"/>
      <c r="C110" s="189" t="s">
        <v>295</v>
      </c>
      <c r="D110" s="399"/>
      <c r="E110" s="197"/>
      <c r="F110" s="197"/>
      <c r="G110" s="197"/>
      <c r="H110" s="193"/>
      <c r="I110" s="194">
        <v>0.15</v>
      </c>
      <c r="J110" s="199"/>
    </row>
    <row r="111" spans="2:18" ht="12.75" customHeight="1" x14ac:dyDescent="0.25">
      <c r="B111" s="402"/>
      <c r="C111" s="189" t="s">
        <v>302</v>
      </c>
      <c r="D111" s="399"/>
      <c r="E111" s="197"/>
      <c r="F111" s="197"/>
      <c r="G111" s="197"/>
      <c r="H111" s="193"/>
      <c r="I111" s="194">
        <v>0.15</v>
      </c>
      <c r="J111" s="199"/>
    </row>
    <row r="112" spans="2:18" ht="12.75" customHeight="1" x14ac:dyDescent="0.25">
      <c r="B112" s="402"/>
      <c r="C112" s="189" t="s">
        <v>298</v>
      </c>
      <c r="D112" s="399"/>
      <c r="E112" s="197"/>
      <c r="F112" s="197"/>
      <c r="G112" s="197"/>
      <c r="H112" s="193"/>
      <c r="I112" s="194">
        <v>0.15</v>
      </c>
      <c r="J112" s="199"/>
    </row>
    <row r="113" spans="2:17" ht="12.75" customHeight="1" x14ac:dyDescent="0.25">
      <c r="B113" s="402"/>
      <c r="C113" s="189" t="s">
        <v>299</v>
      </c>
      <c r="D113" s="399"/>
      <c r="E113" s="197"/>
      <c r="F113" s="197"/>
      <c r="G113" s="197"/>
      <c r="H113" s="193"/>
      <c r="I113" s="194">
        <v>0</v>
      </c>
      <c r="J113" s="199"/>
    </row>
    <row r="114" spans="2:17" ht="12.75" customHeight="1" x14ac:dyDescent="0.25">
      <c r="B114" s="402"/>
      <c r="C114" s="189" t="s">
        <v>300</v>
      </c>
      <c r="D114" s="399"/>
      <c r="E114" s="197"/>
      <c r="F114" s="197"/>
      <c r="G114" s="197"/>
      <c r="H114" s="193"/>
      <c r="I114" s="194">
        <v>0</v>
      </c>
      <c r="J114" s="199"/>
      <c r="Q114" s="103"/>
    </row>
    <row r="115" spans="2:17" ht="13.5" customHeight="1" thickBot="1" x14ac:dyDescent="0.3">
      <c r="B115" s="403"/>
      <c r="C115" s="190" t="s">
        <v>107</v>
      </c>
      <c r="D115" s="400"/>
      <c r="E115" s="206"/>
      <c r="F115" s="206"/>
      <c r="G115" s="206"/>
      <c r="H115" s="207"/>
      <c r="I115" s="274">
        <v>0.1</v>
      </c>
      <c r="J115" s="208"/>
    </row>
    <row r="117" spans="2:17" ht="12.75" customHeight="1" x14ac:dyDescent="0.25">
      <c r="O117" s="92"/>
      <c r="P117" s="92"/>
      <c r="Q117" s="123"/>
    </row>
    <row r="118" spans="2:17" ht="12.75" customHeight="1" x14ac:dyDescent="0.25"/>
    <row r="119" spans="2:17" ht="34.5" customHeight="1" thickBot="1" x14ac:dyDescent="0.45">
      <c r="B119" s="303" t="s">
        <v>313</v>
      </c>
      <c r="C119"/>
      <c r="D119"/>
      <c r="E119"/>
      <c r="F119"/>
    </row>
    <row r="120" spans="2:17" ht="46.5" customHeight="1" thickBot="1" x14ac:dyDescent="0.3">
      <c r="B120" s="344" t="s">
        <v>288</v>
      </c>
      <c r="C120" s="339" t="s">
        <v>289</v>
      </c>
      <c r="D120" s="304" t="s">
        <v>290</v>
      </c>
      <c r="E120" s="305" t="s">
        <v>291</v>
      </c>
      <c r="F120" s="305" t="s">
        <v>292</v>
      </c>
    </row>
    <row r="121" spans="2:17" ht="12.75" customHeight="1" x14ac:dyDescent="0.25">
      <c r="B121" s="379" t="s">
        <v>100</v>
      </c>
      <c r="C121" s="306">
        <v>1</v>
      </c>
      <c r="D121" s="307"/>
      <c r="E121" s="340"/>
      <c r="F121" s="397">
        <f>SUM(E121:E130)</f>
        <v>0</v>
      </c>
    </row>
    <row r="122" spans="2:17" ht="12.75" customHeight="1" x14ac:dyDescent="0.25">
      <c r="B122" s="380"/>
      <c r="C122" s="309">
        <v>2</v>
      </c>
      <c r="D122" s="279"/>
      <c r="E122" s="310"/>
      <c r="F122" s="389"/>
    </row>
    <row r="123" spans="2:17" ht="15" customHeight="1" x14ac:dyDescent="0.25">
      <c r="B123" s="380"/>
      <c r="C123" s="309">
        <v>3</v>
      </c>
      <c r="D123" s="279"/>
      <c r="E123" s="310"/>
      <c r="F123" s="389"/>
    </row>
    <row r="124" spans="2:17" ht="12.75" customHeight="1" x14ac:dyDescent="0.25">
      <c r="B124" s="380"/>
      <c r="C124" s="309">
        <v>4</v>
      </c>
      <c r="D124" s="279"/>
      <c r="E124" s="310"/>
      <c r="F124" s="389"/>
    </row>
    <row r="125" spans="2:17" ht="12.75" customHeight="1" x14ac:dyDescent="0.25">
      <c r="B125" s="380"/>
      <c r="C125" s="309">
        <v>5</v>
      </c>
      <c r="D125" s="279"/>
      <c r="E125" s="310"/>
      <c r="F125" s="389"/>
    </row>
    <row r="126" spans="2:17" ht="27.75" customHeight="1" x14ac:dyDescent="0.25">
      <c r="B126" s="380"/>
      <c r="C126" s="309">
        <v>6</v>
      </c>
      <c r="D126" s="279"/>
      <c r="E126" s="310"/>
      <c r="F126" s="389"/>
    </row>
    <row r="127" spans="2:17" ht="12.75" customHeight="1" x14ac:dyDescent="0.25">
      <c r="B127" s="380"/>
      <c r="C127" s="309">
        <v>7</v>
      </c>
      <c r="D127" s="279"/>
      <c r="E127" s="310"/>
      <c r="F127" s="389"/>
    </row>
    <row r="128" spans="2:17" x14ac:dyDescent="0.25">
      <c r="B128" s="380"/>
      <c r="C128" s="309">
        <v>8</v>
      </c>
      <c r="D128" s="279"/>
      <c r="E128" s="310"/>
      <c r="F128" s="389"/>
    </row>
    <row r="129" spans="2:6" x14ac:dyDescent="0.25">
      <c r="B129" s="380"/>
      <c r="C129" s="309">
        <v>9</v>
      </c>
      <c r="D129" s="279"/>
      <c r="E129" s="310"/>
      <c r="F129" s="389"/>
    </row>
    <row r="130" spans="2:6" ht="13.8" thickBot="1" x14ac:dyDescent="0.3">
      <c r="B130" s="387"/>
      <c r="C130" s="311">
        <v>10</v>
      </c>
      <c r="D130" s="312"/>
      <c r="E130" s="313"/>
      <c r="F130" s="390"/>
    </row>
    <row r="131" spans="2:6" x14ac:dyDescent="0.25">
      <c r="B131" s="379" t="s">
        <v>175</v>
      </c>
      <c r="C131" s="306">
        <v>1</v>
      </c>
      <c r="D131" s="307"/>
      <c r="E131" s="308"/>
      <c r="F131" s="388">
        <f>SUM(E131:E140)</f>
        <v>0</v>
      </c>
    </row>
    <row r="132" spans="2:6" x14ac:dyDescent="0.25">
      <c r="B132" s="380"/>
      <c r="C132" s="309">
        <v>2</v>
      </c>
      <c r="D132" s="279"/>
      <c r="E132" s="310"/>
      <c r="F132" s="389"/>
    </row>
    <row r="133" spans="2:6" x14ac:dyDescent="0.25">
      <c r="B133" s="380"/>
      <c r="C133" s="309">
        <v>3</v>
      </c>
      <c r="D133" s="279"/>
      <c r="E133" s="310"/>
      <c r="F133" s="389"/>
    </row>
    <row r="134" spans="2:6" x14ac:dyDescent="0.25">
      <c r="B134" s="380"/>
      <c r="C134" s="309">
        <v>4</v>
      </c>
      <c r="D134" s="279"/>
      <c r="E134" s="310"/>
      <c r="F134" s="389"/>
    </row>
    <row r="135" spans="2:6" x14ac:dyDescent="0.25">
      <c r="B135" s="380"/>
      <c r="C135" s="309">
        <v>5</v>
      </c>
      <c r="D135" s="279"/>
      <c r="E135" s="310"/>
      <c r="F135" s="389"/>
    </row>
    <row r="136" spans="2:6" x14ac:dyDescent="0.25">
      <c r="B136" s="380"/>
      <c r="C136" s="309">
        <v>6</v>
      </c>
      <c r="D136" s="279"/>
      <c r="E136" s="310"/>
      <c r="F136" s="389"/>
    </row>
    <row r="137" spans="2:6" x14ac:dyDescent="0.25">
      <c r="B137" s="380"/>
      <c r="C137" s="309">
        <v>7</v>
      </c>
      <c r="D137" s="279"/>
      <c r="E137" s="310"/>
      <c r="F137" s="389"/>
    </row>
    <row r="138" spans="2:6" x14ac:dyDescent="0.25">
      <c r="B138" s="380"/>
      <c r="C138" s="309">
        <v>8</v>
      </c>
      <c r="D138" s="279"/>
      <c r="E138" s="310"/>
      <c r="F138" s="389"/>
    </row>
    <row r="139" spans="2:6" x14ac:dyDescent="0.25">
      <c r="B139" s="380"/>
      <c r="C139" s="309">
        <v>9</v>
      </c>
      <c r="D139" s="279"/>
      <c r="E139" s="310"/>
      <c r="F139" s="389"/>
    </row>
    <row r="140" spans="2:6" ht="13.8" thickBot="1" x14ac:dyDescent="0.3">
      <c r="B140" s="387"/>
      <c r="C140" s="311">
        <v>10</v>
      </c>
      <c r="D140" s="312"/>
      <c r="E140" s="313"/>
      <c r="F140" s="390"/>
    </row>
    <row r="141" spans="2:6" x14ac:dyDescent="0.25">
      <c r="B141" s="379" t="s">
        <v>293</v>
      </c>
      <c r="C141" s="306">
        <v>1</v>
      </c>
      <c r="D141" s="307"/>
      <c r="E141" s="308"/>
      <c r="F141" s="388">
        <f>SUM(E141:E150)</f>
        <v>0</v>
      </c>
    </row>
    <row r="142" spans="2:6" x14ac:dyDescent="0.25">
      <c r="B142" s="380"/>
      <c r="C142" s="309">
        <v>2</v>
      </c>
      <c r="D142" s="279"/>
      <c r="E142" s="310"/>
      <c r="F142" s="389"/>
    </row>
    <row r="143" spans="2:6" x14ac:dyDescent="0.25">
      <c r="B143" s="380"/>
      <c r="C143" s="309">
        <v>3</v>
      </c>
      <c r="D143" s="279"/>
      <c r="E143" s="310"/>
      <c r="F143" s="389"/>
    </row>
    <row r="144" spans="2:6" x14ac:dyDescent="0.25">
      <c r="B144" s="380"/>
      <c r="C144" s="309">
        <v>4</v>
      </c>
      <c r="D144" s="279"/>
      <c r="E144" s="310"/>
      <c r="F144" s="389"/>
    </row>
    <row r="145" spans="2:6" x14ac:dyDescent="0.25">
      <c r="B145" s="380"/>
      <c r="C145" s="309">
        <v>5</v>
      </c>
      <c r="D145" s="279"/>
      <c r="E145" s="310"/>
      <c r="F145" s="389"/>
    </row>
    <row r="146" spans="2:6" x14ac:dyDescent="0.25">
      <c r="B146" s="380"/>
      <c r="C146" s="309">
        <v>6</v>
      </c>
      <c r="D146" s="279"/>
      <c r="E146" s="310"/>
      <c r="F146" s="389"/>
    </row>
    <row r="147" spans="2:6" x14ac:dyDescent="0.25">
      <c r="B147" s="380"/>
      <c r="C147" s="309">
        <v>7</v>
      </c>
      <c r="D147" s="279"/>
      <c r="E147" s="310"/>
      <c r="F147" s="389"/>
    </row>
    <row r="148" spans="2:6" x14ac:dyDescent="0.25">
      <c r="B148" s="380"/>
      <c r="C148" s="309">
        <v>8</v>
      </c>
      <c r="D148" s="279"/>
      <c r="E148" s="310"/>
      <c r="F148" s="389"/>
    </row>
    <row r="149" spans="2:6" x14ac:dyDescent="0.25">
      <c r="B149" s="380"/>
      <c r="C149" s="309">
        <v>9</v>
      </c>
      <c r="D149" s="279"/>
      <c r="E149" s="310"/>
      <c r="F149" s="389"/>
    </row>
    <row r="150" spans="2:6" ht="13.8" thickBot="1" x14ac:dyDescent="0.3">
      <c r="B150" s="387"/>
      <c r="C150" s="311">
        <v>10</v>
      </c>
      <c r="D150" s="312"/>
      <c r="E150" s="313"/>
      <c r="F150" s="390"/>
    </row>
    <row r="151" spans="2:6" x14ac:dyDescent="0.25">
      <c r="B151" s="379" t="s">
        <v>294</v>
      </c>
      <c r="C151" s="306">
        <v>1</v>
      </c>
      <c r="D151" s="307"/>
      <c r="E151" s="308"/>
      <c r="F151" s="388">
        <f>SUM(E151:E153)</f>
        <v>0</v>
      </c>
    </row>
    <row r="152" spans="2:6" x14ac:dyDescent="0.25">
      <c r="B152" s="380"/>
      <c r="C152" s="309">
        <v>2</v>
      </c>
      <c r="D152" s="279"/>
      <c r="E152" s="310"/>
      <c r="F152" s="389"/>
    </row>
    <row r="153" spans="2:6" ht="13.8" thickBot="1" x14ac:dyDescent="0.3">
      <c r="B153" s="380"/>
      <c r="C153" s="309">
        <v>3</v>
      </c>
      <c r="D153" s="279"/>
      <c r="E153" s="310"/>
      <c r="F153" s="389"/>
    </row>
    <row r="154" spans="2:6" x14ac:dyDescent="0.25">
      <c r="B154" s="384" t="s">
        <v>295</v>
      </c>
      <c r="C154" s="314">
        <v>1</v>
      </c>
      <c r="D154" s="315"/>
      <c r="E154" s="316"/>
      <c r="F154" s="394">
        <f>SUM(E154:E162)</f>
        <v>0</v>
      </c>
    </row>
    <row r="155" spans="2:6" x14ac:dyDescent="0.25">
      <c r="B155" s="385"/>
      <c r="C155" s="317">
        <v>2</v>
      </c>
      <c r="D155" s="318"/>
      <c r="E155" s="319"/>
      <c r="F155" s="395"/>
    </row>
    <row r="156" spans="2:6" x14ac:dyDescent="0.25">
      <c r="B156" s="385"/>
      <c r="C156" s="317">
        <v>3</v>
      </c>
      <c r="D156" s="318"/>
      <c r="E156" s="319"/>
      <c r="F156" s="395"/>
    </row>
    <row r="157" spans="2:6" x14ac:dyDescent="0.25">
      <c r="B157" s="385"/>
      <c r="C157" s="317">
        <v>4</v>
      </c>
      <c r="D157" s="318"/>
      <c r="E157" s="319"/>
      <c r="F157" s="395"/>
    </row>
    <row r="158" spans="2:6" x14ac:dyDescent="0.25">
      <c r="B158" s="385"/>
      <c r="C158" s="317">
        <v>5</v>
      </c>
      <c r="D158" s="318"/>
      <c r="E158" s="319"/>
      <c r="F158" s="395"/>
    </row>
    <row r="159" spans="2:6" x14ac:dyDescent="0.25">
      <c r="B159" s="385"/>
      <c r="C159" s="317">
        <v>6</v>
      </c>
      <c r="D159" s="318"/>
      <c r="E159" s="319"/>
      <c r="F159" s="395"/>
    </row>
    <row r="160" spans="2:6" x14ac:dyDescent="0.25">
      <c r="B160" s="385"/>
      <c r="C160" s="317">
        <v>7</v>
      </c>
      <c r="D160" s="318"/>
      <c r="E160" s="319"/>
      <c r="F160" s="395"/>
    </row>
    <row r="161" spans="2:6" x14ac:dyDescent="0.25">
      <c r="B161" s="385"/>
      <c r="C161" s="320">
        <v>8</v>
      </c>
      <c r="D161" s="321"/>
      <c r="E161" s="322"/>
      <c r="F161" s="395"/>
    </row>
    <row r="162" spans="2:6" ht="13.8" thickBot="1" x14ac:dyDescent="0.3">
      <c r="B162" s="386"/>
      <c r="C162" s="323">
        <v>9</v>
      </c>
      <c r="D162" s="324"/>
      <c r="E162" s="325"/>
      <c r="F162" s="396"/>
    </row>
    <row r="163" spans="2:6" x14ac:dyDescent="0.25">
      <c r="B163" s="379" t="s">
        <v>296</v>
      </c>
      <c r="C163" s="326">
        <v>1</v>
      </c>
      <c r="D163" s="327"/>
      <c r="E163" s="328"/>
      <c r="F163" s="388">
        <f>SUM(E163:E172)</f>
        <v>0</v>
      </c>
    </row>
    <row r="164" spans="2:6" x14ac:dyDescent="0.25">
      <c r="B164" s="380"/>
      <c r="C164" s="309">
        <v>2</v>
      </c>
      <c r="D164" s="279"/>
      <c r="E164" s="310"/>
      <c r="F164" s="389"/>
    </row>
    <row r="165" spans="2:6" x14ac:dyDescent="0.25">
      <c r="B165" s="380"/>
      <c r="C165" s="309">
        <v>3</v>
      </c>
      <c r="D165" s="279"/>
      <c r="E165" s="310"/>
      <c r="F165" s="389"/>
    </row>
    <row r="166" spans="2:6" x14ac:dyDescent="0.25">
      <c r="B166" s="380"/>
      <c r="C166" s="309">
        <v>4</v>
      </c>
      <c r="D166" s="279"/>
      <c r="E166" s="310"/>
      <c r="F166" s="389"/>
    </row>
    <row r="167" spans="2:6" x14ac:dyDescent="0.25">
      <c r="B167" s="380"/>
      <c r="C167" s="309">
        <v>5</v>
      </c>
      <c r="D167" s="279"/>
      <c r="E167" s="310"/>
      <c r="F167" s="389"/>
    </row>
    <row r="168" spans="2:6" x14ac:dyDescent="0.25">
      <c r="B168" s="380"/>
      <c r="C168" s="309">
        <v>6</v>
      </c>
      <c r="D168" s="279"/>
      <c r="E168" s="310"/>
      <c r="F168" s="389"/>
    </row>
    <row r="169" spans="2:6" x14ac:dyDescent="0.25">
      <c r="B169" s="380"/>
      <c r="C169" s="309">
        <v>7</v>
      </c>
      <c r="D169" s="279"/>
      <c r="E169" s="310"/>
      <c r="F169" s="389"/>
    </row>
    <row r="170" spans="2:6" x14ac:dyDescent="0.25">
      <c r="B170" s="380"/>
      <c r="C170" s="309">
        <v>8</v>
      </c>
      <c r="D170" s="279"/>
      <c r="E170" s="310"/>
      <c r="F170" s="389"/>
    </row>
    <row r="171" spans="2:6" x14ac:dyDescent="0.25">
      <c r="B171" s="380"/>
      <c r="C171" s="309">
        <v>9</v>
      </c>
      <c r="D171" s="279"/>
      <c r="E171" s="310"/>
      <c r="F171" s="389"/>
    </row>
    <row r="172" spans="2:6" ht="13.8" thickBot="1" x14ac:dyDescent="0.3">
      <c r="B172" s="387"/>
      <c r="C172" s="329">
        <v>10</v>
      </c>
      <c r="D172" s="280"/>
      <c r="E172" s="330"/>
      <c r="F172" s="390"/>
    </row>
    <row r="173" spans="2:6" x14ac:dyDescent="0.25">
      <c r="B173" s="379" t="s">
        <v>297</v>
      </c>
      <c r="C173" s="331">
        <v>1</v>
      </c>
      <c r="D173" s="307" t="s">
        <v>303</v>
      </c>
      <c r="E173" s="341">
        <v>549482</v>
      </c>
      <c r="F173" s="391">
        <f>SUM(E173:E182)</f>
        <v>549482</v>
      </c>
    </row>
    <row r="174" spans="2:6" x14ac:dyDescent="0.25">
      <c r="B174" s="380"/>
      <c r="C174" s="332">
        <v>2</v>
      </c>
      <c r="D174" s="279"/>
      <c r="E174" s="333"/>
      <c r="F174" s="392"/>
    </row>
    <row r="175" spans="2:6" x14ac:dyDescent="0.25">
      <c r="B175" s="380"/>
      <c r="C175" s="332">
        <v>3</v>
      </c>
      <c r="D175" s="279"/>
      <c r="E175" s="333"/>
      <c r="F175" s="392"/>
    </row>
    <row r="176" spans="2:6" x14ac:dyDescent="0.25">
      <c r="B176" s="380"/>
      <c r="C176" s="332">
        <v>4</v>
      </c>
      <c r="D176" s="279"/>
      <c r="E176" s="333"/>
      <c r="F176" s="392"/>
    </row>
    <row r="177" spans="2:6" x14ac:dyDescent="0.25">
      <c r="B177" s="380"/>
      <c r="C177" s="332">
        <v>5</v>
      </c>
      <c r="D177" s="279"/>
      <c r="E177" s="333"/>
      <c r="F177" s="392"/>
    </row>
    <row r="178" spans="2:6" x14ac:dyDescent="0.25">
      <c r="B178" s="380"/>
      <c r="C178" s="332">
        <v>6</v>
      </c>
      <c r="D178" s="279"/>
      <c r="E178" s="333"/>
      <c r="F178" s="392"/>
    </row>
    <row r="179" spans="2:6" x14ac:dyDescent="0.25">
      <c r="B179" s="380"/>
      <c r="C179" s="332">
        <v>7</v>
      </c>
      <c r="D179" s="279"/>
      <c r="E179" s="333"/>
      <c r="F179" s="392"/>
    </row>
    <row r="180" spans="2:6" x14ac:dyDescent="0.25">
      <c r="B180" s="380"/>
      <c r="C180" s="332">
        <v>8</v>
      </c>
      <c r="D180" s="279"/>
      <c r="E180" s="333"/>
      <c r="F180" s="392"/>
    </row>
    <row r="181" spans="2:6" x14ac:dyDescent="0.25">
      <c r="B181" s="380"/>
      <c r="C181" s="332">
        <v>9</v>
      </c>
      <c r="D181" s="279"/>
      <c r="E181" s="333"/>
      <c r="F181" s="392"/>
    </row>
    <row r="182" spans="2:6" ht="13.8" thickBot="1" x14ac:dyDescent="0.3">
      <c r="B182" s="387"/>
      <c r="C182" s="334">
        <v>10</v>
      </c>
      <c r="D182" s="312"/>
      <c r="E182" s="335"/>
      <c r="F182" s="393"/>
    </row>
    <row r="183" spans="2:6" x14ac:dyDescent="0.25">
      <c r="B183" s="380" t="s">
        <v>298</v>
      </c>
      <c r="C183" s="331">
        <v>1</v>
      </c>
      <c r="D183" s="307"/>
      <c r="E183" s="308"/>
      <c r="F183" s="381">
        <f>SUM(E183:E192)</f>
        <v>0</v>
      </c>
    </row>
    <row r="184" spans="2:6" x14ac:dyDescent="0.25">
      <c r="B184" s="380"/>
      <c r="C184" s="332">
        <v>2</v>
      </c>
      <c r="D184" s="279"/>
      <c r="E184" s="310"/>
      <c r="F184" s="382"/>
    </row>
    <row r="185" spans="2:6" x14ac:dyDescent="0.25">
      <c r="B185" s="380"/>
      <c r="C185" s="332">
        <v>3</v>
      </c>
      <c r="D185" s="279"/>
      <c r="E185" s="310"/>
      <c r="F185" s="382"/>
    </row>
    <row r="186" spans="2:6" x14ac:dyDescent="0.25">
      <c r="B186" s="380"/>
      <c r="C186" s="332">
        <v>4</v>
      </c>
      <c r="D186" s="279"/>
      <c r="E186" s="310"/>
      <c r="F186" s="382"/>
    </row>
    <row r="187" spans="2:6" x14ac:dyDescent="0.25">
      <c r="B187" s="380"/>
      <c r="C187" s="332">
        <v>5</v>
      </c>
      <c r="D187" s="279"/>
      <c r="E187" s="310"/>
      <c r="F187" s="382"/>
    </row>
    <row r="188" spans="2:6" x14ac:dyDescent="0.25">
      <c r="B188" s="380"/>
      <c r="C188" s="332">
        <v>6</v>
      </c>
      <c r="D188" s="279"/>
      <c r="E188" s="310"/>
      <c r="F188" s="382"/>
    </row>
    <row r="189" spans="2:6" x14ac:dyDescent="0.25">
      <c r="B189" s="380"/>
      <c r="C189" s="332">
        <v>7</v>
      </c>
      <c r="D189" s="279"/>
      <c r="E189" s="310"/>
      <c r="F189" s="382"/>
    </row>
    <row r="190" spans="2:6" x14ac:dyDescent="0.25">
      <c r="B190" s="380"/>
      <c r="C190" s="332">
        <v>8</v>
      </c>
      <c r="D190" s="279"/>
      <c r="E190" s="310"/>
      <c r="F190" s="382"/>
    </row>
    <row r="191" spans="2:6" x14ac:dyDescent="0.25">
      <c r="B191" s="380"/>
      <c r="C191" s="332">
        <v>9</v>
      </c>
      <c r="D191" s="279"/>
      <c r="E191" s="310"/>
      <c r="F191" s="382"/>
    </row>
    <row r="192" spans="2:6" ht="13.8" thickBot="1" x14ac:dyDescent="0.3">
      <c r="B192" s="387"/>
      <c r="C192" s="334">
        <v>10</v>
      </c>
      <c r="D192" s="312"/>
      <c r="E192" s="313"/>
      <c r="F192" s="383"/>
    </row>
    <row r="193" spans="2:6" x14ac:dyDescent="0.25">
      <c r="B193" s="379" t="s">
        <v>299</v>
      </c>
      <c r="C193" s="326">
        <v>1</v>
      </c>
      <c r="D193" s="327"/>
      <c r="E193" s="328"/>
      <c r="F193" s="381">
        <f>SUM(E193:E201)</f>
        <v>0</v>
      </c>
    </row>
    <row r="194" spans="2:6" x14ac:dyDescent="0.25">
      <c r="B194" s="380"/>
      <c r="C194" s="309">
        <v>2</v>
      </c>
      <c r="D194" s="279"/>
      <c r="E194" s="310"/>
      <c r="F194" s="382"/>
    </row>
    <row r="195" spans="2:6" x14ac:dyDescent="0.25">
      <c r="B195" s="380"/>
      <c r="C195" s="309">
        <v>3</v>
      </c>
      <c r="D195" s="279"/>
      <c r="E195" s="310"/>
      <c r="F195" s="382"/>
    </row>
    <row r="196" spans="2:6" x14ac:dyDescent="0.25">
      <c r="B196" s="380"/>
      <c r="C196" s="309">
        <v>4</v>
      </c>
      <c r="D196" s="279"/>
      <c r="E196" s="310"/>
      <c r="F196" s="382"/>
    </row>
    <row r="197" spans="2:6" x14ac:dyDescent="0.25">
      <c r="B197" s="380"/>
      <c r="C197" s="309">
        <v>5</v>
      </c>
      <c r="D197" s="279"/>
      <c r="E197" s="310"/>
      <c r="F197" s="382"/>
    </row>
    <row r="198" spans="2:6" x14ac:dyDescent="0.25">
      <c r="B198" s="380"/>
      <c r="C198" s="309">
        <v>6</v>
      </c>
      <c r="D198" s="279"/>
      <c r="E198" s="310"/>
      <c r="F198" s="382"/>
    </row>
    <row r="199" spans="2:6" x14ac:dyDescent="0.25">
      <c r="B199" s="380"/>
      <c r="C199" s="309">
        <v>7</v>
      </c>
      <c r="D199" s="279"/>
      <c r="E199" s="310"/>
      <c r="F199" s="382"/>
    </row>
    <row r="200" spans="2:6" x14ac:dyDescent="0.25">
      <c r="B200" s="380"/>
      <c r="C200" s="309">
        <v>8</v>
      </c>
      <c r="D200" s="279"/>
      <c r="E200" s="310"/>
      <c r="F200" s="382"/>
    </row>
    <row r="201" spans="2:6" ht="13.8" thickBot="1" x14ac:dyDescent="0.3">
      <c r="B201" s="380"/>
      <c r="C201" s="329">
        <v>9</v>
      </c>
      <c r="D201" s="280"/>
      <c r="E201" s="330"/>
      <c r="F201" s="383"/>
    </row>
    <row r="202" spans="2:6" x14ac:dyDescent="0.25">
      <c r="B202" s="384" t="s">
        <v>107</v>
      </c>
      <c r="C202" s="314">
        <v>1</v>
      </c>
      <c r="D202" s="315"/>
      <c r="E202" s="336"/>
      <c r="F202" s="381">
        <f>SUM(E202:E211)</f>
        <v>0</v>
      </c>
    </row>
    <row r="203" spans="2:6" x14ac:dyDescent="0.25">
      <c r="B203" s="385"/>
      <c r="C203" s="320">
        <v>2</v>
      </c>
      <c r="D203" s="321"/>
      <c r="E203" s="337"/>
      <c r="F203" s="382"/>
    </row>
    <row r="204" spans="2:6" x14ac:dyDescent="0.25">
      <c r="B204" s="385"/>
      <c r="C204" s="320">
        <v>3</v>
      </c>
      <c r="D204" s="321"/>
      <c r="E204" s="337"/>
      <c r="F204" s="382"/>
    </row>
    <row r="205" spans="2:6" x14ac:dyDescent="0.25">
      <c r="B205" s="385"/>
      <c r="C205" s="320">
        <v>4</v>
      </c>
      <c r="D205" s="321"/>
      <c r="E205" s="337"/>
      <c r="F205" s="382"/>
    </row>
    <row r="206" spans="2:6" x14ac:dyDescent="0.25">
      <c r="B206" s="385"/>
      <c r="C206" s="320">
        <v>5</v>
      </c>
      <c r="D206" s="321"/>
      <c r="E206" s="337"/>
      <c r="F206" s="382"/>
    </row>
    <row r="207" spans="2:6" x14ac:dyDescent="0.25">
      <c r="B207" s="385"/>
      <c r="C207" s="320">
        <v>6</v>
      </c>
      <c r="D207" s="321"/>
      <c r="E207" s="337"/>
      <c r="F207" s="382"/>
    </row>
    <row r="208" spans="2:6" x14ac:dyDescent="0.25">
      <c r="B208" s="385"/>
      <c r="C208" s="320">
        <v>7</v>
      </c>
      <c r="D208" s="321"/>
      <c r="E208" s="337"/>
      <c r="F208" s="382"/>
    </row>
    <row r="209" spans="2:6" x14ac:dyDescent="0.25">
      <c r="B209" s="385"/>
      <c r="C209" s="320">
        <v>8</v>
      </c>
      <c r="D209" s="321"/>
      <c r="E209" s="337"/>
      <c r="F209" s="382"/>
    </row>
    <row r="210" spans="2:6" x14ac:dyDescent="0.25">
      <c r="B210" s="385"/>
      <c r="C210" s="320">
        <v>9</v>
      </c>
      <c r="D210" s="321"/>
      <c r="E210" s="337"/>
      <c r="F210" s="382"/>
    </row>
    <row r="211" spans="2:6" ht="13.8" thickBot="1" x14ac:dyDescent="0.3">
      <c r="B211" s="386"/>
      <c r="C211" s="323">
        <v>10</v>
      </c>
      <c r="D211" s="324"/>
      <c r="E211" s="338"/>
      <c r="F211" s="383"/>
    </row>
    <row r="212" spans="2:6" x14ac:dyDescent="0.25">
      <c r="B212" s="384" t="s">
        <v>300</v>
      </c>
      <c r="C212" s="314">
        <v>1</v>
      </c>
      <c r="D212" s="315"/>
      <c r="E212" s="336"/>
      <c r="F212" s="381">
        <f>SUM(E212:E221)</f>
        <v>0</v>
      </c>
    </row>
    <row r="213" spans="2:6" x14ac:dyDescent="0.25">
      <c r="B213" s="385"/>
      <c r="C213" s="320">
        <v>2</v>
      </c>
      <c r="D213" s="321"/>
      <c r="E213" s="337"/>
      <c r="F213" s="382"/>
    </row>
    <row r="214" spans="2:6" x14ac:dyDescent="0.25">
      <c r="B214" s="385"/>
      <c r="C214" s="320">
        <v>3</v>
      </c>
      <c r="D214" s="321"/>
      <c r="E214" s="337"/>
      <c r="F214" s="382"/>
    </row>
    <row r="215" spans="2:6" x14ac:dyDescent="0.25">
      <c r="B215" s="385"/>
      <c r="C215" s="320">
        <v>4</v>
      </c>
      <c r="D215" s="321"/>
      <c r="E215" s="337"/>
      <c r="F215" s="382"/>
    </row>
    <row r="216" spans="2:6" x14ac:dyDescent="0.25">
      <c r="B216" s="385"/>
      <c r="C216" s="320">
        <v>5</v>
      </c>
      <c r="D216" s="321"/>
      <c r="E216" s="337"/>
      <c r="F216" s="382"/>
    </row>
    <row r="217" spans="2:6" x14ac:dyDescent="0.25">
      <c r="B217" s="385"/>
      <c r="C217" s="320">
        <v>6</v>
      </c>
      <c r="D217" s="321"/>
      <c r="E217" s="337"/>
      <c r="F217" s="382"/>
    </row>
    <row r="218" spans="2:6" x14ac:dyDescent="0.25">
      <c r="B218" s="385"/>
      <c r="C218" s="320">
        <v>7</v>
      </c>
      <c r="D218" s="321"/>
      <c r="E218" s="337"/>
      <c r="F218" s="382"/>
    </row>
    <row r="219" spans="2:6" x14ac:dyDescent="0.25">
      <c r="B219" s="385"/>
      <c r="C219" s="320">
        <v>8</v>
      </c>
      <c r="D219" s="321"/>
      <c r="E219" s="337"/>
      <c r="F219" s="382"/>
    </row>
    <row r="220" spans="2:6" x14ac:dyDescent="0.25">
      <c r="B220" s="385"/>
      <c r="C220" s="320">
        <v>9</v>
      </c>
      <c r="D220" s="321"/>
      <c r="E220" s="337"/>
      <c r="F220" s="382"/>
    </row>
    <row r="221" spans="2:6" ht="13.8" thickBot="1" x14ac:dyDescent="0.3">
      <c r="B221" s="386"/>
      <c r="C221" s="323">
        <v>10</v>
      </c>
      <c r="D221" s="324"/>
      <c r="E221" s="338"/>
      <c r="F221" s="383"/>
    </row>
    <row r="222" spans="2:6" ht="22.5" customHeight="1" thickBot="1" x14ac:dyDescent="0.3">
      <c r="B222" s="376" t="s">
        <v>304</v>
      </c>
      <c r="C222" s="377"/>
      <c r="D222" s="377"/>
      <c r="E222" s="378"/>
      <c r="F222" s="342">
        <f>SUM(F121:F221)</f>
        <v>549482</v>
      </c>
    </row>
  </sheetData>
  <mergeCells count="31">
    <mergeCell ref="B3:B8"/>
    <mergeCell ref="B16:B20"/>
    <mergeCell ref="B10:B14"/>
    <mergeCell ref="L44:L48"/>
    <mergeCell ref="B22:B43"/>
    <mergeCell ref="B45:B67"/>
    <mergeCell ref="B121:B130"/>
    <mergeCell ref="F121:F130"/>
    <mergeCell ref="B131:B140"/>
    <mergeCell ref="F131:F140"/>
    <mergeCell ref="D69:D115"/>
    <mergeCell ref="B69:B115"/>
    <mergeCell ref="B141:B150"/>
    <mergeCell ref="F141:F150"/>
    <mergeCell ref="B151:B153"/>
    <mergeCell ref="F151:F153"/>
    <mergeCell ref="B154:B162"/>
    <mergeCell ref="F154:F162"/>
    <mergeCell ref="B163:B172"/>
    <mergeCell ref="F163:F172"/>
    <mergeCell ref="B173:B182"/>
    <mergeCell ref="F173:F182"/>
    <mergeCell ref="B183:B192"/>
    <mergeCell ref="F183:F192"/>
    <mergeCell ref="B222:E222"/>
    <mergeCell ref="B193:B201"/>
    <mergeCell ref="F193:F201"/>
    <mergeCell ref="B202:B211"/>
    <mergeCell ref="F202:F211"/>
    <mergeCell ref="B212:B221"/>
    <mergeCell ref="F212:F22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12"/>
  <sheetViews>
    <sheetView view="pageBreakPreview" topLeftCell="A112" zoomScale="65" zoomScaleNormal="55" zoomScaleSheetLayoutView="40" workbookViewId="0">
      <selection activeCell="G29" sqref="G29"/>
    </sheetView>
  </sheetViews>
  <sheetFormatPr defaultColWidth="21.77734375" defaultRowHeight="25.8" x14ac:dyDescent="0.5"/>
  <cols>
    <col min="1" max="1" width="74.77734375" style="2" customWidth="1"/>
    <col min="2" max="2" width="20.77734375" style="2" customWidth="1"/>
    <col min="3" max="3" width="22.77734375" style="2" customWidth="1"/>
    <col min="4" max="4" width="25.21875" style="2" customWidth="1"/>
    <col min="5" max="5" width="23.77734375" style="2" customWidth="1"/>
    <col min="6" max="6" width="25.44140625" style="2" customWidth="1"/>
    <col min="7" max="7" width="27.44140625" style="2" customWidth="1"/>
    <col min="8" max="16384" width="21.77734375" style="2"/>
  </cols>
  <sheetData>
    <row r="1" spans="1:16" x14ac:dyDescent="0.5">
      <c r="A1" s="418"/>
      <c r="B1" s="418"/>
      <c r="C1" s="418"/>
      <c r="D1" s="418"/>
      <c r="E1" s="418"/>
      <c r="F1" s="418"/>
      <c r="G1" s="418"/>
    </row>
    <row r="2" spans="1:16" x14ac:dyDescent="0.5">
      <c r="A2" s="418"/>
      <c r="B2" s="418"/>
      <c r="C2" s="418"/>
      <c r="D2" s="418"/>
      <c r="E2" s="418"/>
      <c r="F2" s="418"/>
      <c r="G2" s="418"/>
    </row>
    <row r="3" spans="1:16" ht="29.25" customHeight="1" x14ac:dyDescent="0.7">
      <c r="A3" s="419" t="s">
        <v>230</v>
      </c>
      <c r="B3" s="419"/>
      <c r="C3" s="419"/>
      <c r="D3" s="419"/>
      <c r="E3" s="419"/>
      <c r="F3" s="419"/>
      <c r="G3" s="419"/>
      <c r="N3" s="416"/>
      <c r="O3" s="416"/>
      <c r="P3" s="416"/>
    </row>
    <row r="4" spans="1:16" ht="57" customHeight="1" x14ac:dyDescent="0.9">
      <c r="A4" s="417" t="s">
        <v>215</v>
      </c>
      <c r="B4" s="417"/>
      <c r="C4" s="417"/>
      <c r="D4" s="417"/>
      <c r="E4" s="417"/>
      <c r="F4" s="417"/>
      <c r="G4" s="417"/>
      <c r="I4" s="137"/>
    </row>
    <row r="5" spans="1:16" ht="28.5" customHeight="1" x14ac:dyDescent="0.5">
      <c r="A5" s="425" t="s">
        <v>0</v>
      </c>
      <c r="B5" s="156" t="s">
        <v>37</v>
      </c>
      <c r="C5" s="91" t="str">
        <f>Assumptions.1!J16</f>
        <v>Audited</v>
      </c>
      <c r="D5" s="91" t="str">
        <f>Assumptions.1!J17</f>
        <v>Provisional</v>
      </c>
      <c r="E5" s="91" t="str">
        <f>Assumptions.1!J18</f>
        <v>Estimated</v>
      </c>
      <c r="F5" s="91" t="str">
        <f>Assumptions.1!J19</f>
        <v>Projected</v>
      </c>
      <c r="G5" s="91" t="str">
        <f>Assumptions.1!J20</f>
        <v>Projected</v>
      </c>
    </row>
    <row r="6" spans="1:16" ht="66" customHeight="1" thickBot="1" x14ac:dyDescent="0.55000000000000004">
      <c r="A6" s="426"/>
      <c r="B6" s="177"/>
      <c r="C6" s="157">
        <f>Assumptions.1!I16</f>
        <v>0</v>
      </c>
      <c r="D6" s="59">
        <f>Assumptions.1!I17</f>
        <v>0</v>
      </c>
      <c r="E6" s="157">
        <f>Assumptions.1!I18</f>
        <v>0</v>
      </c>
      <c r="F6" s="157">
        <f>Assumptions.1!I19</f>
        <v>0</v>
      </c>
      <c r="G6" s="157">
        <f>Assumptions.1!I20</f>
        <v>0</v>
      </c>
      <c r="H6" s="3"/>
    </row>
    <row r="7" spans="1:16" s="3" customFormat="1" ht="26.4" thickTop="1" x14ac:dyDescent="0.5">
      <c r="D7" s="4"/>
      <c r="F7" s="4"/>
    </row>
    <row r="8" spans="1:16" s="3" customFormat="1" ht="30.6" x14ac:dyDescent="0.55000000000000004">
      <c r="A8" s="5" t="s">
        <v>145</v>
      </c>
      <c r="D8" s="4"/>
      <c r="E8" s="146"/>
      <c r="F8" s="146"/>
      <c r="G8" s="146"/>
    </row>
    <row r="9" spans="1:16" s="3" customFormat="1" x14ac:dyDescent="0.5">
      <c r="A9" s="5"/>
      <c r="D9" s="4"/>
      <c r="E9" s="4"/>
      <c r="F9" s="4"/>
    </row>
    <row r="10" spans="1:16" s="3" customFormat="1" ht="33" customHeight="1" x14ac:dyDescent="0.5">
      <c r="A10" s="2" t="s">
        <v>173</v>
      </c>
      <c r="B10" s="2"/>
      <c r="C10" s="6">
        <f>Assumptions.1!I22</f>
        <v>0</v>
      </c>
      <c r="D10" s="2">
        <f>Assumptions.1!I46</f>
        <v>0</v>
      </c>
      <c r="E10" s="6" t="e">
        <f>Assumptions.1!I95</f>
        <v>#DIV/0!</v>
      </c>
      <c r="F10" s="2" t="e">
        <f>E10*Assumptions.1!I70</f>
        <v>#DIV/0!</v>
      </c>
      <c r="G10" s="2" t="e">
        <f>F10*Assumptions.1!I70</f>
        <v>#DIV/0!</v>
      </c>
    </row>
    <row r="11" spans="1:16" s="3" customFormat="1" ht="33" customHeight="1" x14ac:dyDescent="0.5">
      <c r="A11" s="2"/>
      <c r="B11" s="2"/>
      <c r="C11" s="6"/>
      <c r="D11" s="6"/>
      <c r="E11" s="6"/>
      <c r="F11" s="6"/>
      <c r="G11" s="6"/>
    </row>
    <row r="12" spans="1:16" ht="38.25" customHeight="1" x14ac:dyDescent="0.5">
      <c r="C12" s="7">
        <f>SUM(C10:C11)</f>
        <v>0</v>
      </c>
      <c r="D12" s="3">
        <f>SUM(D10:D11)</f>
        <v>0</v>
      </c>
      <c r="E12" s="7" t="e">
        <f>SUM(E10:E11)</f>
        <v>#DIV/0!</v>
      </c>
      <c r="F12" s="3" t="e">
        <f>SUM(F10:F11)</f>
        <v>#DIV/0!</v>
      </c>
      <c r="G12" s="3" t="e">
        <f>SUM(G10:G11)</f>
        <v>#DIV/0!</v>
      </c>
    </row>
    <row r="14" spans="1:16" x14ac:dyDescent="0.5">
      <c r="A14" s="5" t="s">
        <v>6</v>
      </c>
    </row>
    <row r="15" spans="1:16" x14ac:dyDescent="0.5">
      <c r="A15" s="5"/>
    </row>
    <row r="16" spans="1:16" ht="35.25" customHeight="1" x14ac:dyDescent="0.5">
      <c r="A16" s="2" t="s">
        <v>1</v>
      </c>
      <c r="C16" s="52">
        <f>Assumptions.1!I23</f>
        <v>0</v>
      </c>
      <c r="D16" s="2">
        <f>Assumptions.1!I47</f>
        <v>0</v>
      </c>
      <c r="E16" s="6">
        <f>C18</f>
        <v>0</v>
      </c>
      <c r="F16" s="2">
        <f>E18</f>
        <v>0</v>
      </c>
      <c r="G16" s="2">
        <f>F18</f>
        <v>0</v>
      </c>
    </row>
    <row r="17" spans="1:23" ht="37.5" customHeight="1" x14ac:dyDescent="0.5">
      <c r="A17" s="2" t="s">
        <v>93</v>
      </c>
      <c r="C17" s="52">
        <f>Assumptions.1!I24</f>
        <v>0</v>
      </c>
      <c r="D17" s="6">
        <f>Assumptions.1!I48</f>
        <v>0</v>
      </c>
      <c r="E17" s="6" t="e">
        <f>E19-E16+E18</f>
        <v>#DIV/0!</v>
      </c>
      <c r="F17" s="6" t="e">
        <f>F19-F16+F18</f>
        <v>#DIV/0!</v>
      </c>
      <c r="G17" s="6" t="e">
        <f>G19-G16+G18</f>
        <v>#DIV/0!</v>
      </c>
      <c r="M17"/>
      <c r="U17" s="6"/>
    </row>
    <row r="18" spans="1:23" ht="36" customHeight="1" x14ac:dyDescent="0.5">
      <c r="A18" s="2" t="s">
        <v>2</v>
      </c>
      <c r="C18" s="52">
        <f>Assumptions.1!I25</f>
        <v>0</v>
      </c>
      <c r="D18" s="6">
        <f>Assumptions.1!I49</f>
        <v>0</v>
      </c>
      <c r="E18" s="2">
        <f>Assumptions.1!I99</f>
        <v>0</v>
      </c>
      <c r="F18" s="6">
        <f>E18*Assumptions.1!I75</f>
        <v>0</v>
      </c>
      <c r="G18" s="6">
        <f>F18*Assumptions.1!I75</f>
        <v>0</v>
      </c>
    </row>
    <row r="19" spans="1:23" ht="39.75" customHeight="1" x14ac:dyDescent="0.5">
      <c r="A19" s="3" t="s">
        <v>67</v>
      </c>
      <c r="C19" s="3">
        <f>C16+C17-C18</f>
        <v>0</v>
      </c>
      <c r="D19" s="7">
        <f>D16+D17-D18</f>
        <v>0</v>
      </c>
      <c r="E19" s="7" t="e">
        <f>E10-E21</f>
        <v>#DIV/0!</v>
      </c>
      <c r="F19" s="7" t="e">
        <f>F12-F21</f>
        <v>#DIV/0!</v>
      </c>
      <c r="G19" s="7" t="e">
        <f>G12-G21</f>
        <v>#DIV/0!</v>
      </c>
    </row>
    <row r="20" spans="1:23" ht="46.5" customHeight="1" x14ac:dyDescent="0.5">
      <c r="A20" s="5"/>
      <c r="C20" s="3"/>
      <c r="E20" s="6"/>
    </row>
    <row r="21" spans="1:23" s="3" customFormat="1" ht="55.5" customHeight="1" x14ac:dyDescent="0.5">
      <c r="A21" s="5" t="s">
        <v>174</v>
      </c>
      <c r="C21" s="7">
        <f>C12-C19</f>
        <v>0</v>
      </c>
      <c r="D21" s="7">
        <f>D12-D19</f>
        <v>0</v>
      </c>
      <c r="E21" s="7" t="e">
        <f>E10*Assumptions.1!I88</f>
        <v>#DIV/0!</v>
      </c>
      <c r="F21" s="7" t="e">
        <f>F10*Assumptions.1!I89</f>
        <v>#DIV/0!</v>
      </c>
      <c r="G21" s="7" t="e">
        <f>G10*Assumptions.1!I90</f>
        <v>#DIV/0!</v>
      </c>
      <c r="I21" s="85"/>
      <c r="J21" s="85"/>
      <c r="K21" s="85"/>
      <c r="L21" s="85"/>
      <c r="M21" s="85"/>
    </row>
    <row r="22" spans="1:23" s="3" customFormat="1" ht="40.5" customHeight="1" x14ac:dyDescent="0.5">
      <c r="A22" s="5"/>
    </row>
    <row r="23" spans="1:23" s="3" customFormat="1" ht="40.5" customHeight="1" x14ac:dyDescent="0.5">
      <c r="A23" s="2" t="s">
        <v>166</v>
      </c>
      <c r="B23" s="2"/>
      <c r="C23" s="7">
        <f>Assumptions.1!I26</f>
        <v>0</v>
      </c>
      <c r="D23" s="7">
        <f>Assumptions.1!I50</f>
        <v>0</v>
      </c>
      <c r="E23" s="7" t="e">
        <f>D23*Assumptions.1!I76/Assumptions.1!I45*Assumptions.1!I73</f>
        <v>#DIV/0!</v>
      </c>
      <c r="F23" s="7" t="e">
        <f>E23*Assumptions.1!I73</f>
        <v>#DIV/0!</v>
      </c>
      <c r="G23" s="7" t="e">
        <f>F23*Assumptions.1!I73</f>
        <v>#DIV/0!</v>
      </c>
    </row>
    <row r="24" spans="1:23" s="3" customFormat="1" ht="40.5" customHeight="1" x14ac:dyDescent="0.5">
      <c r="A24" s="2"/>
      <c r="C24" s="7"/>
      <c r="D24" s="7"/>
      <c r="E24" s="7"/>
      <c r="F24" s="7"/>
      <c r="G24" s="7"/>
      <c r="W24"/>
    </row>
    <row r="25" spans="1:23" ht="43.5" customHeight="1" x14ac:dyDescent="0.5">
      <c r="A25" s="2" t="s">
        <v>167</v>
      </c>
      <c r="B25" s="12"/>
      <c r="C25" s="2">
        <f>C88</f>
        <v>0</v>
      </c>
      <c r="D25" s="6">
        <f>D88</f>
        <v>0</v>
      </c>
      <c r="E25" s="6" t="e">
        <f>E88</f>
        <v>#DIV/0!</v>
      </c>
      <c r="F25" s="6" t="e">
        <f>F88</f>
        <v>#DIV/0!</v>
      </c>
      <c r="G25" s="6" t="e">
        <f>G88</f>
        <v>#DIV/0!</v>
      </c>
      <c r="I25" s="89"/>
      <c r="J25" s="89"/>
      <c r="K25" s="89"/>
      <c r="L25" s="89"/>
      <c r="M25" s="89"/>
    </row>
    <row r="26" spans="1:23" ht="43.5" customHeight="1" x14ac:dyDescent="0.5">
      <c r="B26" s="12"/>
      <c r="I26" s="86"/>
      <c r="J26" s="86"/>
      <c r="K26" s="86"/>
      <c r="L26" s="86"/>
      <c r="M26" s="86"/>
    </row>
    <row r="27" spans="1:23" ht="43.5" customHeight="1" x14ac:dyDescent="0.5">
      <c r="A27" s="5" t="s">
        <v>168</v>
      </c>
      <c r="B27" s="12"/>
      <c r="C27" s="16">
        <f>C21+C23-C25</f>
        <v>0</v>
      </c>
      <c r="D27" s="16">
        <f>D21+D23-D25</f>
        <v>0</v>
      </c>
      <c r="E27" s="16" t="e">
        <f>E21+E23-E25</f>
        <v>#DIV/0!</v>
      </c>
      <c r="F27" s="16" t="e">
        <f>F21+F23-F25</f>
        <v>#DIV/0!</v>
      </c>
      <c r="G27" s="16" t="e">
        <f>G21+G23-G25</f>
        <v>#DIV/0!</v>
      </c>
      <c r="I27" s="86"/>
      <c r="J27" s="86"/>
      <c r="K27" s="86"/>
      <c r="L27" s="86"/>
      <c r="M27" s="86"/>
    </row>
    <row r="28" spans="1:23" ht="31.5" customHeight="1" x14ac:dyDescent="0.5">
      <c r="A28" s="3"/>
      <c r="B28" s="12"/>
      <c r="I28" s="89"/>
      <c r="J28" s="89"/>
      <c r="K28" s="89"/>
      <c r="L28" s="89"/>
      <c r="M28" s="89"/>
    </row>
    <row r="29" spans="1:23" ht="43.5" customHeight="1" x14ac:dyDescent="0.5">
      <c r="A29" s="2" t="s">
        <v>169</v>
      </c>
      <c r="B29" s="12"/>
      <c r="C29" s="6">
        <f>Assumptions.1!I27</f>
        <v>0</v>
      </c>
      <c r="D29" s="6">
        <f>Assumptions.1!I51</f>
        <v>0</v>
      </c>
      <c r="E29" s="6">
        <f>Depsch!M19</f>
        <v>54948.200000000004</v>
      </c>
      <c r="F29" s="6">
        <f>Depsch!M26</f>
        <v>49453.380000000005</v>
      </c>
      <c r="G29" s="6">
        <f>Depsch!M33</f>
        <v>44508.042000000001</v>
      </c>
      <c r="I29" s="86"/>
      <c r="J29" s="86"/>
      <c r="K29" s="86"/>
      <c r="L29" s="86"/>
      <c r="M29" s="86"/>
    </row>
    <row r="30" spans="1:23" ht="43.5" customHeight="1" x14ac:dyDescent="0.5">
      <c r="B30" s="12"/>
      <c r="C30" s="6"/>
      <c r="D30" s="6"/>
      <c r="E30" s="6"/>
      <c r="F30" s="6"/>
      <c r="G30" s="6"/>
      <c r="I30" s="86"/>
      <c r="J30" s="86"/>
      <c r="K30" s="86"/>
      <c r="L30" s="86"/>
      <c r="M30" s="86"/>
    </row>
    <row r="31" spans="1:23" s="17" customFormat="1" ht="40.5" customHeight="1" x14ac:dyDescent="0.5">
      <c r="A31" s="5" t="s">
        <v>171</v>
      </c>
      <c r="C31" s="16">
        <f>C27-C29</f>
        <v>0</v>
      </c>
      <c r="D31" s="16">
        <f>D27-D29</f>
        <v>0</v>
      </c>
      <c r="E31" s="16" t="e">
        <f>E27-E29</f>
        <v>#DIV/0!</v>
      </c>
      <c r="F31" s="16" t="e">
        <f>F27-F29</f>
        <v>#DIV/0!</v>
      </c>
      <c r="G31" s="16" t="e">
        <f>G27-G29</f>
        <v>#DIV/0!</v>
      </c>
      <c r="I31" s="87"/>
      <c r="J31" s="87"/>
      <c r="K31" s="87"/>
      <c r="L31" s="87"/>
      <c r="M31" s="87"/>
    </row>
    <row r="32" spans="1:23" ht="31.5" customHeight="1" x14ac:dyDescent="0.5">
      <c r="A32" s="3"/>
      <c r="D32" s="6"/>
      <c r="E32" s="6"/>
      <c r="F32" s="6"/>
      <c r="G32" s="6"/>
      <c r="I32" s="86"/>
      <c r="J32" s="86"/>
      <c r="K32" s="86"/>
      <c r="L32" s="86"/>
      <c r="M32" s="86"/>
    </row>
    <row r="33" spans="1:14" ht="40.5" customHeight="1" x14ac:dyDescent="0.5">
      <c r="A33" s="2" t="s">
        <v>170</v>
      </c>
      <c r="B33" s="12"/>
      <c r="C33" s="6">
        <f>C100</f>
        <v>0</v>
      </c>
      <c r="D33" s="6">
        <f>D100</f>
        <v>0</v>
      </c>
      <c r="E33" s="6" t="e">
        <f>E100</f>
        <v>#DIV/0!</v>
      </c>
      <c r="F33" s="6">
        <f>F100</f>
        <v>0</v>
      </c>
      <c r="G33" s="6">
        <f>G100</f>
        <v>0</v>
      </c>
      <c r="I33" s="86"/>
      <c r="J33" s="86"/>
      <c r="K33" s="86"/>
      <c r="L33" s="86"/>
      <c r="M33" s="86"/>
    </row>
    <row r="34" spans="1:14" x14ac:dyDescent="0.5">
      <c r="I34" s="86"/>
      <c r="J34" s="86"/>
      <c r="K34" s="86"/>
      <c r="L34" s="86"/>
      <c r="M34" s="86"/>
    </row>
    <row r="35" spans="1:14" s="3" customFormat="1" ht="48" customHeight="1" x14ac:dyDescent="0.5">
      <c r="A35" s="8" t="s">
        <v>172</v>
      </c>
      <c r="B35" s="9"/>
      <c r="C35" s="15">
        <f>C31-C33</f>
        <v>0</v>
      </c>
      <c r="D35" s="15">
        <f>D31-D33</f>
        <v>0</v>
      </c>
      <c r="E35" s="15" t="e">
        <f>E31-E33</f>
        <v>#DIV/0!</v>
      </c>
      <c r="F35" s="15" t="e">
        <f>F31-F33</f>
        <v>#DIV/0!</v>
      </c>
      <c r="G35" s="15" t="e">
        <f>G31-G33</f>
        <v>#DIV/0!</v>
      </c>
      <c r="I35" s="88"/>
      <c r="J35" s="88"/>
      <c r="K35" s="88"/>
      <c r="L35" s="88"/>
      <c r="M35" s="88"/>
    </row>
    <row r="36" spans="1:14" s="3" customFormat="1" ht="35.25" customHeight="1" thickBot="1" x14ac:dyDescent="0.55000000000000004">
      <c r="A36" s="8"/>
      <c r="B36" s="9"/>
    </row>
    <row r="37" spans="1:14" ht="26.4" thickBot="1" x14ac:dyDescent="0.55000000000000004">
      <c r="A37" s="13"/>
      <c r="B37" s="13"/>
      <c r="C37" s="420" t="s">
        <v>165</v>
      </c>
      <c r="D37" s="421"/>
      <c r="E37" s="421"/>
      <c r="F37" s="421"/>
      <c r="G37" s="422"/>
      <c r="I37" s="90"/>
      <c r="J37" s="90"/>
      <c r="K37" s="90"/>
      <c r="L37" s="90"/>
      <c r="M37" s="90"/>
      <c r="N37" s="90"/>
    </row>
    <row r="38" spans="1:14" x14ac:dyDescent="0.5">
      <c r="C38" s="131"/>
      <c r="D38" s="131"/>
      <c r="E38" s="131"/>
      <c r="F38" s="131"/>
      <c r="G38" s="131"/>
    </row>
    <row r="39" spans="1:14" ht="35.25" customHeight="1" x14ac:dyDescent="0.5">
      <c r="A39" s="418"/>
      <c r="B39" s="418"/>
      <c r="C39" s="418"/>
      <c r="D39" s="418"/>
      <c r="E39" s="418"/>
      <c r="F39" s="418"/>
      <c r="G39" s="418"/>
    </row>
    <row r="40" spans="1:14" ht="39" customHeight="1" x14ac:dyDescent="0.55000000000000004">
      <c r="A40" s="419" t="s">
        <v>230</v>
      </c>
      <c r="B40" s="419"/>
      <c r="C40" s="419"/>
      <c r="D40" s="419"/>
      <c r="E40" s="419"/>
      <c r="F40" s="419"/>
      <c r="G40" s="419"/>
    </row>
    <row r="41" spans="1:14" ht="44.25" customHeight="1" x14ac:dyDescent="0.55000000000000004">
      <c r="A41" s="417" t="s">
        <v>216</v>
      </c>
      <c r="B41" s="417"/>
      <c r="C41" s="417"/>
      <c r="D41" s="417"/>
      <c r="E41" s="417"/>
      <c r="F41" s="417"/>
      <c r="G41" s="417"/>
    </row>
    <row r="42" spans="1:14" ht="30.75" customHeight="1" x14ac:dyDescent="0.5">
      <c r="A42" s="423" t="s">
        <v>23</v>
      </c>
      <c r="B42" s="156" t="s">
        <v>37</v>
      </c>
      <c r="C42" s="91" t="str">
        <f t="shared" ref="C42:G43" si="0">C5</f>
        <v>Audited</v>
      </c>
      <c r="D42" s="91" t="str">
        <f t="shared" si="0"/>
        <v>Provisional</v>
      </c>
      <c r="E42" s="91" t="str">
        <f t="shared" si="0"/>
        <v>Estimated</v>
      </c>
      <c r="F42" s="91" t="str">
        <f t="shared" si="0"/>
        <v>Projected</v>
      </c>
      <c r="G42" s="91" t="str">
        <f t="shared" si="0"/>
        <v>Projected</v>
      </c>
    </row>
    <row r="43" spans="1:14" ht="68.25" customHeight="1" thickBot="1" x14ac:dyDescent="0.55000000000000004">
      <c r="A43" s="424"/>
      <c r="B43" s="177"/>
      <c r="C43" s="157">
        <f t="shared" si="0"/>
        <v>0</v>
      </c>
      <c r="D43" s="59">
        <f t="shared" si="0"/>
        <v>0</v>
      </c>
      <c r="E43" s="157">
        <f t="shared" si="0"/>
        <v>0</v>
      </c>
      <c r="F43" s="157">
        <f t="shared" si="0"/>
        <v>0</v>
      </c>
      <c r="G43" s="157">
        <f t="shared" si="0"/>
        <v>0</v>
      </c>
    </row>
    <row r="44" spans="1:14" ht="33.75" customHeight="1" thickTop="1" x14ac:dyDescent="0.5">
      <c r="A44" s="45" t="s">
        <v>8</v>
      </c>
    </row>
    <row r="45" spans="1:14" ht="30.6" x14ac:dyDescent="0.55000000000000004">
      <c r="E45" s="146"/>
      <c r="F45" s="146"/>
      <c r="G45" s="146"/>
    </row>
    <row r="46" spans="1:14" ht="42.75" customHeight="1" x14ac:dyDescent="0.5">
      <c r="A46" s="2" t="s">
        <v>77</v>
      </c>
      <c r="C46" s="6">
        <f>Assumptions.1!I34</f>
        <v>0</v>
      </c>
      <c r="D46" s="56">
        <f>Assumptions.1!I58</f>
        <v>0</v>
      </c>
      <c r="E46" s="56" t="e">
        <f>E56-E54-E53-E52-E49</f>
        <v>#DIV/0!</v>
      </c>
      <c r="F46" s="56" t="e">
        <f>F56-F54-F53-F52-F49</f>
        <v>#DIV/0!</v>
      </c>
      <c r="G46" s="56" t="e">
        <f>G56-G54-G53-G52-G49</f>
        <v>#DIV/0!</v>
      </c>
      <c r="H46" s="6"/>
      <c r="I46" s="6"/>
    </row>
    <row r="47" spans="1:14" ht="42.75" customHeight="1" x14ac:dyDescent="0.5">
      <c r="A47" s="58" t="s">
        <v>78</v>
      </c>
      <c r="B47" s="10"/>
    </row>
    <row r="48" spans="1:14" ht="42.75" customHeight="1" x14ac:dyDescent="0.5">
      <c r="A48" s="3" t="s">
        <v>76</v>
      </c>
      <c r="B48" s="10"/>
    </row>
    <row r="49" spans="1:8" ht="39" customHeight="1" x14ac:dyDescent="0.5">
      <c r="A49" s="2" t="s">
        <v>137</v>
      </c>
      <c r="C49" s="52">
        <f>Assumptions.1!I35</f>
        <v>0</v>
      </c>
      <c r="D49" s="2">
        <f>Assumptions.1!I59</f>
        <v>0</v>
      </c>
      <c r="E49" s="6">
        <f>D49-Assumptions.1!I103</f>
        <v>0</v>
      </c>
      <c r="F49" s="6">
        <f>E49-Assumptions.1!I103</f>
        <v>0</v>
      </c>
      <c r="G49" s="6">
        <f>F49-Assumptions.1!I103</f>
        <v>0</v>
      </c>
    </row>
    <row r="50" spans="1:8" ht="42.75" customHeight="1" x14ac:dyDescent="0.5">
      <c r="B50" s="10"/>
      <c r="C50" s="50"/>
      <c r="D50" s="50"/>
      <c r="E50" s="50"/>
      <c r="F50" s="50"/>
      <c r="G50" s="50"/>
    </row>
    <row r="51" spans="1:8" ht="42.75" customHeight="1" x14ac:dyDescent="0.5">
      <c r="A51" s="3" t="s">
        <v>81</v>
      </c>
      <c r="B51" s="1"/>
    </row>
    <row r="52" spans="1:8" ht="42.75" customHeight="1" x14ac:dyDescent="0.5">
      <c r="A52" s="2" t="s">
        <v>144</v>
      </c>
      <c r="B52" s="10"/>
      <c r="C52" s="50">
        <v>0</v>
      </c>
      <c r="D52" s="50">
        <v>0</v>
      </c>
      <c r="E52" s="50" t="e">
        <f>IF(E112&lt;E107,E112,Assumptions.1!I11)</f>
        <v>#DIV/0!</v>
      </c>
      <c r="F52" s="50" t="e">
        <f>IF(F112&lt;F107,F112,Assumptions.1!I11)</f>
        <v>#DIV/0!</v>
      </c>
      <c r="G52" s="50" t="e">
        <f>IF(G112&lt;G107,G112,Assumptions.1!I11)</f>
        <v>#DIV/0!</v>
      </c>
      <c r="H52" s="50"/>
    </row>
    <row r="53" spans="1:8" ht="51" customHeight="1" x14ac:dyDescent="0.5">
      <c r="A53" s="2" t="s">
        <v>140</v>
      </c>
      <c r="C53" s="2">
        <f>Assumptions.1!I36</f>
        <v>0</v>
      </c>
      <c r="D53" s="6">
        <f>Assumptions.1!I60</f>
        <v>0</v>
      </c>
      <c r="E53" s="6">
        <v>0</v>
      </c>
      <c r="F53" s="6">
        <v>0</v>
      </c>
      <c r="G53" s="6">
        <v>0</v>
      </c>
    </row>
    <row r="54" spans="1:8" ht="45" customHeight="1" x14ac:dyDescent="0.5">
      <c r="B54" s="10"/>
      <c r="C54" s="6"/>
      <c r="E54" s="6"/>
      <c r="F54" s="6"/>
      <c r="G54" s="6"/>
    </row>
    <row r="55" spans="1:8" ht="48.75" customHeight="1" x14ac:dyDescent="0.5">
      <c r="A55" s="3"/>
      <c r="B55" s="10"/>
    </row>
    <row r="56" spans="1:8" ht="47.25" customHeight="1" thickBot="1" x14ac:dyDescent="0.55000000000000004">
      <c r="C56" s="14">
        <f>SUM(C46:C54)</f>
        <v>0</v>
      </c>
      <c r="D56" s="14">
        <f>SUM(D46:D54)</f>
        <v>0</v>
      </c>
      <c r="E56" s="14" t="e">
        <f>E71</f>
        <v>#DIV/0!</v>
      </c>
      <c r="F56" s="14" t="e">
        <f>F71</f>
        <v>#DIV/0!</v>
      </c>
      <c r="G56" s="14" t="e">
        <f>G71</f>
        <v>#DIV/0!</v>
      </c>
    </row>
    <row r="57" spans="1:8" ht="47.25" customHeight="1" thickTop="1" thickBot="1" x14ac:dyDescent="0.55000000000000004">
      <c r="C57" s="7"/>
      <c r="D57" s="7"/>
      <c r="E57" s="7"/>
      <c r="F57" s="7"/>
      <c r="G57" s="7"/>
    </row>
    <row r="58" spans="1:8" ht="26.4" thickBot="1" x14ac:dyDescent="0.55000000000000004">
      <c r="C58" s="420" t="s">
        <v>165</v>
      </c>
      <c r="D58" s="421"/>
      <c r="E58" s="421"/>
      <c r="F58" s="421"/>
      <c r="G58" s="422"/>
    </row>
    <row r="59" spans="1:8" ht="36.75" customHeight="1" x14ac:dyDescent="0.5">
      <c r="A59" s="45" t="s">
        <v>9</v>
      </c>
    </row>
    <row r="60" spans="1:8" ht="36.75" customHeight="1" x14ac:dyDescent="0.5">
      <c r="A60" s="5"/>
    </row>
    <row r="61" spans="1:8" ht="36.75" customHeight="1" x14ac:dyDescent="0.5">
      <c r="A61" s="3" t="s">
        <v>79</v>
      </c>
      <c r="C61" s="6">
        <f>Assumptions.1!I37</f>
        <v>0</v>
      </c>
      <c r="D61" s="6">
        <f>Assumptions.1!I63</f>
        <v>549482</v>
      </c>
      <c r="E61" s="6">
        <f>Depsch!M20</f>
        <v>494533.8</v>
      </c>
      <c r="F61" s="6">
        <f>Depsch!M27</f>
        <v>445080.42</v>
      </c>
      <c r="G61" s="6">
        <f>Depsch!M34</f>
        <v>400572.37799999997</v>
      </c>
      <c r="H61" s="6"/>
    </row>
    <row r="62" spans="1:8" ht="31.5" customHeight="1" x14ac:dyDescent="0.5">
      <c r="C62" s="6"/>
      <c r="D62" s="6"/>
      <c r="E62" s="6"/>
      <c r="F62" s="6"/>
      <c r="G62" s="6"/>
    </row>
    <row r="63" spans="1:8" ht="31.5" customHeight="1" x14ac:dyDescent="0.5">
      <c r="A63" s="3" t="s">
        <v>141</v>
      </c>
      <c r="C63" s="2">
        <f>Assumptions.1!I40</f>
        <v>0</v>
      </c>
      <c r="D63" s="2">
        <f>Assumptions.1!I64</f>
        <v>0</v>
      </c>
      <c r="E63" s="2">
        <f>D63</f>
        <v>0</v>
      </c>
      <c r="F63" s="2">
        <f>E63</f>
        <v>0</v>
      </c>
      <c r="G63" s="2">
        <f>F63</f>
        <v>0</v>
      </c>
    </row>
    <row r="64" spans="1:8" ht="31.5" customHeight="1" x14ac:dyDescent="0.5">
      <c r="C64" s="6"/>
      <c r="D64" s="6"/>
      <c r="E64" s="6"/>
      <c r="F64" s="6"/>
      <c r="G64" s="6"/>
    </row>
    <row r="65" spans="1:15" ht="42.75" customHeight="1" x14ac:dyDescent="0.5">
      <c r="A65" s="3" t="s">
        <v>80</v>
      </c>
      <c r="B65" s="10"/>
    </row>
    <row r="66" spans="1:15" ht="42.75" customHeight="1" x14ac:dyDescent="0.5">
      <c r="A66" s="2" t="s">
        <v>142</v>
      </c>
      <c r="C66" s="2">
        <f>Assumptions.1!I43</f>
        <v>0</v>
      </c>
      <c r="D66" s="2">
        <f>Assumptions.1!I67</f>
        <v>0</v>
      </c>
      <c r="E66" s="2">
        <v>0</v>
      </c>
      <c r="F66" s="2">
        <v>0</v>
      </c>
      <c r="G66" s="2">
        <v>0</v>
      </c>
    </row>
    <row r="67" spans="1:15" ht="42.75" customHeight="1" x14ac:dyDescent="0.5">
      <c r="A67" s="2" t="str">
        <f>A18</f>
        <v>Closing Stock</v>
      </c>
      <c r="B67" s="10"/>
      <c r="C67" s="2">
        <f>C18</f>
        <v>0</v>
      </c>
      <c r="D67" s="6">
        <f>D18</f>
        <v>0</v>
      </c>
      <c r="E67" s="2">
        <f>E18</f>
        <v>0</v>
      </c>
      <c r="F67" s="6">
        <f>F18</f>
        <v>0</v>
      </c>
      <c r="G67" s="6">
        <f>G18</f>
        <v>0</v>
      </c>
    </row>
    <row r="68" spans="1:15" ht="44.25" customHeight="1" x14ac:dyDescent="0.5">
      <c r="A68" s="2" t="s">
        <v>4</v>
      </c>
      <c r="C68" s="2">
        <f>Assumptions.1!I41</f>
        <v>0</v>
      </c>
      <c r="D68" s="6">
        <f>Assumptions.1!I65</f>
        <v>0</v>
      </c>
      <c r="E68" s="6" t="e">
        <f>E10*Assumptions.1!I82</f>
        <v>#DIV/0!</v>
      </c>
      <c r="F68" s="6" t="e">
        <f>F10*Assumptions.1!I83</f>
        <v>#DIV/0!</v>
      </c>
      <c r="G68" s="6" t="e">
        <f>G10*Assumptions.1!I84</f>
        <v>#DIV/0!</v>
      </c>
      <c r="H68" s="6"/>
    </row>
    <row r="69" spans="1:15" ht="39" customHeight="1" x14ac:dyDescent="0.5">
      <c r="A69" s="2" t="s">
        <v>66</v>
      </c>
      <c r="C69" s="2">
        <f>Assumptions.1!I42</f>
        <v>0</v>
      </c>
      <c r="D69" s="6">
        <f>Assumptions.1!I66</f>
        <v>0</v>
      </c>
      <c r="E69" s="2" t="e">
        <f>E52*Assumptions.1!I78</f>
        <v>#DIV/0!</v>
      </c>
      <c r="F69" s="2" t="e">
        <f>F52*Assumptions.1!I79</f>
        <v>#DIV/0!</v>
      </c>
      <c r="G69" s="6" t="e">
        <f>G52*Assumptions.1!I80</f>
        <v>#DIV/0!</v>
      </c>
    </row>
    <row r="70" spans="1:15" ht="39" customHeight="1" x14ac:dyDescent="0.5"/>
    <row r="71" spans="1:15" ht="53.25" customHeight="1" thickBot="1" x14ac:dyDescent="0.55000000000000004">
      <c r="C71" s="14">
        <f>SUM(C61:C69)</f>
        <v>0</v>
      </c>
      <c r="D71" s="14">
        <f>SUM(D61:D69)</f>
        <v>549482</v>
      </c>
      <c r="E71" s="14" t="e">
        <f>SUM(E60:E70)</f>
        <v>#DIV/0!</v>
      </c>
      <c r="F71" s="14" t="e">
        <f>SUM(F60:F70)</f>
        <v>#DIV/0!</v>
      </c>
      <c r="G71" s="14" t="e">
        <f>SUM(G60:G70)</f>
        <v>#DIV/0!</v>
      </c>
    </row>
    <row r="72" spans="1:15" ht="30.75" customHeight="1" thickTop="1" x14ac:dyDescent="0.5">
      <c r="C72" s="7">
        <f>C56-C71</f>
        <v>0</v>
      </c>
      <c r="D72" s="7">
        <f>D56-D71</f>
        <v>-549482</v>
      </c>
      <c r="E72" s="7" t="e">
        <f>E56-E71</f>
        <v>#DIV/0!</v>
      </c>
      <c r="F72" s="7" t="e">
        <f>F56-F71</f>
        <v>#DIV/0!</v>
      </c>
      <c r="G72" s="7" t="e">
        <f>G56-G71</f>
        <v>#DIV/0!</v>
      </c>
    </row>
    <row r="73" spans="1:15" ht="30.75" customHeight="1" thickBot="1" x14ac:dyDescent="0.55000000000000004">
      <c r="C73" s="7"/>
      <c r="D73" s="7"/>
      <c r="E73" s="7"/>
      <c r="F73" s="7"/>
      <c r="G73" s="7"/>
    </row>
    <row r="74" spans="1:15" ht="53.25" customHeight="1" thickBot="1" x14ac:dyDescent="0.6">
      <c r="C74" s="420" t="s">
        <v>165</v>
      </c>
      <c r="D74" s="421"/>
      <c r="E74" s="421"/>
      <c r="F74" s="421"/>
      <c r="G74" s="422"/>
      <c r="I74" s="143"/>
      <c r="J74" s="143"/>
      <c r="K74" s="143"/>
      <c r="L74" s="143"/>
      <c r="M74" s="143"/>
      <c r="N74" s="143"/>
      <c r="O74" s="144"/>
    </row>
    <row r="75" spans="1:15" ht="51.75" customHeight="1" x14ac:dyDescent="0.55000000000000004">
      <c r="C75" s="7"/>
      <c r="D75" s="7"/>
      <c r="E75" s="7"/>
      <c r="F75" s="7"/>
      <c r="G75" s="7"/>
      <c r="I75" s="143"/>
      <c r="J75" s="143"/>
      <c r="K75" s="143"/>
      <c r="L75" s="143"/>
      <c r="M75" s="143"/>
      <c r="N75" s="143"/>
      <c r="O75" s="144"/>
    </row>
    <row r="76" spans="1:15" ht="51.75" customHeight="1" x14ac:dyDescent="0.55000000000000004">
      <c r="A76" s="419" t="s">
        <v>230</v>
      </c>
      <c r="B76" s="419"/>
      <c r="C76" s="419"/>
      <c r="D76" s="419"/>
      <c r="E76" s="419"/>
      <c r="F76" s="419"/>
      <c r="G76" s="419"/>
      <c r="I76" s="143"/>
      <c r="J76" s="143"/>
      <c r="K76" s="143"/>
      <c r="L76" s="143"/>
      <c r="M76" s="143"/>
      <c r="N76" s="143"/>
      <c r="O76" s="144"/>
    </row>
    <row r="77" spans="1:15" ht="30" customHeight="1" x14ac:dyDescent="0.55000000000000004">
      <c r="A77" s="417" t="s">
        <v>217</v>
      </c>
      <c r="B77" s="417"/>
      <c r="C77" s="417"/>
      <c r="D77" s="417"/>
      <c r="E77" s="417"/>
      <c r="F77" s="417"/>
      <c r="G77" s="417"/>
      <c r="I77" s="143"/>
      <c r="J77" s="143"/>
      <c r="K77" s="143"/>
      <c r="L77" s="143"/>
      <c r="M77" s="143"/>
      <c r="N77" s="143"/>
      <c r="O77" s="144"/>
    </row>
    <row r="78" spans="1:15" ht="65.25" customHeight="1" thickBot="1" x14ac:dyDescent="0.55000000000000004">
      <c r="A78" s="60"/>
      <c r="B78" s="60"/>
      <c r="C78" s="178">
        <f>C43</f>
        <v>0</v>
      </c>
      <c r="D78" s="179">
        <f>D43</f>
        <v>0</v>
      </c>
      <c r="E78" s="178">
        <f>E43</f>
        <v>0</v>
      </c>
      <c r="F78" s="178">
        <f>F43</f>
        <v>0</v>
      </c>
      <c r="G78" s="178">
        <f>G43</f>
        <v>0</v>
      </c>
    </row>
    <row r="79" spans="1:15" ht="26.4" thickTop="1" x14ac:dyDescent="0.5"/>
    <row r="80" spans="1:15" x14ac:dyDescent="0.5">
      <c r="A80" s="2" t="s">
        <v>69</v>
      </c>
      <c r="C80" s="2">
        <f>Assumptions.1!I28</f>
        <v>0</v>
      </c>
      <c r="D80" s="6">
        <f>Assumptions.1!I52</f>
        <v>0</v>
      </c>
      <c r="E80" s="6" t="e">
        <f>D80*Assumptions.1!I76/Assumptions.1!I45*Assumptions.1!I71</f>
        <v>#DIV/0!</v>
      </c>
      <c r="F80" s="6" t="e">
        <f>E80*F10/E10</f>
        <v>#DIV/0!</v>
      </c>
      <c r="G80" s="6" t="e">
        <f>F80*G10/F10</f>
        <v>#DIV/0!</v>
      </c>
      <c r="H80" s="6"/>
    </row>
    <row r="81" spans="1:13" x14ac:dyDescent="0.5">
      <c r="A81" s="2" t="s">
        <v>164</v>
      </c>
      <c r="C81" s="2">
        <f>Assumptions.1!I29</f>
        <v>0</v>
      </c>
      <c r="D81" s="6">
        <f>Assumptions.1!I53</f>
        <v>0</v>
      </c>
      <c r="E81" s="6" t="e">
        <f>D81*Assumptions.1!I76/Assumptions.1!I45</f>
        <v>#DIV/0!</v>
      </c>
      <c r="F81" s="6" t="e">
        <f>E81</f>
        <v>#DIV/0!</v>
      </c>
      <c r="G81" s="6" t="e">
        <f>F81</f>
        <v>#DIV/0!</v>
      </c>
      <c r="H81" s="6"/>
    </row>
    <row r="82" spans="1:13" ht="35.25" customHeight="1" x14ac:dyDescent="0.5">
      <c r="A82" s="2" t="s">
        <v>70</v>
      </c>
      <c r="C82" s="2">
        <f>Assumptions.1!I30</f>
        <v>0</v>
      </c>
      <c r="D82" s="6">
        <f>Assumptions.1!I54</f>
        <v>0</v>
      </c>
      <c r="E82" s="6" t="e">
        <f>D82*Assumptions.1!I76/Assumptions.1!I45*Assumptions.1!I71</f>
        <v>#DIV/0!</v>
      </c>
      <c r="F82" s="6" t="e">
        <f>E82*F10/E10</f>
        <v>#DIV/0!</v>
      </c>
      <c r="G82" s="6" t="e">
        <f>F82*G10/F10</f>
        <v>#DIV/0!</v>
      </c>
      <c r="J82" s="6"/>
      <c r="K82" s="6"/>
      <c r="L82" s="6"/>
      <c r="M82" s="6"/>
    </row>
    <row r="83" spans="1:13" ht="35.25" customHeight="1" x14ac:dyDescent="0.5">
      <c r="A83" s="2" t="s">
        <v>75</v>
      </c>
      <c r="C83" s="2">
        <v>0</v>
      </c>
      <c r="D83" s="6">
        <v>0</v>
      </c>
      <c r="E83" s="6">
        <f>Assumptions.1!I11*Assumptions.1!I13</f>
        <v>0</v>
      </c>
      <c r="F83" s="6">
        <f>E83</f>
        <v>0</v>
      </c>
      <c r="G83" s="6">
        <f>F83</f>
        <v>0</v>
      </c>
      <c r="J83" s="6"/>
      <c r="K83" s="6"/>
      <c r="L83" s="6"/>
      <c r="M83" s="6"/>
    </row>
    <row r="84" spans="1:13" ht="41.25" customHeight="1" x14ac:dyDescent="0.5">
      <c r="A84" s="2" t="s">
        <v>194</v>
      </c>
      <c r="C84" s="2">
        <f>Assumptions.1!I33</f>
        <v>0</v>
      </c>
      <c r="D84" s="6">
        <f>Assumptions.1!I57</f>
        <v>0</v>
      </c>
      <c r="E84" s="6" t="e">
        <f>D84*Assumptions.1!I76/Assumptions.1!I45</f>
        <v>#DIV/0!</v>
      </c>
      <c r="F84" s="6" t="e">
        <f>E84*F10/E10-360000</f>
        <v>#DIV/0!</v>
      </c>
      <c r="G84" s="6" t="e">
        <f>F84*G10/F10-360000</f>
        <v>#DIV/0!</v>
      </c>
      <c r="J84" s="90"/>
      <c r="K84" s="90"/>
      <c r="L84" s="90"/>
    </row>
    <row r="85" spans="1:13" ht="27.75" customHeight="1" x14ac:dyDescent="0.5">
      <c r="D85" s="6"/>
      <c r="E85" s="6"/>
      <c r="F85" s="6"/>
      <c r="G85" s="6"/>
    </row>
    <row r="86" spans="1:13" ht="27.75" customHeight="1" x14ac:dyDescent="0.5">
      <c r="F86" s="6"/>
      <c r="G86" s="6"/>
    </row>
    <row r="88" spans="1:13" ht="50.25" customHeight="1" x14ac:dyDescent="0.5">
      <c r="C88" s="53">
        <f>SUM(C80:C86)</f>
        <v>0</v>
      </c>
      <c r="D88" s="54">
        <f>SUM(D80:D86)</f>
        <v>0</v>
      </c>
      <c r="E88" s="54" t="e">
        <f>SUM(E80:E86)</f>
        <v>#DIV/0!</v>
      </c>
      <c r="F88" s="54" t="e">
        <f>SUM(F80:F86)</f>
        <v>#DIV/0!</v>
      </c>
      <c r="G88" s="54" t="e">
        <f>SUM(G80:G86)</f>
        <v>#DIV/0!</v>
      </c>
    </row>
    <row r="89" spans="1:13" ht="50.25" customHeight="1" thickBot="1" x14ac:dyDescent="0.55000000000000004">
      <c r="C89" s="3"/>
      <c r="D89" s="7"/>
      <c r="E89" s="7"/>
      <c r="F89" s="7"/>
      <c r="G89" s="7"/>
    </row>
    <row r="90" spans="1:13" ht="34.5" customHeight="1" thickBot="1" x14ac:dyDescent="0.55000000000000004">
      <c r="C90" s="420" t="s">
        <v>165</v>
      </c>
      <c r="D90" s="421"/>
      <c r="E90" s="421"/>
      <c r="F90" s="421"/>
      <c r="G90" s="422"/>
      <c r="J90" s="6"/>
    </row>
    <row r="91" spans="1:13" ht="34.5" customHeight="1" x14ac:dyDescent="0.5">
      <c r="C91" s="131"/>
      <c r="D91" s="131"/>
      <c r="E91" s="131"/>
      <c r="F91" s="131"/>
      <c r="G91" s="131"/>
      <c r="J91" s="6"/>
    </row>
    <row r="92" spans="1:13" ht="34.5" customHeight="1" x14ac:dyDescent="0.55000000000000004">
      <c r="A92" s="419" t="s">
        <v>230</v>
      </c>
      <c r="B92" s="419"/>
      <c r="C92" s="419"/>
      <c r="D92" s="419"/>
      <c r="E92" s="419"/>
      <c r="F92" s="419"/>
      <c r="G92" s="419"/>
      <c r="J92" s="6"/>
    </row>
    <row r="93" spans="1:13" ht="40.5" customHeight="1" x14ac:dyDescent="0.55000000000000004">
      <c r="A93" s="417" t="s">
        <v>218</v>
      </c>
      <c r="B93" s="417"/>
      <c r="C93" s="417"/>
      <c r="D93" s="417"/>
      <c r="E93" s="417"/>
      <c r="F93" s="417"/>
      <c r="G93" s="417"/>
    </row>
    <row r="94" spans="1:13" ht="79.5" customHeight="1" thickBot="1" x14ac:dyDescent="0.55000000000000004">
      <c r="A94" s="60"/>
      <c r="B94" s="60"/>
      <c r="C94" s="178">
        <f>C78</f>
        <v>0</v>
      </c>
      <c r="D94" s="179">
        <f>D78</f>
        <v>0</v>
      </c>
      <c r="E94" s="178">
        <f>E78</f>
        <v>0</v>
      </c>
      <c r="F94" s="178">
        <f>F78</f>
        <v>0</v>
      </c>
      <c r="G94" s="178">
        <f>G78</f>
        <v>0</v>
      </c>
    </row>
    <row r="95" spans="1:13" ht="32.25" customHeight="1" thickTop="1" x14ac:dyDescent="0.5">
      <c r="C95" s="4"/>
      <c r="D95" s="11"/>
      <c r="E95" s="4"/>
      <c r="F95" s="4"/>
      <c r="G95" s="4"/>
    </row>
    <row r="96" spans="1:13" ht="33" customHeight="1" x14ac:dyDescent="0.5">
      <c r="A96" s="2" t="s">
        <v>136</v>
      </c>
      <c r="C96" s="50">
        <f>Assumptions.1!I31</f>
        <v>0</v>
      </c>
      <c r="D96" s="50">
        <f>Assumptions.1!I55</f>
        <v>0</v>
      </c>
      <c r="E96" s="6" t="e">
        <f>D96*Assumptions.1!I76/Assumptions.1!I45</f>
        <v>#DIV/0!</v>
      </c>
      <c r="F96" s="6">
        <f>IF(E49=0,0,E96*F49/E49)</f>
        <v>0</v>
      </c>
      <c r="G96" s="6">
        <f>IF(F49=0,0,F96*G49/F49)</f>
        <v>0</v>
      </c>
    </row>
    <row r="97" spans="1:7" ht="33" customHeight="1" x14ac:dyDescent="0.5">
      <c r="A97" s="2" t="s">
        <v>74</v>
      </c>
      <c r="C97" s="50">
        <v>0</v>
      </c>
      <c r="D97" s="50">
        <v>0</v>
      </c>
      <c r="E97" s="6" t="e">
        <f>E52*Assumptions.1!I12*Assumptions.1!I45/Assumptions.1!I76</f>
        <v>#DIV/0!</v>
      </c>
      <c r="F97" s="6">
        <f>Assumptions.1!I11*Assumptions.1!I12*Assumptions.1!I72</f>
        <v>0</v>
      </c>
      <c r="G97" s="6">
        <f>F97*Assumptions.1!I72</f>
        <v>0</v>
      </c>
    </row>
    <row r="98" spans="1:7" ht="33" customHeight="1" x14ac:dyDescent="0.5">
      <c r="C98" s="50"/>
      <c r="D98" s="50"/>
      <c r="E98" s="6"/>
      <c r="F98" s="6"/>
      <c r="G98" s="6"/>
    </row>
    <row r="99" spans="1:7" ht="34.5" customHeight="1" x14ac:dyDescent="0.5">
      <c r="C99" s="50"/>
      <c r="D99" s="50"/>
      <c r="E99" s="55"/>
      <c r="F99" s="55"/>
      <c r="G99" s="55"/>
    </row>
    <row r="100" spans="1:7" ht="46.5" customHeight="1" x14ac:dyDescent="0.5">
      <c r="C100" s="54">
        <f>SUM(C96:C99)</f>
        <v>0</v>
      </c>
      <c r="D100" s="54">
        <f>SUM(D96:D99)</f>
        <v>0</v>
      </c>
      <c r="E100" s="54" t="e">
        <f>SUM(E96:E99)</f>
        <v>#DIV/0!</v>
      </c>
      <c r="F100" s="54">
        <f>SUM(F96:F99)</f>
        <v>0</v>
      </c>
      <c r="G100" s="54">
        <f>SUM(G96:G99)</f>
        <v>0</v>
      </c>
    </row>
    <row r="101" spans="1:7" ht="25.5" customHeight="1" thickBot="1" x14ac:dyDescent="0.55000000000000004">
      <c r="C101" s="3"/>
      <c r="D101" s="3"/>
      <c r="E101" s="3"/>
      <c r="F101" s="3"/>
    </row>
    <row r="102" spans="1:7" ht="25.5" customHeight="1" thickBot="1" x14ac:dyDescent="0.55000000000000004">
      <c r="C102" s="420" t="s">
        <v>165</v>
      </c>
      <c r="D102" s="421"/>
      <c r="E102" s="421"/>
      <c r="F102" s="421"/>
      <c r="G102" s="422"/>
    </row>
    <row r="105" spans="1:7" x14ac:dyDescent="0.5">
      <c r="A105" s="216" t="s">
        <v>278</v>
      </c>
    </row>
    <row r="106" spans="1:7" x14ac:dyDescent="0.5">
      <c r="A106" s="216"/>
    </row>
    <row r="107" spans="1:7" x14ac:dyDescent="0.5">
      <c r="A107" s="2" t="s">
        <v>279</v>
      </c>
      <c r="C107" s="6">
        <f>C52</f>
        <v>0</v>
      </c>
      <c r="D107" s="6">
        <f t="shared" ref="D107" si="1">D52</f>
        <v>0</v>
      </c>
      <c r="E107" s="6">
        <f>Assumptions.1!I11</f>
        <v>0</v>
      </c>
      <c r="F107" s="6">
        <f>Assumptions.1!I11</f>
        <v>0</v>
      </c>
      <c r="G107" s="6">
        <f>Assumptions.1!I11</f>
        <v>0</v>
      </c>
    </row>
    <row r="109" spans="1:7" x14ac:dyDescent="0.5">
      <c r="A109" s="2" t="s">
        <v>280</v>
      </c>
      <c r="B109" s="292">
        <v>0.75</v>
      </c>
      <c r="C109" s="6">
        <f>B109*C67</f>
        <v>0</v>
      </c>
      <c r="D109" s="6">
        <f>B109*D67</f>
        <v>0</v>
      </c>
      <c r="E109" s="6">
        <f>B109*E67</f>
        <v>0</v>
      </c>
      <c r="F109" s="6">
        <f>B109*F67</f>
        <v>0</v>
      </c>
      <c r="G109" s="6">
        <f>B109*G67</f>
        <v>0</v>
      </c>
    </row>
    <row r="110" spans="1:7" x14ac:dyDescent="0.5">
      <c r="A110" s="2" t="s">
        <v>4</v>
      </c>
      <c r="B110" s="292">
        <v>0.5</v>
      </c>
      <c r="C110" s="6">
        <f>B110*C68</f>
        <v>0</v>
      </c>
      <c r="D110" s="6">
        <f>B110*D68</f>
        <v>0</v>
      </c>
      <c r="E110" s="6" t="e">
        <f>B110*E68</f>
        <v>#DIV/0!</v>
      </c>
      <c r="F110" s="6" t="e">
        <f>B110*F68</f>
        <v>#DIV/0!</v>
      </c>
      <c r="G110" s="6" t="e">
        <f>B110*G68</f>
        <v>#DIV/0!</v>
      </c>
    </row>
    <row r="112" spans="1:7" ht="40.5" customHeight="1" x14ac:dyDescent="0.5">
      <c r="A112" s="3" t="s">
        <v>281</v>
      </c>
      <c r="B112" s="3"/>
      <c r="C112" s="7">
        <f>C109+C110</f>
        <v>0</v>
      </c>
      <c r="D112" s="7">
        <f t="shared" ref="D112:G112" si="2">D109+D110</f>
        <v>0</v>
      </c>
      <c r="E112" s="7" t="e">
        <f t="shared" si="2"/>
        <v>#DIV/0!</v>
      </c>
      <c r="F112" s="7" t="e">
        <f t="shared" si="2"/>
        <v>#DIV/0!</v>
      </c>
      <c r="G112" s="7" t="e">
        <f t="shared" si="2"/>
        <v>#DIV/0!</v>
      </c>
    </row>
  </sheetData>
  <mergeCells count="19">
    <mergeCell ref="A1:G1"/>
    <mergeCell ref="A2:G2"/>
    <mergeCell ref="A3:G3"/>
    <mergeCell ref="A5:A6"/>
    <mergeCell ref="A41:G41"/>
    <mergeCell ref="C102:G102"/>
    <mergeCell ref="C37:G37"/>
    <mergeCell ref="A77:G77"/>
    <mergeCell ref="A42:A43"/>
    <mergeCell ref="A93:G93"/>
    <mergeCell ref="A92:G92"/>
    <mergeCell ref="N3:P3"/>
    <mergeCell ref="A4:G4"/>
    <mergeCell ref="A39:G39"/>
    <mergeCell ref="A40:G40"/>
    <mergeCell ref="C90:G90"/>
    <mergeCell ref="A76:G76"/>
    <mergeCell ref="C58:G58"/>
    <mergeCell ref="C74:G74"/>
  </mergeCells>
  <phoneticPr fontId="2" type="noConversion"/>
  <pageMargins left="0.23622047244094491" right="0.19685039370078741" top="0.39370078740157483" bottom="0.3" header="0.23622047244094491" footer="0.16"/>
  <pageSetup scale="47" orientation="portrait" r:id="rId1"/>
  <headerFooter alignWithMargins="0"/>
  <rowBreaks count="2" manualBreakCount="2">
    <brk id="38" max="6" man="1"/>
    <brk id="7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6"/>
  <sheetViews>
    <sheetView tabSelected="1" view="pageBreakPreview" topLeftCell="A26" zoomScale="60" zoomScaleNormal="55" workbookViewId="0">
      <selection activeCell="I40" sqref="I40"/>
    </sheetView>
  </sheetViews>
  <sheetFormatPr defaultColWidth="21.77734375" defaultRowHeight="25.8" x14ac:dyDescent="0.5"/>
  <cols>
    <col min="1" max="1" width="67.5546875" style="450" customWidth="1"/>
    <col min="2" max="2" width="23" style="450" customWidth="1"/>
    <col min="3" max="3" width="20.77734375" style="450" customWidth="1"/>
    <col min="4" max="4" width="23.77734375" style="450" customWidth="1"/>
    <col min="5" max="5" width="25.44140625" style="450" customWidth="1"/>
    <col min="6" max="6" width="25" style="450" customWidth="1"/>
    <col min="7" max="16384" width="21.77734375" style="450"/>
  </cols>
  <sheetData>
    <row r="1" spans="1:15" x14ac:dyDescent="0.5">
      <c r="A1" s="449"/>
      <c r="B1" s="449"/>
      <c r="C1" s="449"/>
      <c r="D1" s="449"/>
      <c r="E1" s="449"/>
      <c r="F1" s="449"/>
    </row>
    <row r="2" spans="1:15" x14ac:dyDescent="0.5">
      <c r="A2" s="449"/>
      <c r="B2" s="449"/>
      <c r="C2" s="449"/>
      <c r="D2" s="449"/>
      <c r="E2" s="449"/>
      <c r="F2" s="449"/>
    </row>
    <row r="3" spans="1:15" ht="29.25" customHeight="1" x14ac:dyDescent="0.7">
      <c r="A3" s="451" t="s">
        <v>231</v>
      </c>
      <c r="B3" s="451"/>
      <c r="C3" s="451"/>
      <c r="D3" s="451"/>
      <c r="E3" s="451"/>
      <c r="F3" s="451"/>
      <c r="H3" s="452"/>
      <c r="I3" s="452"/>
      <c r="J3" s="452"/>
    </row>
    <row r="4" spans="1:15" ht="57" customHeight="1" x14ac:dyDescent="0.5">
      <c r="A4" s="453" t="s">
        <v>244</v>
      </c>
      <c r="B4" s="453"/>
      <c r="C4" s="453"/>
      <c r="D4" s="453"/>
      <c r="E4" s="453"/>
      <c r="F4" s="453"/>
    </row>
    <row r="5" spans="1:15" ht="28.5" customHeight="1" x14ac:dyDescent="0.5">
      <c r="A5" s="454" t="s">
        <v>0</v>
      </c>
      <c r="B5" s="455" t="str">
        <f>Assumptions.1!J16</f>
        <v>Audited</v>
      </c>
      <c r="C5" s="456" t="str">
        <f>Assumptions.1!J17</f>
        <v>Provisional</v>
      </c>
      <c r="D5" s="456" t="str">
        <f>Assumptions.1!J18</f>
        <v>Estimated</v>
      </c>
      <c r="E5" s="456" t="str">
        <f>Assumptions.1!J19</f>
        <v>Projected</v>
      </c>
      <c r="F5" s="456" t="str">
        <f>Assumptions.1!J20</f>
        <v>Projected</v>
      </c>
    </row>
    <row r="6" spans="1:15" ht="62.25" customHeight="1" thickBot="1" x14ac:dyDescent="0.55000000000000004">
      <c r="A6" s="457"/>
      <c r="B6" s="458">
        <f>Assumptions.1!I16</f>
        <v>0</v>
      </c>
      <c r="C6" s="459">
        <f>Assumptions.1!I17</f>
        <v>0</v>
      </c>
      <c r="D6" s="460">
        <f>Assumptions.1!I18</f>
        <v>0</v>
      </c>
      <c r="E6" s="460">
        <f>Assumptions.1!I19</f>
        <v>0</v>
      </c>
      <c r="F6" s="460">
        <f>Assumptions.1!I20</f>
        <v>0</v>
      </c>
    </row>
    <row r="7" spans="1:15" s="461" customFormat="1" ht="56.4" thickTop="1" x14ac:dyDescent="0.5">
      <c r="B7" s="462" t="s">
        <v>240</v>
      </c>
      <c r="C7" s="462" t="s">
        <v>246</v>
      </c>
      <c r="D7" s="462" t="s">
        <v>238</v>
      </c>
      <c r="E7" s="462" t="s">
        <v>238</v>
      </c>
      <c r="F7" s="462" t="s">
        <v>238</v>
      </c>
    </row>
    <row r="8" spans="1:15" s="461" customFormat="1" x14ac:dyDescent="0.5">
      <c r="A8" s="463" t="s">
        <v>236</v>
      </c>
      <c r="B8" s="463"/>
      <c r="E8" s="464"/>
    </row>
    <row r="9" spans="1:15" s="461" customFormat="1" ht="33" customHeight="1" x14ac:dyDescent="0.5">
      <c r="A9" s="450" t="s">
        <v>314</v>
      </c>
      <c r="B9" s="482">
        <f>wp!C10</f>
        <v>0</v>
      </c>
      <c r="C9" s="482">
        <f>wp!D10</f>
        <v>0</v>
      </c>
      <c r="D9" s="482" t="e">
        <f>wp!E10</f>
        <v>#DIV/0!</v>
      </c>
      <c r="E9" s="482" t="e">
        <f>wp!F10</f>
        <v>#DIV/0!</v>
      </c>
      <c r="F9" s="482" t="e">
        <f>wp!G10</f>
        <v>#DIV/0!</v>
      </c>
    </row>
    <row r="10" spans="1:15" ht="37.5" customHeight="1" x14ac:dyDescent="0.5">
      <c r="A10" s="450" t="s">
        <v>93</v>
      </c>
      <c r="B10" s="483">
        <f>wp!C17</f>
        <v>0</v>
      </c>
      <c r="C10" s="483">
        <f>wp!D17</f>
        <v>0</v>
      </c>
      <c r="D10" s="483" t="e">
        <f>wp!E17</f>
        <v>#DIV/0!</v>
      </c>
      <c r="E10" s="483" t="e">
        <f>wp!F17</f>
        <v>#DIV/0!</v>
      </c>
      <c r="F10" s="483" t="e">
        <f>wp!G17</f>
        <v>#DIV/0!</v>
      </c>
      <c r="G10" s="467"/>
      <c r="O10" s="465"/>
    </row>
    <row r="11" spans="1:15" ht="36" customHeight="1" x14ac:dyDescent="0.5">
      <c r="A11" s="450" t="s">
        <v>310</v>
      </c>
      <c r="B11" s="483">
        <f>wp!C18</f>
        <v>0</v>
      </c>
      <c r="C11" s="483">
        <f>wp!D18</f>
        <v>0</v>
      </c>
      <c r="D11" s="483">
        <f>wp!E18</f>
        <v>0</v>
      </c>
      <c r="E11" s="483">
        <f>wp!F18</f>
        <v>0</v>
      </c>
      <c r="F11" s="483">
        <f>wp!G18</f>
        <v>0</v>
      </c>
    </row>
    <row r="12" spans="1:15" s="461" customFormat="1" ht="40.5" customHeight="1" x14ac:dyDescent="0.5">
      <c r="A12" s="450" t="s">
        <v>179</v>
      </c>
      <c r="B12" s="482">
        <f>wp!C23</f>
        <v>0</v>
      </c>
      <c r="C12" s="482">
        <f>wp!D23</f>
        <v>0</v>
      </c>
      <c r="D12" s="482" t="e">
        <f>wp!E23</f>
        <v>#DIV/0!</v>
      </c>
      <c r="E12" s="482" t="e">
        <f>wp!F23</f>
        <v>#DIV/0!</v>
      </c>
      <c r="F12" s="482" t="e">
        <f>wp!G23</f>
        <v>#DIV/0!</v>
      </c>
    </row>
    <row r="13" spans="1:15" s="461" customFormat="1" ht="40.5" customHeight="1" x14ac:dyDescent="0.5">
      <c r="A13" s="450" t="s">
        <v>69</v>
      </c>
      <c r="B13" s="482">
        <f>wp!C80</f>
        <v>0</v>
      </c>
      <c r="C13" s="482">
        <f>wp!D80</f>
        <v>0</v>
      </c>
      <c r="D13" s="482" t="e">
        <f>wp!E80</f>
        <v>#DIV/0!</v>
      </c>
      <c r="E13" s="482" t="e">
        <f>wp!F80</f>
        <v>#DIV/0!</v>
      </c>
      <c r="F13" s="482" t="e">
        <f>wp!G80</f>
        <v>#DIV/0!</v>
      </c>
    </row>
    <row r="14" spans="1:15" s="461" customFormat="1" ht="40.5" customHeight="1" x14ac:dyDescent="0.5">
      <c r="A14" s="450" t="s">
        <v>164</v>
      </c>
      <c r="B14" s="482">
        <f>wp!C81</f>
        <v>0</v>
      </c>
      <c r="C14" s="482">
        <f>wp!D81</f>
        <v>0</v>
      </c>
      <c r="D14" s="482" t="e">
        <f>wp!E81</f>
        <v>#DIV/0!</v>
      </c>
      <c r="E14" s="482" t="e">
        <f>wp!F81</f>
        <v>#DIV/0!</v>
      </c>
      <c r="F14" s="482" t="e">
        <f>wp!G81</f>
        <v>#DIV/0!</v>
      </c>
    </row>
    <row r="15" spans="1:15" s="461" customFormat="1" ht="40.5" customHeight="1" x14ac:dyDescent="0.5">
      <c r="A15" s="450" t="s">
        <v>70</v>
      </c>
      <c r="B15" s="482">
        <f>wp!C82</f>
        <v>0</v>
      </c>
      <c r="C15" s="482">
        <f>wp!D82</f>
        <v>0</v>
      </c>
      <c r="D15" s="482" t="e">
        <f>wp!E82</f>
        <v>#DIV/0!</v>
      </c>
      <c r="E15" s="482" t="e">
        <f>wp!F82</f>
        <v>#DIV/0!</v>
      </c>
      <c r="F15" s="482" t="e">
        <f>wp!G82</f>
        <v>#DIV/0!</v>
      </c>
    </row>
    <row r="16" spans="1:15" s="461" customFormat="1" ht="40.5" customHeight="1" x14ac:dyDescent="0.5">
      <c r="A16" s="450" t="s">
        <v>163</v>
      </c>
      <c r="B16" s="482">
        <f>wp!C84</f>
        <v>0</v>
      </c>
      <c r="C16" s="482">
        <f>wp!D84</f>
        <v>0</v>
      </c>
      <c r="D16" s="482" t="e">
        <f>wp!E84</f>
        <v>#DIV/0!</v>
      </c>
      <c r="E16" s="482" t="e">
        <f>wp!F84</f>
        <v>#DIV/0!</v>
      </c>
      <c r="F16" s="482" t="e">
        <f>wp!G84</f>
        <v>#DIV/0!</v>
      </c>
    </row>
    <row r="17" spans="1:8" ht="33" customHeight="1" x14ac:dyDescent="0.5">
      <c r="A17" s="450" t="s">
        <v>136</v>
      </c>
      <c r="B17" s="483">
        <f>wp!C96</f>
        <v>0</v>
      </c>
      <c r="C17" s="483">
        <f>wp!D96</f>
        <v>0</v>
      </c>
      <c r="D17" s="483" t="e">
        <f>wp!E96</f>
        <v>#DIV/0!</v>
      </c>
      <c r="E17" s="483">
        <f>IF(D22=0,0,D17*E22/D22)</f>
        <v>0</v>
      </c>
      <c r="F17" s="483">
        <f>IF(E22=0,0,E17*F22/E22)</f>
        <v>0</v>
      </c>
    </row>
    <row r="18" spans="1:8" ht="33" customHeight="1" x14ac:dyDescent="0.5">
      <c r="A18" s="450" t="s">
        <v>74</v>
      </c>
      <c r="B18" s="483">
        <f>wp!C97</f>
        <v>0</v>
      </c>
      <c r="C18" s="483">
        <f>wp!D97</f>
        <v>0</v>
      </c>
      <c r="D18" s="483" t="e">
        <f>wp!E97</f>
        <v>#DIV/0!</v>
      </c>
      <c r="E18" s="483">
        <f>wp!F97</f>
        <v>0</v>
      </c>
      <c r="F18" s="483">
        <f>wp!G97</f>
        <v>0</v>
      </c>
    </row>
    <row r="19" spans="1:8" ht="33" customHeight="1" x14ac:dyDescent="0.5">
      <c r="A19" s="450" t="s">
        <v>309</v>
      </c>
      <c r="B19" s="466">
        <f>PLBS!C35</f>
        <v>0</v>
      </c>
      <c r="C19" s="466">
        <f>PLBS!D35</f>
        <v>0</v>
      </c>
      <c r="D19" s="466" t="e">
        <f>PLBS!E35</f>
        <v>#DIV/0!</v>
      </c>
      <c r="E19" s="466" t="e">
        <f>PLBS!F35</f>
        <v>#DIV/0!</v>
      </c>
      <c r="F19" s="466" t="e">
        <f>PLBS!G35</f>
        <v>#DIV/0!</v>
      </c>
    </row>
    <row r="20" spans="1:8" ht="33" customHeight="1" x14ac:dyDescent="0.5">
      <c r="C20" s="466"/>
      <c r="D20" s="466"/>
      <c r="E20" s="466"/>
      <c r="F20" s="466"/>
    </row>
    <row r="21" spans="1:8" s="461" customFormat="1" ht="40.5" customHeight="1" x14ac:dyDescent="0.5">
      <c r="A21" s="463" t="s">
        <v>239</v>
      </c>
      <c r="B21" s="463"/>
      <c r="C21" s="450"/>
      <c r="D21" s="465"/>
      <c r="E21" s="465"/>
      <c r="F21" s="465"/>
    </row>
    <row r="22" spans="1:8" ht="39" customHeight="1" x14ac:dyDescent="0.5">
      <c r="A22" s="450" t="s">
        <v>235</v>
      </c>
      <c r="B22" s="484">
        <f>wp!C49</f>
        <v>0</v>
      </c>
      <c r="C22" s="484">
        <f>wp!D49</f>
        <v>0</v>
      </c>
      <c r="D22" s="484">
        <f>wp!E49</f>
        <v>0</v>
      </c>
      <c r="E22" s="484">
        <f>wp!F49</f>
        <v>0</v>
      </c>
      <c r="F22" s="484">
        <f>wp!G49</f>
        <v>0</v>
      </c>
    </row>
    <row r="23" spans="1:8" ht="51" customHeight="1" x14ac:dyDescent="0.5">
      <c r="A23" s="450" t="s">
        <v>140</v>
      </c>
      <c r="B23" s="483">
        <f>wp!C53</f>
        <v>0</v>
      </c>
      <c r="C23" s="483">
        <f>wp!D53</f>
        <v>0</v>
      </c>
      <c r="D23" s="483">
        <f>wp!E53</f>
        <v>0</v>
      </c>
      <c r="E23" s="483">
        <f>wp!F53</f>
        <v>0</v>
      </c>
      <c r="F23" s="483">
        <f>wp!G53</f>
        <v>0</v>
      </c>
      <c r="H23" s="468"/>
    </row>
    <row r="24" spans="1:8" ht="31.5" customHeight="1" x14ac:dyDescent="0.5">
      <c r="A24" s="450" t="s">
        <v>192</v>
      </c>
      <c r="B24" s="482">
        <f>wp!C63</f>
        <v>0</v>
      </c>
      <c r="C24" s="482">
        <f>wp!D63</f>
        <v>0</v>
      </c>
      <c r="D24" s="482">
        <f>wp!E63</f>
        <v>0</v>
      </c>
      <c r="E24" s="482">
        <f>wp!F63</f>
        <v>0</v>
      </c>
      <c r="F24" s="482">
        <f>wp!G63</f>
        <v>0</v>
      </c>
      <c r="H24" s="468"/>
    </row>
    <row r="25" spans="1:8" ht="42.75" customHeight="1" x14ac:dyDescent="0.5">
      <c r="A25" s="450" t="s">
        <v>142</v>
      </c>
      <c r="B25" s="482">
        <f>wp!C66</f>
        <v>0</v>
      </c>
      <c r="C25" s="482">
        <f>wp!D66</f>
        <v>0</v>
      </c>
      <c r="D25" s="482">
        <f>wp!E66</f>
        <v>0</v>
      </c>
      <c r="E25" s="482">
        <f>wp!F66</f>
        <v>0</v>
      </c>
      <c r="F25" s="482">
        <f>wp!G66</f>
        <v>0</v>
      </c>
      <c r="H25" s="468"/>
    </row>
    <row r="26" spans="1:8" ht="44.25" customHeight="1" x14ac:dyDescent="0.5">
      <c r="A26" s="450" t="s">
        <v>4</v>
      </c>
      <c r="B26" s="482">
        <f>wp!C68</f>
        <v>0</v>
      </c>
      <c r="C26" s="482">
        <f>wp!D68</f>
        <v>0</v>
      </c>
      <c r="D26" s="482" t="e">
        <f>wp!E68</f>
        <v>#DIV/0!</v>
      </c>
      <c r="E26" s="482" t="e">
        <f>wp!F68</f>
        <v>#DIV/0!</v>
      </c>
      <c r="F26" s="482" t="e">
        <f>wp!G68</f>
        <v>#DIV/0!</v>
      </c>
    </row>
    <row r="27" spans="1:8" ht="39" customHeight="1" x14ac:dyDescent="0.5">
      <c r="A27" s="450" t="s">
        <v>66</v>
      </c>
      <c r="B27" s="482">
        <f>wp!C69</f>
        <v>0</v>
      </c>
      <c r="C27" s="482">
        <f>wp!D69</f>
        <v>0</v>
      </c>
      <c r="D27" s="482" t="e">
        <f>wp!E69</f>
        <v>#DIV/0!</v>
      </c>
      <c r="E27" s="482" t="e">
        <f>wp!F69</f>
        <v>#DIV/0!</v>
      </c>
      <c r="F27" s="482" t="e">
        <f>wp!G69</f>
        <v>#DIV/0!</v>
      </c>
    </row>
    <row r="28" spans="1:8" ht="33" customHeight="1" x14ac:dyDescent="0.5">
      <c r="D28" s="466"/>
      <c r="E28" s="466"/>
      <c r="F28" s="466"/>
    </row>
    <row r="29" spans="1:8" ht="33" customHeight="1" x14ac:dyDescent="0.5">
      <c r="A29" s="463" t="s">
        <v>237</v>
      </c>
      <c r="B29" s="463"/>
      <c r="D29" s="465"/>
      <c r="E29" s="465"/>
      <c r="F29" s="465"/>
    </row>
    <row r="30" spans="1:8" ht="34.5" customHeight="1" x14ac:dyDescent="0.5">
      <c r="A30" s="469" t="s">
        <v>241</v>
      </c>
      <c r="B30" s="470" t="e">
        <f>RATIO!C37</f>
        <v>#DIV/0!</v>
      </c>
      <c r="C30" s="470" t="e">
        <f>RATIO!D37</f>
        <v>#DIV/0!</v>
      </c>
      <c r="D30" s="470" t="e">
        <f>RATIO!E37</f>
        <v>#DIV/0!</v>
      </c>
      <c r="E30" s="470" t="e">
        <f>RATIO!F37</f>
        <v>#DIV/0!</v>
      </c>
      <c r="F30" s="470" t="e">
        <f>RATIO!G37</f>
        <v>#DIV/0!</v>
      </c>
    </row>
    <row r="31" spans="1:8" ht="36.75" customHeight="1" x14ac:dyDescent="0.5">
      <c r="A31" s="469" t="s">
        <v>220</v>
      </c>
      <c r="B31" s="470" t="e">
        <f>RATIO!C51</f>
        <v>#DIV/0!</v>
      </c>
      <c r="C31" s="470" t="e">
        <f>RATIO!D51</f>
        <v>#DIV/0!</v>
      </c>
      <c r="D31" s="470" t="e">
        <f>RATIO!E51</f>
        <v>#DIV/0!</v>
      </c>
      <c r="E31" s="470" t="e">
        <f>RATIO!F51</f>
        <v>#DIV/0!</v>
      </c>
      <c r="F31" s="470" t="e">
        <f>RATIO!G51</f>
        <v>#DIV/0!</v>
      </c>
    </row>
    <row r="32" spans="1:8" ht="39" customHeight="1" x14ac:dyDescent="0.5">
      <c r="A32" s="469" t="s">
        <v>242</v>
      </c>
      <c r="B32" s="471" t="e">
        <f>RATIO!C27</f>
        <v>#DIV/0!</v>
      </c>
      <c r="C32" s="471" t="e">
        <f>RATIO!D27</f>
        <v>#DIV/0!</v>
      </c>
      <c r="D32" s="471" t="e">
        <f>RATIO!E27</f>
        <v>#DIV/0!</v>
      </c>
      <c r="E32" s="471" t="e">
        <f>RATIO!F27</f>
        <v>#DIV/0!</v>
      </c>
      <c r="F32" s="471" t="e">
        <f>RATIO!G27</f>
        <v>#DIV/0!</v>
      </c>
    </row>
    <row r="33" spans="1:7" x14ac:dyDescent="0.5">
      <c r="A33" s="469" t="s">
        <v>219</v>
      </c>
      <c r="B33" s="472" t="e">
        <f>RATIO!C11</f>
        <v>#DIV/0!</v>
      </c>
      <c r="C33" s="472" t="e">
        <f>RATIO!D11</f>
        <v>#DIV/0!</v>
      </c>
      <c r="D33" s="472" t="e">
        <f>RATIO!E11</f>
        <v>#DIV/0!</v>
      </c>
      <c r="E33" s="472" t="e">
        <f>RATIO!F11</f>
        <v>#DIV/0!</v>
      </c>
      <c r="F33" s="472" t="e">
        <f>RATIO!G11</f>
        <v>#DIV/0!</v>
      </c>
    </row>
    <row r="34" spans="1:7" x14ac:dyDescent="0.5">
      <c r="A34" s="469" t="s">
        <v>243</v>
      </c>
      <c r="B34" s="472" t="e">
        <f>RATIO!C59</f>
        <v>#DIV/0!</v>
      </c>
      <c r="C34" s="472" t="e">
        <f>RATIO!D59</f>
        <v>#DIV/0!</v>
      </c>
      <c r="D34" s="472" t="e">
        <f>RATIO!E59</f>
        <v>#DIV/0!</v>
      </c>
      <c r="E34" s="472" t="e">
        <f>RATIO!F59</f>
        <v>#DIV/0!</v>
      </c>
      <c r="F34" s="472" t="e">
        <f>RATIO!G59</f>
        <v>#DIV/0!</v>
      </c>
    </row>
    <row r="35" spans="1:7" x14ac:dyDescent="0.5">
      <c r="A35" s="469"/>
      <c r="B35" s="472"/>
      <c r="C35" s="472"/>
      <c r="D35" s="472"/>
      <c r="E35" s="472"/>
      <c r="F35" s="472"/>
    </row>
    <row r="36" spans="1:7" x14ac:dyDescent="0.5">
      <c r="A36" s="463" t="s">
        <v>305</v>
      </c>
      <c r="C36" s="472"/>
      <c r="D36" s="472"/>
      <c r="E36" s="472"/>
      <c r="F36" s="472"/>
    </row>
    <row r="37" spans="1:7" ht="41.25" customHeight="1" x14ac:dyDescent="0.5">
      <c r="A37" s="450" t="s">
        <v>306</v>
      </c>
      <c r="B37" s="485"/>
      <c r="C37" s="486"/>
      <c r="D37" s="487" t="e">
        <f>'MPBF '!B28</f>
        <v>#DIV/0!</v>
      </c>
      <c r="E37" s="487" t="e">
        <f>'MPBF '!C28</f>
        <v>#DIV/0!</v>
      </c>
      <c r="F37" s="487" t="e">
        <f>'MPBF '!D28</f>
        <v>#DIV/0!</v>
      </c>
    </row>
    <row r="38" spans="1:7" ht="35.25" customHeight="1" x14ac:dyDescent="0.5">
      <c r="A38" s="450" t="s">
        <v>307</v>
      </c>
      <c r="B38" s="485"/>
      <c r="C38" s="486"/>
      <c r="D38" s="487" t="e">
        <f>'MPBF '!B65</f>
        <v>#DIV/0!</v>
      </c>
      <c r="E38" s="487" t="e">
        <f>'MPBF '!C65</f>
        <v>#DIV/0!</v>
      </c>
      <c r="F38" s="487" t="e">
        <f>'MPBF '!D65</f>
        <v>#DIV/0!</v>
      </c>
    </row>
    <row r="39" spans="1:7" ht="39" customHeight="1" x14ac:dyDescent="0.5">
      <c r="A39" s="450" t="s">
        <v>308</v>
      </c>
      <c r="B39" s="485"/>
      <c r="C39" s="486"/>
      <c r="D39" s="487" t="e">
        <f>nayak!C23</f>
        <v>#DIV/0!</v>
      </c>
      <c r="E39" s="487" t="e">
        <f>nayak!D23</f>
        <v>#DIV/0!</v>
      </c>
      <c r="F39" s="487" t="e">
        <f>nayak!E23</f>
        <v>#DIV/0!</v>
      </c>
    </row>
    <row r="40" spans="1:7" x14ac:dyDescent="0.5">
      <c r="A40" s="469"/>
      <c r="B40" s="472"/>
      <c r="C40" s="472"/>
      <c r="D40" s="472"/>
      <c r="E40" s="472"/>
      <c r="F40" s="472"/>
    </row>
    <row r="41" spans="1:7" ht="26.4" thickBot="1" x14ac:dyDescent="0.55000000000000004">
      <c r="A41" s="473"/>
      <c r="B41" s="473"/>
      <c r="C41" s="473"/>
      <c r="D41" s="473"/>
      <c r="E41" s="473"/>
      <c r="F41" s="473"/>
    </row>
    <row r="42" spans="1:7" ht="26.4" thickBot="1" x14ac:dyDescent="0.55000000000000004"/>
    <row r="43" spans="1:7" ht="27.75" customHeight="1" x14ac:dyDescent="0.5">
      <c r="B43" s="474"/>
      <c r="C43" s="475"/>
      <c r="D43" s="476"/>
    </row>
    <row r="44" spans="1:7" ht="26.4" thickBot="1" x14ac:dyDescent="0.55000000000000004">
      <c r="B44" s="477"/>
      <c r="C44" s="478"/>
      <c r="D44" s="479"/>
    </row>
    <row r="46" spans="1:7" ht="30.6" x14ac:dyDescent="0.55000000000000004">
      <c r="A46" s="480"/>
      <c r="B46" s="480"/>
      <c r="C46" s="480"/>
      <c r="D46" s="480"/>
      <c r="E46" s="480"/>
      <c r="F46" s="480"/>
      <c r="G46" s="481"/>
    </row>
  </sheetData>
  <mergeCells count="8">
    <mergeCell ref="A46:F46"/>
    <mergeCell ref="A1:F1"/>
    <mergeCell ref="A2:F2"/>
    <mergeCell ref="A3:F3"/>
    <mergeCell ref="H3:J3"/>
    <mergeCell ref="A4:F4"/>
    <mergeCell ref="A5:A6"/>
    <mergeCell ref="B43:D44"/>
  </mergeCells>
  <pageMargins left="0.19685039370078741" right="0.15748031496062992" top="0.51181102362204722" bottom="0.74803149606299213" header="0.31496062992125984" footer="0.31496062992125984"/>
  <pageSetup scale="4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41"/>
  <sheetViews>
    <sheetView view="pageBreakPreview" zoomScale="60" zoomScaleNormal="55" workbookViewId="0">
      <selection activeCell="T36" sqref="T36"/>
    </sheetView>
  </sheetViews>
  <sheetFormatPr defaultColWidth="9.21875" defaultRowHeight="23.4" x14ac:dyDescent="0.45"/>
  <cols>
    <col min="1" max="1" width="2.5546875" style="72" customWidth="1"/>
    <col min="2" max="2" width="5.44140625" style="72" customWidth="1"/>
    <col min="3" max="3" width="7.77734375" style="72" customWidth="1"/>
    <col min="4" max="4" width="11" style="72" customWidth="1"/>
    <col min="5" max="6" width="10.5546875" style="72" customWidth="1"/>
    <col min="7" max="7" width="11.77734375" style="72" customWidth="1"/>
    <col min="8" max="9" width="12.5546875" style="72" customWidth="1"/>
    <col min="10" max="10" width="12.44140625" style="72" customWidth="1"/>
    <col min="11" max="12" width="9.21875" style="72"/>
    <col min="13" max="13" width="6" style="72" customWidth="1"/>
    <col min="14" max="14" width="2.77734375" style="72" customWidth="1"/>
    <col min="15" max="19" width="9.21875" style="72"/>
    <col min="20" max="20" width="71.5546875" style="72" bestFit="1" customWidth="1"/>
    <col min="21" max="21" width="32.21875" style="72" bestFit="1" customWidth="1"/>
    <col min="22" max="16384" width="9.21875" style="72"/>
  </cols>
  <sheetData>
    <row r="1" spans="2:21" ht="24" thickBot="1" x14ac:dyDescent="0.5"/>
    <row r="2" spans="2:21" x14ac:dyDescent="0.45">
      <c r="B2" s="74"/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21" x14ac:dyDescent="0.45">
      <c r="B3" s="77"/>
      <c r="C3" s="78"/>
      <c r="D3" s="78"/>
      <c r="E3" s="78"/>
      <c r="F3" s="78"/>
      <c r="G3" s="78"/>
      <c r="H3" s="78"/>
      <c r="I3" s="78"/>
      <c r="J3" s="78"/>
      <c r="K3" s="78"/>
      <c r="L3" s="78"/>
      <c r="M3" s="79"/>
    </row>
    <row r="4" spans="2:21" x14ac:dyDescent="0.45">
      <c r="B4" s="77"/>
      <c r="C4" s="78"/>
      <c r="D4" s="78"/>
      <c r="E4" s="78"/>
      <c r="F4" s="78"/>
      <c r="G4" s="78"/>
      <c r="H4" s="78"/>
      <c r="I4" s="78"/>
      <c r="J4" s="78"/>
      <c r="K4" s="78"/>
      <c r="L4" s="78"/>
      <c r="M4" s="79"/>
    </row>
    <row r="5" spans="2:21" x14ac:dyDescent="0.45">
      <c r="B5" s="77"/>
      <c r="C5" s="78"/>
      <c r="L5" s="78"/>
      <c r="M5" s="79"/>
    </row>
    <row r="6" spans="2:21" ht="25.8" x14ac:dyDescent="0.5">
      <c r="B6" s="77"/>
      <c r="C6" s="78"/>
      <c r="D6" s="418" t="s">
        <v>286</v>
      </c>
      <c r="E6" s="418"/>
      <c r="F6" s="418"/>
      <c r="G6" s="418"/>
      <c r="H6" s="418"/>
      <c r="I6" s="418"/>
      <c r="J6" s="418"/>
      <c r="K6" s="418"/>
      <c r="L6" s="295"/>
      <c r="M6" s="79"/>
      <c r="T6" s="71" t="s">
        <v>256</v>
      </c>
    </row>
    <row r="7" spans="2:21" x14ac:dyDescent="0.45">
      <c r="B7" s="77"/>
      <c r="C7" s="78"/>
      <c r="L7" s="78"/>
      <c r="M7" s="79"/>
    </row>
    <row r="8" spans="2:21" x14ac:dyDescent="0.45">
      <c r="B8" s="77"/>
      <c r="C8" s="78"/>
      <c r="L8" s="78"/>
      <c r="M8" s="79"/>
    </row>
    <row r="9" spans="2:21" ht="25.8" x14ac:dyDescent="0.5">
      <c r="B9" s="77"/>
      <c r="C9" s="78"/>
      <c r="D9" s="418" t="s">
        <v>90</v>
      </c>
      <c r="E9" s="418"/>
      <c r="F9" s="418"/>
      <c r="G9" s="418"/>
      <c r="H9" s="418"/>
      <c r="I9" s="418"/>
      <c r="J9" s="418"/>
      <c r="K9" s="418"/>
      <c r="L9" s="293"/>
      <c r="M9" s="79"/>
      <c r="T9" s="282" t="s">
        <v>257</v>
      </c>
      <c r="U9" s="282" t="s">
        <v>258</v>
      </c>
    </row>
    <row r="10" spans="2:21" x14ac:dyDescent="0.45">
      <c r="B10" s="77"/>
      <c r="C10" s="78"/>
      <c r="E10" s="70"/>
      <c r="F10" s="70"/>
      <c r="G10" s="70"/>
      <c r="H10" s="70"/>
      <c r="I10" s="70"/>
      <c r="J10" s="70"/>
      <c r="K10" s="70"/>
      <c r="L10" s="293"/>
      <c r="M10" s="79"/>
      <c r="T10" s="282"/>
      <c r="U10" s="282"/>
    </row>
    <row r="11" spans="2:21" ht="32.25" customHeight="1" x14ac:dyDescent="0.5">
      <c r="B11" s="77"/>
      <c r="C11" s="78"/>
      <c r="D11" s="418">
        <f>Assumptions.1!I3</f>
        <v>0</v>
      </c>
      <c r="E11" s="418"/>
      <c r="F11" s="418"/>
      <c r="G11" s="418"/>
      <c r="H11" s="418"/>
      <c r="I11" s="418"/>
      <c r="J11" s="418"/>
      <c r="K11" s="418"/>
      <c r="L11" s="295"/>
      <c r="M11" s="79"/>
      <c r="T11" s="283" t="s">
        <v>259</v>
      </c>
      <c r="U11" s="283" t="s">
        <v>260</v>
      </c>
    </row>
    <row r="12" spans="2:21" ht="32.25" customHeight="1" x14ac:dyDescent="0.45">
      <c r="B12" s="77"/>
      <c r="C12" s="78"/>
      <c r="D12" s="70"/>
      <c r="E12" s="70"/>
      <c r="F12" s="70"/>
      <c r="G12" s="70"/>
      <c r="H12" s="70"/>
      <c r="I12" s="70"/>
      <c r="J12" s="70"/>
      <c r="K12" s="70"/>
      <c r="L12" s="293"/>
      <c r="M12" s="79"/>
      <c r="T12" s="283" t="s">
        <v>261</v>
      </c>
      <c r="U12" s="283" t="s">
        <v>92</v>
      </c>
    </row>
    <row r="13" spans="2:21" ht="21.75" customHeight="1" x14ac:dyDescent="0.45">
      <c r="B13" s="77"/>
      <c r="C13" s="78"/>
      <c r="L13" s="78"/>
      <c r="M13" s="79"/>
      <c r="T13" s="283" t="s">
        <v>262</v>
      </c>
      <c r="U13" s="283" t="s">
        <v>263</v>
      </c>
    </row>
    <row r="14" spans="2:21" ht="25.8" x14ac:dyDescent="0.5">
      <c r="B14" s="77"/>
      <c r="C14" s="78"/>
      <c r="D14" s="418">
        <f>Assumptions.1!I5</f>
        <v>0</v>
      </c>
      <c r="E14" s="418"/>
      <c r="F14" s="418"/>
      <c r="G14" s="418"/>
      <c r="H14" s="418"/>
      <c r="I14" s="418"/>
      <c r="J14" s="418"/>
      <c r="K14" s="418"/>
      <c r="L14" s="295"/>
      <c r="M14" s="79"/>
      <c r="T14" s="283" t="s">
        <v>264</v>
      </c>
      <c r="U14" s="283" t="s">
        <v>265</v>
      </c>
    </row>
    <row r="15" spans="2:21" x14ac:dyDescent="0.45">
      <c r="B15" s="77"/>
      <c r="C15" s="78"/>
      <c r="L15" s="78"/>
      <c r="M15" s="79"/>
    </row>
    <row r="16" spans="2:21" ht="24" thickBot="1" x14ac:dyDescent="0.5">
      <c r="B16" s="77"/>
      <c r="C16" s="78"/>
      <c r="E16" s="73"/>
      <c r="F16" s="73"/>
      <c r="G16" s="73"/>
      <c r="H16" s="73"/>
      <c r="I16" s="73"/>
      <c r="J16" s="73"/>
      <c r="L16" s="78"/>
      <c r="M16" s="79"/>
    </row>
    <row r="17" spans="2:13" x14ac:dyDescent="0.45">
      <c r="B17" s="77"/>
      <c r="C17" s="78"/>
      <c r="D17" s="151"/>
      <c r="E17" s="151"/>
      <c r="F17" s="151"/>
      <c r="G17" s="151"/>
      <c r="H17" s="151"/>
      <c r="I17" s="151"/>
      <c r="J17" s="151"/>
      <c r="K17" s="151"/>
      <c r="L17" s="294"/>
      <c r="M17" s="79"/>
    </row>
    <row r="18" spans="2:13" x14ac:dyDescent="0.45">
      <c r="B18" s="77"/>
      <c r="C18" s="78"/>
      <c r="L18" s="78"/>
      <c r="M18" s="79"/>
    </row>
    <row r="19" spans="2:13" ht="12.75" customHeight="1" x14ac:dyDescent="0.45">
      <c r="B19" s="77"/>
      <c r="C19" s="78"/>
      <c r="D19" s="429">
        <f>Assumptions.1!I8</f>
        <v>0</v>
      </c>
      <c r="E19" s="429"/>
      <c r="F19" s="429"/>
      <c r="G19" s="429"/>
      <c r="H19" s="429"/>
      <c r="I19" s="429"/>
      <c r="J19" s="429"/>
      <c r="K19" s="429"/>
      <c r="L19" s="300"/>
      <c r="M19" s="81"/>
    </row>
    <row r="20" spans="2:13" ht="12.75" customHeight="1" x14ac:dyDescent="0.45">
      <c r="B20" s="77"/>
      <c r="C20" s="78"/>
      <c r="D20" s="429"/>
      <c r="E20" s="429"/>
      <c r="F20" s="429"/>
      <c r="G20" s="429"/>
      <c r="H20" s="429"/>
      <c r="I20" s="429"/>
      <c r="J20" s="429"/>
      <c r="K20" s="429"/>
      <c r="L20" s="300"/>
      <c r="M20" s="81"/>
    </row>
    <row r="21" spans="2:13" ht="12.75" customHeight="1" x14ac:dyDescent="0.45">
      <c r="B21" s="77"/>
      <c r="C21" s="78"/>
      <c r="D21" s="429"/>
      <c r="E21" s="429"/>
      <c r="F21" s="429"/>
      <c r="G21" s="429"/>
      <c r="H21" s="429"/>
      <c r="I21" s="429"/>
      <c r="J21" s="429"/>
      <c r="K21" s="429"/>
      <c r="L21" s="300"/>
      <c r="M21" s="81"/>
    </row>
    <row r="22" spans="2:13" ht="12.75" customHeight="1" x14ac:dyDescent="0.45">
      <c r="B22" s="77"/>
      <c r="C22" s="78"/>
      <c r="D22" s="429"/>
      <c r="E22" s="429"/>
      <c r="F22" s="429"/>
      <c r="G22" s="429"/>
      <c r="H22" s="429"/>
      <c r="I22" s="429"/>
      <c r="J22" s="429"/>
      <c r="K22" s="429"/>
      <c r="L22" s="300"/>
      <c r="M22" s="81"/>
    </row>
    <row r="23" spans="2:13" ht="23.25" customHeight="1" x14ac:dyDescent="0.5">
      <c r="B23" s="77"/>
      <c r="C23" s="78"/>
      <c r="D23" s="427">
        <f>Assumptions.1!I6</f>
        <v>0</v>
      </c>
      <c r="E23" s="427"/>
      <c r="F23" s="427"/>
      <c r="G23" s="427"/>
      <c r="H23" s="427"/>
      <c r="I23" s="427"/>
      <c r="J23" s="427"/>
      <c r="K23" s="427"/>
      <c r="L23" s="299"/>
      <c r="M23" s="79"/>
    </row>
    <row r="24" spans="2:13" ht="23.25" customHeight="1" x14ac:dyDescent="0.5">
      <c r="B24" s="77"/>
      <c r="C24" s="78"/>
      <c r="D24" s="427"/>
      <c r="E24" s="427"/>
      <c r="F24" s="427"/>
      <c r="G24" s="427"/>
      <c r="H24" s="427"/>
      <c r="I24" s="427"/>
      <c r="J24" s="427"/>
      <c r="K24" s="427"/>
      <c r="L24" s="299"/>
      <c r="M24" s="79"/>
    </row>
    <row r="25" spans="2:13" ht="23.25" customHeight="1" x14ac:dyDescent="0.5">
      <c r="B25" s="77"/>
      <c r="C25" s="78"/>
      <c r="D25" s="298"/>
      <c r="E25" s="298"/>
      <c r="F25" s="298"/>
      <c r="G25" s="298"/>
      <c r="H25" s="298"/>
      <c r="I25" s="298"/>
      <c r="J25" s="298"/>
      <c r="K25" s="298"/>
      <c r="L25" s="299"/>
      <c r="M25" s="79"/>
    </row>
    <row r="26" spans="2:13" x14ac:dyDescent="0.45">
      <c r="B26" s="77"/>
      <c r="C26" s="78"/>
      <c r="D26" s="261"/>
      <c r="E26" s="261"/>
      <c r="F26" s="261"/>
      <c r="G26" s="261"/>
      <c r="H26" s="261"/>
      <c r="I26" s="261"/>
      <c r="J26" s="261"/>
      <c r="K26" s="261"/>
      <c r="L26" s="296"/>
      <c r="M26" s="79"/>
    </row>
    <row r="27" spans="2:13" x14ac:dyDescent="0.45">
      <c r="B27" s="77"/>
      <c r="C27" s="78"/>
      <c r="D27" s="261"/>
      <c r="E27" s="261"/>
      <c r="F27" s="261"/>
      <c r="G27" s="261"/>
      <c r="H27" s="261"/>
      <c r="I27" s="261"/>
      <c r="J27" s="261"/>
      <c r="K27" s="261"/>
      <c r="L27" s="296"/>
      <c r="M27" s="79"/>
    </row>
    <row r="28" spans="2:13" x14ac:dyDescent="0.45">
      <c r="B28" s="77"/>
      <c r="C28" s="78"/>
      <c r="E28" s="431"/>
      <c r="F28" s="431"/>
      <c r="G28" s="431"/>
      <c r="H28" s="71"/>
      <c r="I28" s="71"/>
      <c r="J28" s="71"/>
      <c r="K28" s="71"/>
      <c r="L28" s="293"/>
      <c r="M28" s="79"/>
    </row>
    <row r="29" spans="2:13" ht="25.8" x14ac:dyDescent="0.5">
      <c r="B29" s="77"/>
      <c r="C29" s="78"/>
      <c r="D29" s="418" t="s">
        <v>285</v>
      </c>
      <c r="E29" s="418"/>
      <c r="F29" s="418"/>
      <c r="G29" s="418"/>
      <c r="H29" s="418"/>
      <c r="I29" s="428">
        <f>Assumptions.1!I11</f>
        <v>0</v>
      </c>
      <c r="J29" s="428"/>
      <c r="K29" s="428"/>
      <c r="L29" s="295"/>
      <c r="M29" s="79"/>
    </row>
    <row r="30" spans="2:13" ht="18" customHeight="1" x14ac:dyDescent="0.45">
      <c r="B30" s="77"/>
      <c r="C30" s="78"/>
      <c r="E30" s="71"/>
      <c r="F30" s="71"/>
      <c r="G30" s="71"/>
      <c r="H30" s="71"/>
      <c r="I30" s="71"/>
      <c r="J30" s="71"/>
      <c r="L30" s="78"/>
      <c r="M30" s="81"/>
    </row>
    <row r="31" spans="2:13" ht="24" thickBot="1" x14ac:dyDescent="0.5">
      <c r="B31" s="77"/>
      <c r="C31" s="78"/>
      <c r="E31" s="73"/>
      <c r="F31" s="73"/>
      <c r="G31" s="73"/>
      <c r="H31" s="73"/>
      <c r="I31" s="73"/>
      <c r="J31" s="73"/>
      <c r="L31" s="78"/>
      <c r="M31" s="79"/>
    </row>
    <row r="32" spans="2:13" x14ac:dyDescent="0.45">
      <c r="B32" s="77"/>
      <c r="C32" s="78"/>
      <c r="L32" s="78"/>
      <c r="M32" s="79"/>
    </row>
    <row r="33" spans="2:13" x14ac:dyDescent="0.45">
      <c r="B33" s="77"/>
      <c r="C33" s="78"/>
      <c r="D33" s="430" t="s">
        <v>91</v>
      </c>
      <c r="E33" s="430"/>
      <c r="F33" s="430"/>
      <c r="G33" s="430"/>
      <c r="H33" s="430"/>
      <c r="I33" s="430"/>
      <c r="J33" s="430"/>
      <c r="K33" s="430"/>
      <c r="L33" s="297"/>
      <c r="M33" s="79"/>
    </row>
    <row r="34" spans="2:13" x14ac:dyDescent="0.45">
      <c r="B34" s="77"/>
      <c r="C34" s="78"/>
      <c r="E34" s="71"/>
      <c r="F34" s="71"/>
      <c r="G34" s="71"/>
      <c r="H34" s="71"/>
      <c r="I34" s="71"/>
      <c r="J34" s="71"/>
      <c r="K34" s="71"/>
      <c r="L34" s="295"/>
      <c r="M34" s="79"/>
    </row>
    <row r="35" spans="2:13" x14ac:dyDescent="0.45">
      <c r="B35" s="77"/>
      <c r="C35" s="78"/>
      <c r="D35" s="428" t="s">
        <v>185</v>
      </c>
      <c r="E35" s="428"/>
      <c r="F35" s="428"/>
      <c r="G35" s="428"/>
      <c r="H35" s="428"/>
      <c r="I35" s="428"/>
      <c r="J35" s="428"/>
      <c r="K35" s="428"/>
      <c r="L35" s="295"/>
      <c r="M35" s="79"/>
    </row>
    <row r="36" spans="2:13" x14ac:dyDescent="0.45">
      <c r="B36" s="77"/>
      <c r="C36" s="78"/>
      <c r="D36" s="428" t="s">
        <v>245</v>
      </c>
      <c r="E36" s="428"/>
      <c r="F36" s="428"/>
      <c r="G36" s="428"/>
      <c r="H36" s="428"/>
      <c r="I36" s="428"/>
      <c r="J36" s="428"/>
      <c r="K36" s="428"/>
      <c r="L36" s="295"/>
      <c r="M36" s="79"/>
    </row>
    <row r="37" spans="2:13" x14ac:dyDescent="0.45">
      <c r="B37" s="77"/>
      <c r="C37" s="78"/>
      <c r="D37" s="428" t="s">
        <v>186</v>
      </c>
      <c r="E37" s="428"/>
      <c r="F37" s="428"/>
      <c r="G37" s="428"/>
      <c r="H37" s="428"/>
      <c r="I37" s="428"/>
      <c r="J37" s="428"/>
      <c r="K37" s="428"/>
      <c r="L37" s="295"/>
      <c r="M37" s="79"/>
    </row>
    <row r="38" spans="2:13" x14ac:dyDescent="0.45">
      <c r="B38" s="77"/>
      <c r="C38" s="78"/>
      <c r="E38" s="71"/>
      <c r="F38" s="71"/>
      <c r="G38" s="71"/>
      <c r="H38" s="71"/>
      <c r="I38" s="71"/>
      <c r="J38" s="71"/>
      <c r="K38" s="71"/>
      <c r="L38" s="295"/>
      <c r="M38" s="79"/>
    </row>
    <row r="39" spans="2:13" x14ac:dyDescent="0.45">
      <c r="B39" s="77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9"/>
    </row>
    <row r="40" spans="2:13" x14ac:dyDescent="0.45">
      <c r="B40" s="77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9"/>
    </row>
    <row r="41" spans="2:13" ht="24" thickBot="1" x14ac:dyDescent="0.5">
      <c r="B41" s="80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2"/>
    </row>
  </sheetData>
  <mergeCells count="13">
    <mergeCell ref="I29:K29"/>
    <mergeCell ref="D35:K35"/>
    <mergeCell ref="D19:K22"/>
    <mergeCell ref="D36:K36"/>
    <mergeCell ref="D37:K37"/>
    <mergeCell ref="D33:K33"/>
    <mergeCell ref="E28:G28"/>
    <mergeCell ref="D29:H29"/>
    <mergeCell ref="D6:K6"/>
    <mergeCell ref="D9:K9"/>
    <mergeCell ref="D11:K11"/>
    <mergeCell ref="D14:K14"/>
    <mergeCell ref="D23:K24"/>
  </mergeCells>
  <pageMargins left="0.47" right="0.23" top="0.31" bottom="0.2" header="0.18" footer="0.16"/>
  <pageSetup scale="8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97"/>
  <sheetViews>
    <sheetView view="pageBreakPreview" topLeftCell="A82" zoomScale="60" zoomScaleNormal="55" workbookViewId="0">
      <selection activeCell="A92" sqref="A92"/>
    </sheetView>
  </sheetViews>
  <sheetFormatPr defaultColWidth="21.77734375" defaultRowHeight="25.8" x14ac:dyDescent="0.5"/>
  <cols>
    <col min="1" max="1" width="67.21875" style="2" customWidth="1"/>
    <col min="2" max="2" width="20.77734375" style="2" customWidth="1"/>
    <col min="3" max="3" width="20.44140625" style="2" bestFit="1" customWidth="1"/>
    <col min="4" max="4" width="22.21875" style="2" customWidth="1"/>
    <col min="5" max="7" width="20.44140625" style="2" bestFit="1" customWidth="1"/>
    <col min="8" max="16384" width="21.77734375" style="2"/>
  </cols>
  <sheetData>
    <row r="1" spans="1:16" x14ac:dyDescent="0.5">
      <c r="A1" s="418">
        <f>Assumptions.1!I3</f>
        <v>0</v>
      </c>
      <c r="B1" s="418"/>
      <c r="C1" s="418"/>
      <c r="D1" s="418"/>
      <c r="E1" s="418"/>
      <c r="F1" s="418"/>
      <c r="G1" s="418"/>
    </row>
    <row r="2" spans="1:16" x14ac:dyDescent="0.5">
      <c r="A2" s="418">
        <f>Assumptions.1!I5</f>
        <v>0</v>
      </c>
      <c r="B2" s="418"/>
      <c r="C2" s="418"/>
      <c r="D2" s="418"/>
      <c r="E2" s="418"/>
      <c r="F2" s="418"/>
      <c r="G2" s="418"/>
    </row>
    <row r="3" spans="1:16" ht="29.25" customHeight="1" x14ac:dyDescent="0.7">
      <c r="A3" s="418">
        <f>Assumptions.1!I6</f>
        <v>0</v>
      </c>
      <c r="B3" s="418"/>
      <c r="C3" s="418"/>
      <c r="D3" s="418"/>
      <c r="E3" s="418"/>
      <c r="F3" s="418"/>
      <c r="G3" s="418"/>
      <c r="N3" s="416"/>
      <c r="O3" s="416"/>
      <c r="P3" s="416"/>
    </row>
    <row r="4" spans="1:16" ht="57" customHeight="1" x14ac:dyDescent="0.9">
      <c r="A4" s="432" t="s">
        <v>7</v>
      </c>
      <c r="B4" s="432"/>
      <c r="C4" s="432"/>
      <c r="D4" s="432"/>
      <c r="E4" s="432"/>
      <c r="F4" s="432"/>
      <c r="G4" s="432"/>
      <c r="I4" s="137"/>
    </row>
    <row r="5" spans="1:16" ht="28.5" customHeight="1" x14ac:dyDescent="0.5">
      <c r="A5" s="425" t="s">
        <v>0</v>
      </c>
      <c r="B5" s="423" t="s">
        <v>37</v>
      </c>
      <c r="C5" s="91" t="str">
        <f>Assumptions.1!J16</f>
        <v>Audited</v>
      </c>
      <c r="D5" s="91" t="str">
        <f>Assumptions.1!J17</f>
        <v>Provisional</v>
      </c>
      <c r="E5" s="91" t="str">
        <f>Assumptions.1!J18</f>
        <v>Estimated</v>
      </c>
      <c r="F5" s="91" t="str">
        <f>Assumptions.1!J19</f>
        <v>Projected</v>
      </c>
      <c r="G5" s="91" t="str">
        <f>Assumptions.1!J20</f>
        <v>Projected</v>
      </c>
    </row>
    <row r="6" spans="1:16" ht="62.25" customHeight="1" thickBot="1" x14ac:dyDescent="0.55000000000000004">
      <c r="A6" s="426"/>
      <c r="B6" s="424"/>
      <c r="C6" s="157">
        <f>Assumptions.1!I16</f>
        <v>0</v>
      </c>
      <c r="D6" s="59">
        <f>Assumptions.1!I17</f>
        <v>0</v>
      </c>
      <c r="E6" s="157">
        <f>Assumptions.1!I18</f>
        <v>0</v>
      </c>
      <c r="F6" s="157">
        <f>Assumptions.1!I19</f>
        <v>0</v>
      </c>
      <c r="G6" s="157">
        <f>Assumptions.1!I20</f>
        <v>0</v>
      </c>
      <c r="H6" s="3"/>
    </row>
    <row r="7" spans="1:16" s="3" customFormat="1" ht="26.4" thickTop="1" x14ac:dyDescent="0.5">
      <c r="D7" s="4"/>
      <c r="F7" s="4"/>
    </row>
    <row r="8" spans="1:16" s="3" customFormat="1" ht="30.6" x14ac:dyDescent="0.55000000000000004">
      <c r="A8" s="5" t="s">
        <v>315</v>
      </c>
      <c r="D8" s="4"/>
      <c r="E8" s="146"/>
      <c r="F8" s="146"/>
      <c r="G8" s="146"/>
    </row>
    <row r="9" spans="1:16" s="3" customFormat="1" x14ac:dyDescent="0.5">
      <c r="A9" s="5"/>
      <c r="D9" s="4"/>
      <c r="E9" s="4"/>
      <c r="F9" s="4"/>
    </row>
    <row r="10" spans="1:16" s="3" customFormat="1" ht="33" customHeight="1" x14ac:dyDescent="0.5">
      <c r="A10" s="2" t="s">
        <v>316</v>
      </c>
      <c r="B10" s="2"/>
      <c r="C10" s="6">
        <f>FinalWorkings!B9</f>
        <v>0</v>
      </c>
      <c r="D10" s="6">
        <f>FinalWorkings!C9</f>
        <v>0</v>
      </c>
      <c r="E10" s="6" t="e">
        <f>ROUND(FinalWorkings!D9,-4)</f>
        <v>#DIV/0!</v>
      </c>
      <c r="F10" s="6" t="e">
        <f>ROUND(FinalWorkings!E9,-4)</f>
        <v>#DIV/0!</v>
      </c>
      <c r="G10" s="6" t="e">
        <f>ROUND(FinalWorkings!F9,-4)</f>
        <v>#DIV/0!</v>
      </c>
    </row>
    <row r="11" spans="1:16" s="3" customFormat="1" ht="33" customHeight="1" x14ac:dyDescent="0.5">
      <c r="A11" s="2"/>
      <c r="B11" s="2"/>
      <c r="C11" s="6"/>
      <c r="D11" s="6"/>
      <c r="E11" s="6"/>
      <c r="F11" s="6"/>
      <c r="G11" s="6"/>
    </row>
    <row r="12" spans="1:16" ht="38.25" customHeight="1" x14ac:dyDescent="0.5">
      <c r="C12" s="7">
        <f>SUM(C10:C11)</f>
        <v>0</v>
      </c>
      <c r="D12" s="3">
        <f>SUM(D10:D11)</f>
        <v>0</v>
      </c>
      <c r="E12" s="7" t="e">
        <f>SUM(E10:E11)</f>
        <v>#DIV/0!</v>
      </c>
      <c r="F12" s="3" t="e">
        <f>SUM(F10:F11)</f>
        <v>#DIV/0!</v>
      </c>
      <c r="G12" s="3" t="e">
        <f>SUM(G10:G11)</f>
        <v>#DIV/0!</v>
      </c>
    </row>
    <row r="14" spans="1:16" x14ac:dyDescent="0.5">
      <c r="A14" s="5" t="s">
        <v>6</v>
      </c>
    </row>
    <row r="15" spans="1:16" x14ac:dyDescent="0.5">
      <c r="A15" s="5"/>
    </row>
    <row r="16" spans="1:16" ht="35.25" customHeight="1" x14ac:dyDescent="0.5">
      <c r="A16" s="2" t="s">
        <v>1</v>
      </c>
      <c r="C16" s="50">
        <f>wp!C16</f>
        <v>0</v>
      </c>
      <c r="D16" s="50">
        <f>wp!D16</f>
        <v>0</v>
      </c>
      <c r="E16" s="50">
        <f>C18</f>
        <v>0</v>
      </c>
      <c r="F16" s="50">
        <f>E18</f>
        <v>0</v>
      </c>
      <c r="G16" s="50">
        <f>F18</f>
        <v>0</v>
      </c>
    </row>
    <row r="17" spans="1:23" ht="37.5" customHeight="1" x14ac:dyDescent="0.5">
      <c r="A17" s="2" t="s">
        <v>93</v>
      </c>
      <c r="C17" s="50">
        <f>FinalWorkings!B10</f>
        <v>0</v>
      </c>
      <c r="D17" s="50">
        <f>FinalWorkings!C10</f>
        <v>0</v>
      </c>
      <c r="E17" s="50" t="e">
        <f>ROUND(FinalWorkings!D10,-4)</f>
        <v>#DIV/0!</v>
      </c>
      <c r="F17" s="50" t="e">
        <f>ROUND(FinalWorkings!E10,-4)</f>
        <v>#DIV/0!</v>
      </c>
      <c r="G17" s="50" t="e">
        <f>ROUND(FinalWorkings!F10,-4)</f>
        <v>#DIV/0!</v>
      </c>
      <c r="M17"/>
      <c r="U17" s="6"/>
    </row>
    <row r="18" spans="1:23" ht="36" customHeight="1" x14ac:dyDescent="0.5">
      <c r="A18" s="2" t="s">
        <v>310</v>
      </c>
      <c r="C18" s="50">
        <f>FinalWorkings!B11</f>
        <v>0</v>
      </c>
      <c r="D18" s="50">
        <f>FinalWorkings!C11</f>
        <v>0</v>
      </c>
      <c r="E18" s="50">
        <f>ROUND(FinalWorkings!D11,-3)</f>
        <v>0</v>
      </c>
      <c r="F18" s="50">
        <f>ROUND(FinalWorkings!E11,-3)</f>
        <v>0</v>
      </c>
      <c r="G18" s="50">
        <f>ROUND(FinalWorkings!F11,-3)</f>
        <v>0</v>
      </c>
    </row>
    <row r="19" spans="1:23" ht="39.75" customHeight="1" x14ac:dyDescent="0.5">
      <c r="A19" s="3" t="s">
        <v>67</v>
      </c>
      <c r="C19" s="7">
        <f>C16+C17-C18</f>
        <v>0</v>
      </c>
      <c r="D19" s="7">
        <f>D16+D17-D18</f>
        <v>0</v>
      </c>
      <c r="E19" s="7" t="e">
        <f>E16+E17-E18</f>
        <v>#DIV/0!</v>
      </c>
      <c r="F19" s="7" t="e">
        <f>F16+F17-F18</f>
        <v>#DIV/0!</v>
      </c>
      <c r="G19" s="7" t="e">
        <f>G16+G17-G18</f>
        <v>#DIV/0!</v>
      </c>
    </row>
    <row r="20" spans="1:23" ht="46.5" customHeight="1" x14ac:dyDescent="0.5">
      <c r="A20" s="5"/>
      <c r="C20" s="3"/>
      <c r="E20" s="6"/>
    </row>
    <row r="21" spans="1:23" s="3" customFormat="1" ht="55.5" customHeight="1" x14ac:dyDescent="0.5">
      <c r="A21" s="5" t="s">
        <v>178</v>
      </c>
      <c r="C21" s="7">
        <f>C12-C19</f>
        <v>0</v>
      </c>
      <c r="D21" s="7">
        <f>D12-D19</f>
        <v>0</v>
      </c>
      <c r="E21" s="7" t="e">
        <f>E12-E19</f>
        <v>#DIV/0!</v>
      </c>
      <c r="F21" s="7" t="e">
        <f>F12-F19</f>
        <v>#DIV/0!</v>
      </c>
      <c r="G21" s="7" t="e">
        <f>G12-G19</f>
        <v>#DIV/0!</v>
      </c>
      <c r="I21" s="85"/>
      <c r="J21" s="85"/>
      <c r="K21" s="85"/>
      <c r="L21" s="85"/>
      <c r="M21" s="85"/>
    </row>
    <row r="22" spans="1:23" s="3" customFormat="1" ht="40.5" customHeight="1" x14ac:dyDescent="0.5">
      <c r="A22" s="5"/>
    </row>
    <row r="23" spans="1:23" s="3" customFormat="1" ht="40.5" customHeight="1" x14ac:dyDescent="0.5">
      <c r="A23" s="2" t="s">
        <v>179</v>
      </c>
      <c r="B23" s="2"/>
      <c r="C23" s="7">
        <f>wp!C23</f>
        <v>0</v>
      </c>
      <c r="D23" s="7">
        <f>wp!D23</f>
        <v>0</v>
      </c>
      <c r="E23" s="7" t="e">
        <f>ROUND(FinalWorkings!D12,-3)</f>
        <v>#DIV/0!</v>
      </c>
      <c r="F23" s="7" t="e">
        <f>ROUND(FinalWorkings!E12,-3)</f>
        <v>#DIV/0!</v>
      </c>
      <c r="G23" s="7" t="e">
        <f>ROUND(FinalWorkings!F12,-3)</f>
        <v>#DIV/0!</v>
      </c>
    </row>
    <row r="24" spans="1:23" s="3" customFormat="1" ht="40.5" customHeight="1" x14ac:dyDescent="0.5">
      <c r="A24" s="2"/>
      <c r="C24" s="7"/>
      <c r="D24" s="7"/>
      <c r="E24" s="7"/>
      <c r="F24" s="7"/>
      <c r="G24" s="7"/>
      <c r="W24"/>
    </row>
    <row r="25" spans="1:23" ht="43.5" customHeight="1" x14ac:dyDescent="0.5">
      <c r="A25" s="2" t="s">
        <v>247</v>
      </c>
      <c r="B25" s="12" t="s">
        <v>36</v>
      </c>
      <c r="C25" s="6">
        <f>C86</f>
        <v>0</v>
      </c>
      <c r="D25" s="6">
        <f>D86</f>
        <v>0</v>
      </c>
      <c r="E25" s="6" t="e">
        <f>E86</f>
        <v>#DIV/0!</v>
      </c>
      <c r="F25" s="6" t="e">
        <f>F86</f>
        <v>#DIV/0!</v>
      </c>
      <c r="G25" s="6" t="e">
        <f>G86</f>
        <v>#DIV/0!</v>
      </c>
      <c r="I25" s="89"/>
      <c r="J25" s="89"/>
      <c r="K25" s="89"/>
      <c r="L25" s="89"/>
      <c r="M25" s="89"/>
    </row>
    <row r="26" spans="1:23" ht="43.5" customHeight="1" x14ac:dyDescent="0.5">
      <c r="B26" s="12"/>
      <c r="I26" s="86"/>
      <c r="J26" s="86"/>
      <c r="K26" s="86"/>
      <c r="L26" s="86"/>
      <c r="M26" s="86"/>
    </row>
    <row r="27" spans="1:23" ht="43.5" customHeight="1" x14ac:dyDescent="0.5">
      <c r="A27" s="5" t="s">
        <v>180</v>
      </c>
      <c r="B27" s="12"/>
      <c r="C27" s="16">
        <f>C21+C23-C25</f>
        <v>0</v>
      </c>
      <c r="D27" s="16">
        <f>D21+D23-D25</f>
        <v>0</v>
      </c>
      <c r="E27" s="16" t="e">
        <f>E21+E23-E25</f>
        <v>#DIV/0!</v>
      </c>
      <c r="F27" s="16" t="e">
        <f>F21+F23-F25</f>
        <v>#DIV/0!</v>
      </c>
      <c r="G27" s="16" t="e">
        <f>G21+G23-G25</f>
        <v>#DIV/0!</v>
      </c>
      <c r="I27" s="86"/>
      <c r="J27" s="86"/>
      <c r="K27" s="86"/>
      <c r="L27" s="86"/>
      <c r="M27" s="86"/>
    </row>
    <row r="28" spans="1:23" ht="31.5" customHeight="1" x14ac:dyDescent="0.5">
      <c r="A28" s="3"/>
      <c r="B28" s="12"/>
      <c r="I28" s="89"/>
      <c r="J28" s="89"/>
      <c r="K28" s="89"/>
      <c r="L28" s="89"/>
      <c r="M28" s="89"/>
    </row>
    <row r="29" spans="1:23" ht="43.5" customHeight="1" x14ac:dyDescent="0.5">
      <c r="A29" s="2" t="s">
        <v>181</v>
      </c>
      <c r="B29" s="12"/>
      <c r="C29" s="6">
        <f>wp!C29</f>
        <v>0</v>
      </c>
      <c r="D29" s="6">
        <f>wp!D29</f>
        <v>0</v>
      </c>
      <c r="E29" s="6">
        <f>wp!E29</f>
        <v>54948.200000000004</v>
      </c>
      <c r="F29" s="6">
        <f>wp!F29</f>
        <v>49453.380000000005</v>
      </c>
      <c r="G29" s="6">
        <f>wp!G29</f>
        <v>44508.042000000001</v>
      </c>
      <c r="I29" s="86"/>
      <c r="J29" s="86"/>
      <c r="K29" s="86"/>
      <c r="L29" s="86"/>
      <c r="M29" s="86"/>
    </row>
    <row r="30" spans="1:23" ht="43.5" customHeight="1" x14ac:dyDescent="0.5">
      <c r="B30" s="12"/>
      <c r="C30" s="6"/>
      <c r="D30" s="6"/>
      <c r="E30" s="6"/>
      <c r="F30" s="6"/>
      <c r="G30" s="6"/>
      <c r="I30" s="86"/>
      <c r="J30" s="86"/>
      <c r="K30" s="86"/>
      <c r="L30" s="86"/>
      <c r="M30" s="86"/>
    </row>
    <row r="31" spans="1:23" s="17" customFormat="1" ht="40.5" customHeight="1" x14ac:dyDescent="0.5">
      <c r="A31" s="5" t="s">
        <v>182</v>
      </c>
      <c r="C31" s="16">
        <f>C27-C29</f>
        <v>0</v>
      </c>
      <c r="D31" s="16">
        <f>D27-D29</f>
        <v>0</v>
      </c>
      <c r="E31" s="16" t="e">
        <f>E27-E29</f>
        <v>#DIV/0!</v>
      </c>
      <c r="F31" s="16" t="e">
        <f>F27-F29</f>
        <v>#DIV/0!</v>
      </c>
      <c r="G31" s="16" t="e">
        <f>G27-G29</f>
        <v>#DIV/0!</v>
      </c>
      <c r="I31" s="87"/>
      <c r="J31" s="87"/>
      <c r="K31" s="87"/>
      <c r="L31" s="87"/>
      <c r="M31" s="87"/>
    </row>
    <row r="32" spans="1:23" ht="31.5" customHeight="1" x14ac:dyDescent="0.5">
      <c r="A32" s="3"/>
      <c r="D32" s="6"/>
      <c r="E32" s="6"/>
      <c r="F32" s="6"/>
      <c r="G32" s="6"/>
      <c r="I32" s="86"/>
      <c r="J32" s="86"/>
      <c r="K32" s="86"/>
      <c r="L32" s="86"/>
      <c r="M32" s="86"/>
    </row>
    <row r="33" spans="1:15" ht="40.5" customHeight="1" x14ac:dyDescent="0.5">
      <c r="A33" s="2" t="s">
        <v>183</v>
      </c>
      <c r="B33" s="12" t="s">
        <v>40</v>
      </c>
      <c r="C33" s="6">
        <f>C95</f>
        <v>0</v>
      </c>
      <c r="D33" s="6">
        <f>D95</f>
        <v>0</v>
      </c>
      <c r="E33" s="6" t="e">
        <f>E95</f>
        <v>#DIV/0!</v>
      </c>
      <c r="F33" s="6">
        <f>F95</f>
        <v>0</v>
      </c>
      <c r="G33" s="6">
        <f>G95</f>
        <v>0</v>
      </c>
      <c r="I33" s="86"/>
      <c r="J33" s="86"/>
      <c r="K33" s="86"/>
      <c r="L33" s="86"/>
      <c r="M33" s="86"/>
    </row>
    <row r="34" spans="1:15" x14ac:dyDescent="0.5">
      <c r="I34" s="86"/>
      <c r="J34" s="86"/>
      <c r="K34" s="86"/>
      <c r="L34" s="86"/>
      <c r="M34" s="86"/>
    </row>
    <row r="35" spans="1:15" s="3" customFormat="1" ht="48" customHeight="1" x14ac:dyDescent="0.5">
      <c r="A35" s="8" t="s">
        <v>184</v>
      </c>
      <c r="B35" s="9"/>
      <c r="C35" s="15">
        <f>C31-C33</f>
        <v>0</v>
      </c>
      <c r="D35" s="15">
        <f>D31-D33</f>
        <v>0</v>
      </c>
      <c r="E35" s="15" t="e">
        <f>E31-E33</f>
        <v>#DIV/0!</v>
      </c>
      <c r="F35" s="15" t="e">
        <f>F31-F33</f>
        <v>#DIV/0!</v>
      </c>
      <c r="G35" s="15" t="e">
        <f>G31-G33</f>
        <v>#DIV/0!</v>
      </c>
      <c r="I35" s="88"/>
      <c r="J35" s="88"/>
      <c r="K35" s="88"/>
      <c r="L35" s="88"/>
      <c r="M35" s="88"/>
    </row>
    <row r="36" spans="1:15" s="3" customFormat="1" ht="35.25" customHeight="1" x14ac:dyDescent="0.5">
      <c r="A36" s="8"/>
      <c r="B36" s="9"/>
    </row>
    <row r="37" spans="1:15" ht="26.4" thickBot="1" x14ac:dyDescent="0.55000000000000004">
      <c r="A37" s="13"/>
      <c r="B37" s="13"/>
      <c r="C37" s="13"/>
      <c r="D37" s="13"/>
      <c r="E37" s="13"/>
      <c r="F37" s="13"/>
      <c r="G37" s="13"/>
    </row>
    <row r="38" spans="1:15" x14ac:dyDescent="0.5">
      <c r="C38" s="131"/>
      <c r="D38" s="131"/>
      <c r="E38" s="131"/>
      <c r="F38" s="131"/>
      <c r="G38" s="131"/>
    </row>
    <row r="39" spans="1:15" ht="35.25" customHeight="1" x14ac:dyDescent="0.5">
      <c r="A39" s="418">
        <f>A1</f>
        <v>0</v>
      </c>
      <c r="B39" s="418"/>
      <c r="C39" s="418"/>
      <c r="D39" s="418"/>
      <c r="E39" s="418"/>
      <c r="F39" s="418"/>
      <c r="G39" s="418"/>
    </row>
    <row r="40" spans="1:15" ht="39" customHeight="1" x14ac:dyDescent="0.5">
      <c r="A40" s="418">
        <f>A2</f>
        <v>0</v>
      </c>
      <c r="B40" s="418"/>
      <c r="C40" s="418"/>
      <c r="D40" s="418"/>
      <c r="E40" s="418"/>
      <c r="F40" s="418"/>
      <c r="G40" s="418"/>
    </row>
    <row r="41" spans="1:15" ht="44.25" customHeight="1" x14ac:dyDescent="0.5">
      <c r="A41" s="418">
        <f>A3</f>
        <v>0</v>
      </c>
      <c r="B41" s="418"/>
      <c r="C41" s="418"/>
      <c r="D41" s="418"/>
      <c r="E41" s="418"/>
      <c r="F41" s="418"/>
      <c r="G41" s="418"/>
    </row>
    <row r="42" spans="1:15" ht="44.25" customHeight="1" x14ac:dyDescent="0.7">
      <c r="A42" s="1"/>
      <c r="B42" s="1"/>
      <c r="C42" s="1"/>
      <c r="D42" s="1"/>
      <c r="E42" s="1"/>
      <c r="F42" s="1"/>
      <c r="G42" s="1"/>
      <c r="O42" s="107"/>
    </row>
    <row r="43" spans="1:15" ht="48.75" customHeight="1" x14ac:dyDescent="0.9">
      <c r="A43" s="432" t="s">
        <v>10</v>
      </c>
      <c r="B43" s="432"/>
      <c r="C43" s="432"/>
      <c r="D43" s="432"/>
      <c r="E43" s="432"/>
      <c r="F43" s="432"/>
      <c r="G43" s="432"/>
      <c r="I43" s="137"/>
    </row>
    <row r="44" spans="1:15" ht="30.75" customHeight="1" x14ac:dyDescent="0.5">
      <c r="A44" s="423" t="s">
        <v>23</v>
      </c>
      <c r="B44" s="423" t="s">
        <v>37</v>
      </c>
      <c r="C44" s="91" t="str">
        <f t="shared" ref="C44:G45" si="0">C5</f>
        <v>Audited</v>
      </c>
      <c r="D44" s="91" t="str">
        <f t="shared" si="0"/>
        <v>Provisional</v>
      </c>
      <c r="E44" s="91" t="str">
        <f t="shared" si="0"/>
        <v>Estimated</v>
      </c>
      <c r="F44" s="91" t="str">
        <f t="shared" si="0"/>
        <v>Projected</v>
      </c>
      <c r="G44" s="91" t="str">
        <f t="shared" si="0"/>
        <v>Projected</v>
      </c>
    </row>
    <row r="45" spans="1:15" ht="55.5" customHeight="1" thickBot="1" x14ac:dyDescent="0.55000000000000004">
      <c r="A45" s="424"/>
      <c r="B45" s="424"/>
      <c r="C45" s="157">
        <f t="shared" si="0"/>
        <v>0</v>
      </c>
      <c r="D45" s="59">
        <f t="shared" si="0"/>
        <v>0</v>
      </c>
      <c r="E45" s="157">
        <f t="shared" si="0"/>
        <v>0</v>
      </c>
      <c r="F45" s="157">
        <f t="shared" si="0"/>
        <v>0</v>
      </c>
      <c r="G45" s="157">
        <f t="shared" si="0"/>
        <v>0</v>
      </c>
    </row>
    <row r="46" spans="1:15" ht="33.75" customHeight="1" thickTop="1" x14ac:dyDescent="0.5">
      <c r="A46" s="45" t="s">
        <v>8</v>
      </c>
    </row>
    <row r="47" spans="1:15" ht="30.6" x14ac:dyDescent="0.55000000000000004">
      <c r="E47" s="146"/>
      <c r="F47" s="146"/>
      <c r="G47" s="146"/>
    </row>
    <row r="48" spans="1:15" ht="42.75" customHeight="1" x14ac:dyDescent="0.5">
      <c r="A48" s="2" t="s">
        <v>317</v>
      </c>
      <c r="C48" s="6">
        <f>wp!C46</f>
        <v>0</v>
      </c>
      <c r="D48" s="6">
        <f>wp!D46</f>
        <v>0</v>
      </c>
      <c r="E48" s="6" t="e">
        <f>E57-SUM(E49:E56)</f>
        <v>#DIV/0!</v>
      </c>
      <c r="F48" s="6" t="e">
        <f>F57-SUM(F49:F56)</f>
        <v>#DIV/0!</v>
      </c>
      <c r="G48" s="6" t="e">
        <f>G57-SUM(G49:G56)</f>
        <v>#DIV/0!</v>
      </c>
      <c r="H48" s="6"/>
      <c r="I48" s="6"/>
    </row>
    <row r="49" spans="1:8" ht="42.75" customHeight="1" x14ac:dyDescent="0.5">
      <c r="A49" s="58" t="s">
        <v>78</v>
      </c>
      <c r="B49" s="10"/>
    </row>
    <row r="50" spans="1:8" ht="42.75" customHeight="1" x14ac:dyDescent="0.5">
      <c r="A50" s="3" t="s">
        <v>76</v>
      </c>
      <c r="B50" s="10"/>
    </row>
    <row r="51" spans="1:8" ht="39" customHeight="1" x14ac:dyDescent="0.5">
      <c r="A51" s="2" t="s">
        <v>137</v>
      </c>
      <c r="C51" s="52">
        <f>FinalWorkings!B22</f>
        <v>0</v>
      </c>
      <c r="D51" s="52">
        <f>FinalWorkings!C22</f>
        <v>0</v>
      </c>
      <c r="E51" s="52">
        <f>ROUND(FinalWorkings!D22,-4)</f>
        <v>0</v>
      </c>
      <c r="F51" s="52">
        <f>ROUND(FinalWorkings!E22,-4)</f>
        <v>0</v>
      </c>
      <c r="G51" s="52">
        <f>ROUND(FinalWorkings!F22,-4)</f>
        <v>0</v>
      </c>
    </row>
    <row r="52" spans="1:8" ht="42.75" customHeight="1" x14ac:dyDescent="0.5">
      <c r="B52" s="10"/>
      <c r="C52" s="50"/>
      <c r="D52" s="50"/>
      <c r="E52" s="50"/>
      <c r="F52" s="50"/>
      <c r="G52" s="50"/>
    </row>
    <row r="53" spans="1:8" ht="42.75" customHeight="1" x14ac:dyDescent="0.5">
      <c r="A53" s="3" t="s">
        <v>81</v>
      </c>
      <c r="B53" s="1"/>
    </row>
    <row r="54" spans="1:8" ht="42.75" customHeight="1" x14ac:dyDescent="0.5">
      <c r="A54" s="2" t="s">
        <v>144</v>
      </c>
      <c r="B54" s="10"/>
      <c r="C54" s="50">
        <f>wp!C52</f>
        <v>0</v>
      </c>
      <c r="D54" s="50">
        <f>wp!D52</f>
        <v>0</v>
      </c>
      <c r="E54" s="50" t="e">
        <f>wp!E52</f>
        <v>#DIV/0!</v>
      </c>
      <c r="F54" s="50" t="e">
        <f>wp!F52</f>
        <v>#DIV/0!</v>
      </c>
      <c r="G54" s="50" t="e">
        <f>wp!G52</f>
        <v>#DIV/0!</v>
      </c>
      <c r="H54" s="50"/>
    </row>
    <row r="55" spans="1:8" ht="51" customHeight="1" x14ac:dyDescent="0.5">
      <c r="A55" s="2" t="s">
        <v>255</v>
      </c>
      <c r="C55" s="50">
        <f>wp!C53</f>
        <v>0</v>
      </c>
      <c r="D55" s="50">
        <f>wp!D53</f>
        <v>0</v>
      </c>
      <c r="E55" s="50">
        <f>ROUND(FinalWorkings!D23,-3)</f>
        <v>0</v>
      </c>
      <c r="F55" s="50">
        <f>ROUND(FinalWorkings!E23,-3)</f>
        <v>0</v>
      </c>
      <c r="G55" s="50">
        <f>ROUND(FinalWorkings!F23,-3)</f>
        <v>0</v>
      </c>
    </row>
    <row r="56" spans="1:8" ht="48.75" customHeight="1" x14ac:dyDescent="0.5">
      <c r="A56" s="3"/>
      <c r="B56" s="10"/>
    </row>
    <row r="57" spans="1:8" ht="47.25" customHeight="1" thickBot="1" x14ac:dyDescent="0.55000000000000004">
      <c r="C57" s="14">
        <f>C70</f>
        <v>0</v>
      </c>
      <c r="D57" s="14">
        <f>D70</f>
        <v>549482</v>
      </c>
      <c r="E57" s="14" t="e">
        <f>E70</f>
        <v>#DIV/0!</v>
      </c>
      <c r="F57" s="14" t="e">
        <f>F70</f>
        <v>#DIV/0!</v>
      </c>
      <c r="G57" s="14" t="e">
        <f>G70</f>
        <v>#DIV/0!</v>
      </c>
    </row>
    <row r="58" spans="1:8" ht="36.75" customHeight="1" thickTop="1" x14ac:dyDescent="0.5">
      <c r="A58" s="45" t="s">
        <v>9</v>
      </c>
    </row>
    <row r="59" spans="1:8" ht="36.75" customHeight="1" x14ac:dyDescent="0.5">
      <c r="A59" s="5"/>
    </row>
    <row r="60" spans="1:8" ht="36.75" customHeight="1" x14ac:dyDescent="0.5">
      <c r="A60" s="3" t="s">
        <v>79</v>
      </c>
      <c r="C60" s="6">
        <f>wp!C61</f>
        <v>0</v>
      </c>
      <c r="D60" s="6">
        <f>wp!D61</f>
        <v>549482</v>
      </c>
      <c r="E60" s="6">
        <f>wp!E61</f>
        <v>494533.8</v>
      </c>
      <c r="F60" s="6">
        <f>wp!F61</f>
        <v>445080.42</v>
      </c>
      <c r="G60" s="6">
        <f>wp!G61</f>
        <v>400572.37799999997</v>
      </c>
      <c r="H60" s="6"/>
    </row>
    <row r="61" spans="1:8" ht="31.5" customHeight="1" x14ac:dyDescent="0.5">
      <c r="C61" s="6"/>
      <c r="D61" s="6"/>
      <c r="E61" s="6"/>
      <c r="F61" s="6"/>
      <c r="G61" s="6"/>
    </row>
    <row r="62" spans="1:8" ht="31.5" customHeight="1" x14ac:dyDescent="0.5">
      <c r="A62" s="3" t="s">
        <v>141</v>
      </c>
      <c r="C62" s="6">
        <f>FinalWorkings!B24</f>
        <v>0</v>
      </c>
      <c r="D62" s="6">
        <f>FinalWorkings!C24</f>
        <v>0</v>
      </c>
      <c r="E62" s="6">
        <f>ROUND(FinalWorkings!D24,-4)</f>
        <v>0</v>
      </c>
      <c r="F62" s="6">
        <f>ROUND(FinalWorkings!E24,-4)</f>
        <v>0</v>
      </c>
      <c r="G62" s="6">
        <f>ROUND(FinalWorkings!F24,-4)</f>
        <v>0</v>
      </c>
    </row>
    <row r="63" spans="1:8" ht="31.5" customHeight="1" x14ac:dyDescent="0.5">
      <c r="C63" s="6"/>
      <c r="D63" s="6"/>
      <c r="E63" s="6"/>
      <c r="F63" s="6"/>
      <c r="G63" s="6"/>
    </row>
    <row r="64" spans="1:8" ht="42.75" customHeight="1" x14ac:dyDescent="0.5">
      <c r="A64" s="3" t="s">
        <v>80</v>
      </c>
      <c r="B64" s="10"/>
      <c r="C64" s="6"/>
      <c r="D64" s="6"/>
      <c r="E64" s="6"/>
      <c r="F64" s="6"/>
      <c r="G64" s="6"/>
    </row>
    <row r="65" spans="1:15" ht="42.75" customHeight="1" x14ac:dyDescent="0.5">
      <c r="A65" s="2" t="s">
        <v>142</v>
      </c>
      <c r="C65" s="6">
        <f>FinalWorkings!B25</f>
        <v>0</v>
      </c>
      <c r="D65" s="6">
        <f>FinalWorkings!C25</f>
        <v>0</v>
      </c>
      <c r="E65" s="6">
        <f>ROUND(FinalWorkings!D25,-4)</f>
        <v>0</v>
      </c>
      <c r="F65" s="6">
        <f>ROUND(FinalWorkings!E25,-4)</f>
        <v>0</v>
      </c>
      <c r="G65" s="6">
        <f>ROUND(FinalWorkings!F25,-4)</f>
        <v>0</v>
      </c>
    </row>
    <row r="66" spans="1:15" ht="42.75" customHeight="1" x14ac:dyDescent="0.5">
      <c r="A66" s="2" t="str">
        <f>A18</f>
        <v>Closing Stock / WIP</v>
      </c>
      <c r="B66" s="10"/>
      <c r="C66" s="6">
        <f>C18</f>
        <v>0</v>
      </c>
      <c r="D66" s="6">
        <f t="shared" ref="D66:G66" si="1">D18</f>
        <v>0</v>
      </c>
      <c r="E66" s="6">
        <f t="shared" si="1"/>
        <v>0</v>
      </c>
      <c r="F66" s="6">
        <f t="shared" si="1"/>
        <v>0</v>
      </c>
      <c r="G66" s="6">
        <f t="shared" si="1"/>
        <v>0</v>
      </c>
    </row>
    <row r="67" spans="1:15" ht="44.25" customHeight="1" x14ac:dyDescent="0.5">
      <c r="A67" s="2" t="s">
        <v>4</v>
      </c>
      <c r="C67" s="6">
        <f>wp!C68</f>
        <v>0</v>
      </c>
      <c r="D67" s="6">
        <f>wp!D68</f>
        <v>0</v>
      </c>
      <c r="E67" s="6" t="e">
        <f>ROUND(FinalWorkings!D26,-4)</f>
        <v>#DIV/0!</v>
      </c>
      <c r="F67" s="6" t="e">
        <f>ROUND(FinalWorkings!E26,-4)</f>
        <v>#DIV/0!</v>
      </c>
      <c r="G67" s="6" t="e">
        <f>ROUND(FinalWorkings!F26,-4)</f>
        <v>#DIV/0!</v>
      </c>
      <c r="H67" s="6"/>
    </row>
    <row r="68" spans="1:15" ht="39" customHeight="1" x14ac:dyDescent="0.5">
      <c r="A68" s="2" t="s">
        <v>66</v>
      </c>
      <c r="C68" s="6">
        <f>wp!C69</f>
        <v>0</v>
      </c>
      <c r="D68" s="6">
        <f>wp!D69</f>
        <v>0</v>
      </c>
      <c r="E68" s="6" t="e">
        <f>ROUND(FinalWorkings!D27,-4)</f>
        <v>#DIV/0!</v>
      </c>
      <c r="F68" s="6" t="e">
        <f>ROUND(FinalWorkings!E27,-4)</f>
        <v>#DIV/0!</v>
      </c>
      <c r="G68" s="6" t="e">
        <f>ROUND(FinalWorkings!F27,-4)</f>
        <v>#DIV/0!</v>
      </c>
    </row>
    <row r="69" spans="1:15" ht="39" customHeight="1" x14ac:dyDescent="0.5"/>
    <row r="70" spans="1:15" ht="53.25" customHeight="1" thickBot="1" x14ac:dyDescent="0.55000000000000004">
      <c r="C70" s="14">
        <f>SUM(C60:C69)</f>
        <v>0</v>
      </c>
      <c r="D70" s="14">
        <f>SUM(D60:D69)</f>
        <v>549482</v>
      </c>
      <c r="E70" s="14" t="e">
        <f>SUM(E60:E69)</f>
        <v>#DIV/0!</v>
      </c>
      <c r="F70" s="14" t="e">
        <f>SUM(F60:F69)</f>
        <v>#DIV/0!</v>
      </c>
      <c r="G70" s="14" t="e">
        <f>SUM(G60:G69)</f>
        <v>#DIV/0!</v>
      </c>
    </row>
    <row r="71" spans="1:15" ht="30.75" customHeight="1" thickTop="1" x14ac:dyDescent="0.5">
      <c r="C71" s="7"/>
      <c r="D71" s="7"/>
      <c r="E71" s="7"/>
      <c r="F71" s="7"/>
      <c r="G71" s="7"/>
    </row>
    <row r="72" spans="1:15" ht="30.75" customHeight="1" thickBot="1" x14ac:dyDescent="0.55000000000000004">
      <c r="A72" s="13"/>
      <c r="B72" s="13"/>
      <c r="C72" s="149"/>
      <c r="D72" s="149"/>
      <c r="E72" s="149"/>
      <c r="F72" s="149"/>
      <c r="G72" s="149"/>
    </row>
    <row r="73" spans="1:15" ht="53.25" customHeight="1" x14ac:dyDescent="0.55000000000000004">
      <c r="C73" s="433"/>
      <c r="D73" s="433"/>
      <c r="E73" s="433"/>
      <c r="F73" s="433"/>
      <c r="G73" s="433"/>
      <c r="I73" s="147"/>
      <c r="J73" s="147"/>
      <c r="K73" s="147"/>
      <c r="L73" s="147"/>
      <c r="M73" s="147"/>
      <c r="N73" s="147"/>
      <c r="O73" s="148"/>
    </row>
    <row r="74" spans="1:15" ht="51.75" customHeight="1" x14ac:dyDescent="0.55000000000000004">
      <c r="C74" s="7"/>
      <c r="D74" s="7"/>
      <c r="E74" s="7"/>
      <c r="F74" s="7"/>
      <c r="G74" s="7"/>
      <c r="I74" s="147"/>
      <c r="J74" s="147"/>
      <c r="K74" s="147"/>
      <c r="L74" s="147"/>
      <c r="M74" s="147"/>
      <c r="N74" s="147"/>
      <c r="O74" s="148"/>
    </row>
    <row r="75" spans="1:15" ht="30" customHeight="1" x14ac:dyDescent="0.55000000000000004">
      <c r="A75" s="432" t="s">
        <v>38</v>
      </c>
      <c r="B75" s="432"/>
      <c r="C75" s="432"/>
      <c r="D75" s="432"/>
      <c r="E75" s="432"/>
      <c r="F75" s="432"/>
      <c r="G75" s="432"/>
      <c r="I75" s="147"/>
      <c r="J75" s="147"/>
      <c r="K75" s="147"/>
      <c r="L75" s="147"/>
      <c r="M75" s="147"/>
      <c r="N75" s="147"/>
      <c r="O75" s="148"/>
    </row>
    <row r="76" spans="1:15" ht="95.25" customHeight="1" thickBot="1" x14ac:dyDescent="0.55000000000000004">
      <c r="A76" s="60"/>
      <c r="B76" s="60"/>
      <c r="C76" s="61">
        <f>C45</f>
        <v>0</v>
      </c>
      <c r="D76" s="62">
        <f>D45</f>
        <v>0</v>
      </c>
      <c r="E76" s="61">
        <f>E45</f>
        <v>0</v>
      </c>
      <c r="F76" s="61">
        <f>F45</f>
        <v>0</v>
      </c>
      <c r="G76" s="61">
        <f>G45</f>
        <v>0</v>
      </c>
    </row>
    <row r="77" spans="1:15" ht="26.4" thickTop="1" x14ac:dyDescent="0.5"/>
    <row r="78" spans="1:15" x14ac:dyDescent="0.5">
      <c r="A78" s="2" t="s">
        <v>69</v>
      </c>
      <c r="C78" s="6">
        <f>wp!C80</f>
        <v>0</v>
      </c>
      <c r="D78" s="6">
        <f>wp!D80</f>
        <v>0</v>
      </c>
      <c r="E78" s="6" t="e">
        <f>ROUND(FinalWorkings!D13,-3)</f>
        <v>#DIV/0!</v>
      </c>
      <c r="F78" s="6" t="e">
        <f>ROUND(FinalWorkings!E13,-3)</f>
        <v>#DIV/0!</v>
      </c>
      <c r="G78" s="6" t="e">
        <f>ROUND(FinalWorkings!F13,-3)</f>
        <v>#DIV/0!</v>
      </c>
      <c r="H78" s="6"/>
    </row>
    <row r="79" spans="1:15" x14ac:dyDescent="0.5">
      <c r="A79" s="2" t="s">
        <v>164</v>
      </c>
      <c r="C79" s="6">
        <f>wp!C81</f>
        <v>0</v>
      </c>
      <c r="D79" s="6">
        <f>wp!D81</f>
        <v>0</v>
      </c>
      <c r="E79" s="6" t="e">
        <f>ROUND(FinalWorkings!D14,-3)</f>
        <v>#DIV/0!</v>
      </c>
      <c r="F79" s="6" t="e">
        <f>ROUND(FinalWorkings!E14,-3)</f>
        <v>#DIV/0!</v>
      </c>
      <c r="G79" s="6" t="e">
        <f>ROUND(FinalWorkings!F14,-3)</f>
        <v>#DIV/0!</v>
      </c>
      <c r="H79" s="6"/>
    </row>
    <row r="80" spans="1:15" ht="35.25" customHeight="1" x14ac:dyDescent="0.5">
      <c r="A80" s="2" t="s">
        <v>70</v>
      </c>
      <c r="C80" s="6">
        <f>wp!C82</f>
        <v>0</v>
      </c>
      <c r="D80" s="6">
        <f>wp!D82</f>
        <v>0</v>
      </c>
      <c r="E80" s="6" t="e">
        <f>ROUND(FinalWorkings!D15,-3)</f>
        <v>#DIV/0!</v>
      </c>
      <c r="F80" s="6" t="e">
        <f>ROUND(FinalWorkings!E15,-3)</f>
        <v>#DIV/0!</v>
      </c>
      <c r="G80" s="6" t="e">
        <f>ROUND(FinalWorkings!F15,-3)</f>
        <v>#DIV/0!</v>
      </c>
      <c r="J80" s="6"/>
      <c r="K80" s="6"/>
      <c r="L80" s="6"/>
      <c r="M80" s="6"/>
    </row>
    <row r="81" spans="1:13" ht="35.25" customHeight="1" x14ac:dyDescent="0.5">
      <c r="A81" s="2" t="s">
        <v>75</v>
      </c>
      <c r="C81" s="6">
        <f>wp!C83</f>
        <v>0</v>
      </c>
      <c r="D81" s="6">
        <f>wp!D83</f>
        <v>0</v>
      </c>
      <c r="E81" s="6">
        <f>wp!E83</f>
        <v>0</v>
      </c>
      <c r="F81" s="6">
        <f>wp!F83</f>
        <v>0</v>
      </c>
      <c r="G81" s="6">
        <f>wp!G83</f>
        <v>0</v>
      </c>
      <c r="J81" s="6"/>
      <c r="K81" s="6"/>
      <c r="L81" s="6"/>
      <c r="M81" s="6"/>
    </row>
    <row r="82" spans="1:13" ht="41.25" customHeight="1" x14ac:dyDescent="0.5">
      <c r="A82" s="2" t="s">
        <v>311</v>
      </c>
      <c r="C82" s="6">
        <f>wp!C84</f>
        <v>0</v>
      </c>
      <c r="D82" s="6">
        <f>wp!D84</f>
        <v>0</v>
      </c>
      <c r="E82" s="6" t="e">
        <f>ROUND(FinalWorkings!D16,-4)</f>
        <v>#DIV/0!</v>
      </c>
      <c r="F82" s="6" t="e">
        <f>ROUND(FinalWorkings!E16,-4)</f>
        <v>#DIV/0!</v>
      </c>
      <c r="G82" s="6" t="e">
        <f>ROUND(FinalWorkings!F16,-4)</f>
        <v>#DIV/0!</v>
      </c>
      <c r="J82" s="90"/>
      <c r="K82" s="90"/>
      <c r="L82" s="90"/>
    </row>
    <row r="83" spans="1:13" ht="27.75" customHeight="1" x14ac:dyDescent="0.5">
      <c r="C83" s="6"/>
      <c r="D83" s="6"/>
      <c r="E83" s="6"/>
      <c r="F83" s="6"/>
      <c r="G83" s="6"/>
    </row>
    <row r="84" spans="1:13" ht="27.75" customHeight="1" x14ac:dyDescent="0.5">
      <c r="F84" s="6"/>
      <c r="G84" s="6"/>
    </row>
    <row r="85" spans="1:13" x14ac:dyDescent="0.5">
      <c r="C85" s="6"/>
      <c r="D85" s="6"/>
      <c r="E85" s="6"/>
      <c r="F85" s="6"/>
      <c r="G85" s="6"/>
    </row>
    <row r="86" spans="1:13" ht="50.25" customHeight="1" thickBot="1" x14ac:dyDescent="0.55000000000000004">
      <c r="C86" s="150">
        <f>SUM(C77:C85)</f>
        <v>0</v>
      </c>
      <c r="D86" s="150">
        <f>SUM(D77:D85)</f>
        <v>0</v>
      </c>
      <c r="E86" s="150" t="e">
        <f>SUM(E77:E85)</f>
        <v>#DIV/0!</v>
      </c>
      <c r="F86" s="150" t="e">
        <f>SUM(F77:F85)</f>
        <v>#DIV/0!</v>
      </c>
      <c r="G86" s="150" t="e">
        <f>SUM(G77:G85)</f>
        <v>#DIV/0!</v>
      </c>
    </row>
    <row r="87" spans="1:13" ht="50.25" customHeight="1" x14ac:dyDescent="0.5">
      <c r="C87" s="3"/>
      <c r="D87" s="7"/>
      <c r="E87" s="7"/>
      <c r="F87" s="7"/>
      <c r="G87" s="7"/>
    </row>
    <row r="88" spans="1:13" ht="40.5" customHeight="1" x14ac:dyDescent="0.5">
      <c r="A88" s="432" t="s">
        <v>39</v>
      </c>
      <c r="B88" s="432"/>
      <c r="C88" s="432"/>
      <c r="D88" s="432"/>
      <c r="E88" s="432"/>
      <c r="F88" s="432"/>
      <c r="G88" s="432"/>
    </row>
    <row r="89" spans="1:13" ht="98.25" customHeight="1" thickBot="1" x14ac:dyDescent="0.55000000000000004">
      <c r="A89" s="60"/>
      <c r="B89" s="60"/>
      <c r="C89" s="61">
        <f>C76</f>
        <v>0</v>
      </c>
      <c r="D89" s="62">
        <f>D76</f>
        <v>0</v>
      </c>
      <c r="E89" s="61">
        <f>E76</f>
        <v>0</v>
      </c>
      <c r="F89" s="61">
        <f>F76</f>
        <v>0</v>
      </c>
      <c r="G89" s="61">
        <f>G76</f>
        <v>0</v>
      </c>
    </row>
    <row r="90" spans="1:13" ht="32.25" customHeight="1" thickTop="1" x14ac:dyDescent="0.5">
      <c r="C90" s="4"/>
      <c r="D90" s="11"/>
      <c r="E90" s="4"/>
      <c r="F90" s="4"/>
      <c r="G90" s="4"/>
    </row>
    <row r="91" spans="1:13" ht="33" customHeight="1" x14ac:dyDescent="0.5">
      <c r="A91" s="2" t="s">
        <v>136</v>
      </c>
      <c r="C91" s="50">
        <f>wp!C96</f>
        <v>0</v>
      </c>
      <c r="D91" s="50">
        <f>wp!D96</f>
        <v>0</v>
      </c>
      <c r="E91" s="50" t="e">
        <f>ROUND(FinalWorkings!D17,-4)</f>
        <v>#DIV/0!</v>
      </c>
      <c r="F91" s="50">
        <f>ROUND(FinalWorkings!E17,-4)</f>
        <v>0</v>
      </c>
      <c r="G91" s="50">
        <f>ROUND(FinalWorkings!F17,-4)</f>
        <v>0</v>
      </c>
    </row>
    <row r="92" spans="1:13" ht="33" customHeight="1" x14ac:dyDescent="0.5">
      <c r="A92" s="2" t="s">
        <v>318</v>
      </c>
      <c r="C92" s="50">
        <f>wp!C97</f>
        <v>0</v>
      </c>
      <c r="D92" s="50">
        <f>wp!D97</f>
        <v>0</v>
      </c>
      <c r="E92" s="50" t="e">
        <f>ROUND(FinalWorkings!D18,-3)</f>
        <v>#DIV/0!</v>
      </c>
      <c r="F92" s="50">
        <f>ROUND(FinalWorkings!E18,-3)</f>
        <v>0</v>
      </c>
      <c r="G92" s="50">
        <f>ROUND(FinalWorkings!F18,-3)</f>
        <v>0</v>
      </c>
    </row>
    <row r="93" spans="1:13" ht="33" customHeight="1" x14ac:dyDescent="0.5">
      <c r="C93" s="50"/>
      <c r="D93" s="50"/>
      <c r="E93" s="6"/>
      <c r="F93" s="6"/>
      <c r="G93" s="6"/>
    </row>
    <row r="94" spans="1:13" ht="34.5" customHeight="1" x14ac:dyDescent="0.5">
      <c r="C94" s="50"/>
      <c r="D94" s="50"/>
      <c r="E94" s="55"/>
      <c r="F94" s="55"/>
      <c r="G94" s="55"/>
    </row>
    <row r="95" spans="1:13" ht="46.5" customHeight="1" thickBot="1" x14ac:dyDescent="0.55000000000000004">
      <c r="C95" s="150">
        <f>SUM(C90:C94)</f>
        <v>0</v>
      </c>
      <c r="D95" s="150">
        <f>SUM(D90:D94)</f>
        <v>0</v>
      </c>
      <c r="E95" s="150" t="e">
        <f>SUM(E90:E94)</f>
        <v>#DIV/0!</v>
      </c>
      <c r="F95" s="150">
        <f>SUM(F90:F94)</f>
        <v>0</v>
      </c>
      <c r="G95" s="150">
        <f>SUM(G90:G94)</f>
        <v>0</v>
      </c>
    </row>
    <row r="96" spans="1:13" ht="25.5" customHeight="1" x14ac:dyDescent="0.5">
      <c r="C96" s="3"/>
      <c r="D96" s="3"/>
      <c r="E96" s="3"/>
      <c r="F96" s="3"/>
    </row>
    <row r="97" spans="3:7" ht="25.5" customHeight="1" x14ac:dyDescent="0.5">
      <c r="C97" s="72"/>
      <c r="D97" s="72"/>
      <c r="E97" s="72"/>
      <c r="F97" s="72"/>
      <c r="G97" s="72"/>
    </row>
  </sheetData>
  <mergeCells count="16">
    <mergeCell ref="A5:A6"/>
    <mergeCell ref="B5:B6"/>
    <mergeCell ref="A88:G88"/>
    <mergeCell ref="A44:A45"/>
    <mergeCell ref="B44:B45"/>
    <mergeCell ref="C73:G73"/>
    <mergeCell ref="A75:G75"/>
    <mergeCell ref="A39:G39"/>
    <mergeCell ref="A40:G40"/>
    <mergeCell ref="A41:G41"/>
    <mergeCell ref="A43:G43"/>
    <mergeCell ref="A1:G1"/>
    <mergeCell ref="A2:G2"/>
    <mergeCell ref="A3:G3"/>
    <mergeCell ref="N3:P3"/>
    <mergeCell ref="A4:G4"/>
  </mergeCells>
  <pageMargins left="0.23622047244094491" right="0.23622047244094491" top="0.4" bottom="0.74803149606299213" header="0.31496062992125984" footer="0.31496062992125984"/>
  <pageSetup scale="50" orientation="portrait" r:id="rId1"/>
  <rowBreaks count="1" manualBreakCount="1">
    <brk id="38" max="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14"/>
  <sheetViews>
    <sheetView zoomScaleSheetLayoutView="70" workbookViewId="0">
      <selection activeCell="L13" sqref="L13"/>
    </sheetView>
  </sheetViews>
  <sheetFormatPr defaultColWidth="9.21875" defaultRowHeight="14.4" x14ac:dyDescent="0.35"/>
  <cols>
    <col min="1" max="1" width="27.5546875" style="19" customWidth="1"/>
    <col min="2" max="2" width="11.44140625" style="19" customWidth="1"/>
    <col min="3" max="3" width="12.44140625" style="19" bestFit="1" customWidth="1"/>
    <col min="4" max="4" width="12" style="19" customWidth="1"/>
    <col min="5" max="6" width="12.44140625" style="19" bestFit="1" customWidth="1"/>
    <col min="7" max="7" width="11.5546875" style="19" bestFit="1" customWidth="1"/>
    <col min="8" max="8" width="11.21875" style="19" customWidth="1"/>
    <col min="9" max="16384" width="9.21875" style="19"/>
  </cols>
  <sheetData>
    <row r="1" spans="1:8" ht="15" x14ac:dyDescent="0.35">
      <c r="A1" s="436">
        <f>Assumptions.1!I3</f>
        <v>0</v>
      </c>
      <c r="B1" s="436"/>
      <c r="C1" s="436"/>
      <c r="D1" s="436"/>
      <c r="E1" s="436"/>
      <c r="F1" s="436"/>
      <c r="G1" s="436"/>
      <c r="H1" s="42"/>
    </row>
    <row r="2" spans="1:8" ht="15" x14ac:dyDescent="0.35">
      <c r="A2" s="436">
        <f>Assumptions.1!I5</f>
        <v>0</v>
      </c>
      <c r="B2" s="436"/>
      <c r="C2" s="436"/>
      <c r="D2" s="436"/>
      <c r="E2" s="436"/>
      <c r="F2" s="436"/>
      <c r="G2" s="436"/>
      <c r="H2" s="42"/>
    </row>
    <row r="3" spans="1:8" ht="15" x14ac:dyDescent="0.35">
      <c r="A3" s="436">
        <f>Assumptions.1!I6</f>
        <v>0</v>
      </c>
      <c r="B3" s="436"/>
      <c r="C3" s="436"/>
      <c r="D3" s="436"/>
      <c r="E3" s="436"/>
      <c r="F3" s="436"/>
      <c r="G3" s="436"/>
      <c r="H3" s="42"/>
    </row>
    <row r="5" spans="1:8" x14ac:dyDescent="0.35">
      <c r="A5" s="437" t="s">
        <v>20</v>
      </c>
      <c r="B5" s="437"/>
      <c r="C5" s="437"/>
      <c r="D5" s="437"/>
      <c r="E5" s="437"/>
      <c r="F5" s="437"/>
      <c r="G5" s="437"/>
      <c r="H5" s="18"/>
    </row>
    <row r="6" spans="1:8" x14ac:dyDescent="0.35">
      <c r="A6" s="18"/>
      <c r="B6" s="18"/>
      <c r="C6" s="18"/>
      <c r="D6" s="18"/>
      <c r="E6" s="18"/>
      <c r="F6" s="18"/>
      <c r="G6" s="18"/>
      <c r="H6" s="18"/>
    </row>
    <row r="7" spans="1:8" x14ac:dyDescent="0.35">
      <c r="A7" s="301" t="s">
        <v>268</v>
      </c>
      <c r="B7" s="18"/>
      <c r="C7" s="18"/>
      <c r="D7" s="18"/>
      <c r="E7" s="18"/>
      <c r="F7" s="18"/>
      <c r="H7" s="18"/>
    </row>
    <row r="8" spans="1:8" x14ac:dyDescent="0.35">
      <c r="A8" s="38"/>
      <c r="E8" s="441" t="s">
        <v>287</v>
      </c>
      <c r="F8" s="441"/>
      <c r="G8" s="441"/>
      <c r="H8" s="18"/>
    </row>
    <row r="9" spans="1:8" ht="15.6" thickBot="1" x14ac:dyDescent="0.4">
      <c r="A9" s="66" t="s">
        <v>23</v>
      </c>
      <c r="B9" s="64"/>
      <c r="C9" s="65">
        <f>C99</f>
        <v>0</v>
      </c>
      <c r="D9" s="217">
        <f>D99</f>
        <v>0</v>
      </c>
      <c r="E9" s="65">
        <f>E99</f>
        <v>0</v>
      </c>
      <c r="F9" s="65">
        <f>F99</f>
        <v>0</v>
      </c>
      <c r="G9" s="65">
        <f>G99</f>
        <v>0</v>
      </c>
      <c r="H9" s="18"/>
    </row>
    <row r="10" spans="1:8" ht="16.2" x14ac:dyDescent="0.35">
      <c r="F10" s="36"/>
      <c r="H10" s="18"/>
    </row>
    <row r="11" spans="1:8" x14ac:dyDescent="0.35">
      <c r="A11" s="19" t="s">
        <v>26</v>
      </c>
      <c r="C11" s="28" t="e">
        <f>C13/C14</f>
        <v>#DIV/0!</v>
      </c>
      <c r="D11" s="28" t="e">
        <f>D13/D14</f>
        <v>#DIV/0!</v>
      </c>
      <c r="E11" s="28" t="e">
        <f>E13/E14</f>
        <v>#DIV/0!</v>
      </c>
      <c r="F11" s="28" t="e">
        <f>F13/F14</f>
        <v>#DIV/0!</v>
      </c>
      <c r="G11" s="28" t="e">
        <f>G13/G14</f>
        <v>#DIV/0!</v>
      </c>
      <c r="H11" s="18"/>
    </row>
    <row r="12" spans="1:8" x14ac:dyDescent="0.35">
      <c r="C12" s="28"/>
      <c r="D12" s="28"/>
      <c r="E12" s="28"/>
      <c r="F12" s="28"/>
      <c r="H12" s="18"/>
    </row>
    <row r="13" spans="1:8" x14ac:dyDescent="0.35">
      <c r="A13" s="19" t="s">
        <v>27</v>
      </c>
      <c r="C13" s="34">
        <f>SUM(PLBS!C65:C68)</f>
        <v>0</v>
      </c>
      <c r="D13" s="34">
        <f>SUM(PLBS!D65:D68)</f>
        <v>0</v>
      </c>
      <c r="E13" s="34" t="e">
        <f>SUM(PLBS!E65:E68)</f>
        <v>#DIV/0!</v>
      </c>
      <c r="F13" s="34" t="e">
        <f>SUM(PLBS!F65:F68)</f>
        <v>#DIV/0!</v>
      </c>
      <c r="G13" s="34" t="e">
        <f>SUM(PLBS!G65:G68)</f>
        <v>#DIV/0!</v>
      </c>
      <c r="H13" s="18"/>
    </row>
    <row r="14" spans="1:8" x14ac:dyDescent="0.35">
      <c r="A14" s="19" t="s">
        <v>3</v>
      </c>
      <c r="C14" s="34">
        <f>SUM(PLBS!C54:C56)</f>
        <v>0</v>
      </c>
      <c r="D14" s="34">
        <f>SUM(PLBS!D54:D56)</f>
        <v>0</v>
      </c>
      <c r="E14" s="34" t="e">
        <f>SUM(PLBS!E54:E56)</f>
        <v>#DIV/0!</v>
      </c>
      <c r="F14" s="34" t="e">
        <f>SUM(PLBS!F54:F56)</f>
        <v>#DIV/0!</v>
      </c>
      <c r="G14" s="34" t="e">
        <f>SUM(PLBS!G54:G56)</f>
        <v>#DIV/0!</v>
      </c>
      <c r="H14" s="18"/>
    </row>
    <row r="15" spans="1:8" x14ac:dyDescent="0.35">
      <c r="C15" s="34">
        <f>C13-C14</f>
        <v>0</v>
      </c>
      <c r="D15" s="34">
        <f>D13-D14</f>
        <v>0</v>
      </c>
      <c r="E15" s="34" t="e">
        <f>E13-E14</f>
        <v>#DIV/0!</v>
      </c>
      <c r="F15" s="34" t="e">
        <f>F13-F14</f>
        <v>#DIV/0!</v>
      </c>
      <c r="G15" s="34" t="e">
        <f>G13-G14</f>
        <v>#DIV/0!</v>
      </c>
      <c r="H15" s="18"/>
    </row>
    <row r="16" spans="1:8" ht="16.8" thickBot="1" x14ac:dyDescent="0.4">
      <c r="A16" s="23" t="s">
        <v>60</v>
      </c>
      <c r="B16" s="23"/>
      <c r="C16" s="23"/>
      <c r="D16" s="23"/>
      <c r="E16" s="23"/>
      <c r="F16" s="37"/>
      <c r="G16" s="23"/>
      <c r="H16" s="18"/>
    </row>
    <row r="17" spans="1:10" x14ac:dyDescent="0.35">
      <c r="A17" s="18"/>
      <c r="B17" s="18"/>
      <c r="C17" s="18"/>
      <c r="D17" s="18"/>
      <c r="E17" s="18"/>
      <c r="F17" s="18"/>
      <c r="G17" s="18"/>
      <c r="H17" s="18"/>
    </row>
    <row r="18" spans="1:10" x14ac:dyDescent="0.35">
      <c r="A18" s="302" t="s">
        <v>269</v>
      </c>
    </row>
    <row r="19" spans="1:10" ht="15.6" thickBot="1" x14ac:dyDescent="0.4">
      <c r="A19" s="66" t="s">
        <v>23</v>
      </c>
      <c r="B19" s="64"/>
      <c r="C19" s="65">
        <f>C75</f>
        <v>0</v>
      </c>
      <c r="D19" s="217">
        <f>D75</f>
        <v>0</v>
      </c>
      <c r="E19" s="65">
        <f>E75</f>
        <v>0</v>
      </c>
      <c r="F19" s="65">
        <f>F75</f>
        <v>0</v>
      </c>
      <c r="G19" s="65">
        <f>G75</f>
        <v>0</v>
      </c>
      <c r="H19" s="27"/>
    </row>
    <row r="20" spans="1:10" ht="15" x14ac:dyDescent="0.35">
      <c r="A20" s="26"/>
      <c r="B20" s="29"/>
      <c r="C20" s="27"/>
      <c r="D20" s="27"/>
      <c r="E20" s="27"/>
      <c r="F20" s="27"/>
    </row>
    <row r="21" spans="1:10" x14ac:dyDescent="0.35">
      <c r="A21" s="19" t="s">
        <v>18</v>
      </c>
      <c r="C21" s="28" t="e">
        <f>PLBS!C12/PLBS!C67</f>
        <v>#DIV/0!</v>
      </c>
      <c r="D21" s="28" t="e">
        <f>PLBS!D12/PLBS!D67</f>
        <v>#DIV/0!</v>
      </c>
      <c r="E21" s="28" t="e">
        <f>PLBS!E12/PLBS!E67</f>
        <v>#DIV/0!</v>
      </c>
      <c r="F21" s="28" t="e">
        <f>PLBS!F12/PLBS!F67</f>
        <v>#DIV/0!</v>
      </c>
      <c r="G21" s="28" t="e">
        <f>PLBS!G12/PLBS!G67</f>
        <v>#DIV/0!</v>
      </c>
      <c r="H21" s="28"/>
    </row>
    <row r="22" spans="1:10" x14ac:dyDescent="0.35">
      <c r="A22" s="443" t="s">
        <v>19</v>
      </c>
      <c r="B22" s="443"/>
    </row>
    <row r="24" spans="1:10" x14ac:dyDescent="0.35">
      <c r="A24" s="442" t="s">
        <v>64</v>
      </c>
      <c r="B24" s="442"/>
      <c r="C24" s="442"/>
      <c r="D24" s="442"/>
      <c r="E24" s="442"/>
      <c r="F24" s="442"/>
      <c r="G24" s="442"/>
      <c r="H24" s="442"/>
      <c r="I24" s="442"/>
      <c r="J24" s="442"/>
    </row>
    <row r="25" spans="1:10" x14ac:dyDescent="0.35">
      <c r="A25" s="19" t="s">
        <v>17</v>
      </c>
    </row>
    <row r="27" spans="1:10" x14ac:dyDescent="0.35">
      <c r="A27" s="347" t="s">
        <v>65</v>
      </c>
      <c r="B27" s="29"/>
      <c r="C27" s="348" t="e">
        <f>B30/C21</f>
        <v>#DIV/0!</v>
      </c>
      <c r="D27" s="348" t="e">
        <f>B30/D21</f>
        <v>#DIV/0!</v>
      </c>
      <c r="E27" s="348" t="e">
        <f>B30/E21</f>
        <v>#DIV/0!</v>
      </c>
      <c r="F27" s="348" t="e">
        <f>B30/F21</f>
        <v>#DIV/0!</v>
      </c>
      <c r="G27" s="348" t="e">
        <f>B30/G21</f>
        <v>#DIV/0!</v>
      </c>
      <c r="H27" s="348"/>
    </row>
    <row r="28" spans="1:10" x14ac:dyDescent="0.35">
      <c r="A28" s="442" t="s">
        <v>15</v>
      </c>
      <c r="B28" s="442"/>
    </row>
    <row r="30" spans="1:10" ht="15" thickBot="1" x14ac:dyDescent="0.4">
      <c r="A30" s="31" t="s">
        <v>14</v>
      </c>
      <c r="B30" s="32">
        <v>365</v>
      </c>
      <c r="C30" s="23"/>
      <c r="D30" s="23"/>
      <c r="E30" s="23"/>
      <c r="F30" s="23"/>
      <c r="G30" s="23"/>
    </row>
    <row r="31" spans="1:10" x14ac:dyDescent="0.35">
      <c r="A31" s="18"/>
      <c r="B31" s="18"/>
      <c r="C31" s="18"/>
      <c r="D31" s="18"/>
      <c r="E31" s="18"/>
      <c r="F31" s="18"/>
      <c r="G31" s="18"/>
      <c r="H31" s="18"/>
    </row>
    <row r="32" spans="1:10" x14ac:dyDescent="0.35">
      <c r="A32" s="18"/>
      <c r="B32" s="18"/>
      <c r="C32" s="18"/>
      <c r="D32" s="18"/>
      <c r="E32" s="18"/>
      <c r="F32" s="18"/>
      <c r="G32" s="18"/>
      <c r="H32" s="18"/>
    </row>
    <row r="33" spans="1:8" x14ac:dyDescent="0.35">
      <c r="A33" s="301" t="s">
        <v>270</v>
      </c>
    </row>
    <row r="34" spans="1:8" x14ac:dyDescent="0.35">
      <c r="A34" s="38"/>
      <c r="H34" s="46"/>
    </row>
    <row r="35" spans="1:8" ht="48" customHeight="1" thickBot="1" x14ac:dyDescent="0.4">
      <c r="A35" s="66" t="s">
        <v>23</v>
      </c>
      <c r="B35" s="64"/>
      <c r="C35" s="65">
        <f>C88</f>
        <v>0</v>
      </c>
      <c r="D35" s="217">
        <f>D88</f>
        <v>0</v>
      </c>
      <c r="E35" s="65">
        <f>E88</f>
        <v>0</v>
      </c>
      <c r="F35" s="65">
        <f>F88</f>
        <v>0</v>
      </c>
      <c r="G35" s="65">
        <f>G88</f>
        <v>0</v>
      </c>
      <c r="H35" s="27"/>
    </row>
    <row r="37" spans="1:8" x14ac:dyDescent="0.35">
      <c r="A37" s="19" t="s">
        <v>21</v>
      </c>
      <c r="C37" s="28" t="e">
        <f>PLBS!C21/PLBS!C12*100</f>
        <v>#DIV/0!</v>
      </c>
      <c r="D37" s="28" t="e">
        <f>PLBS!D21/PLBS!D12*100</f>
        <v>#DIV/0!</v>
      </c>
      <c r="E37" s="28" t="e">
        <f>PLBS!E21/PLBS!E12*100</f>
        <v>#DIV/0!</v>
      </c>
      <c r="F37" s="28" t="e">
        <f>PLBS!F21/PLBS!F12*100</f>
        <v>#DIV/0!</v>
      </c>
      <c r="G37" s="28" t="e">
        <f>PLBS!G21/PLBS!G12*100</f>
        <v>#DIV/0!</v>
      </c>
      <c r="H37" s="28"/>
    </row>
    <row r="38" spans="1:8" x14ac:dyDescent="0.35">
      <c r="C38" s="28"/>
      <c r="D38" s="28"/>
      <c r="E38" s="28"/>
      <c r="F38" s="28"/>
      <c r="H38" s="28"/>
    </row>
    <row r="39" spans="1:8" ht="15" thickBot="1" x14ac:dyDescent="0.4">
      <c r="A39" s="35" t="s">
        <v>58</v>
      </c>
      <c r="B39" s="23"/>
      <c r="C39" s="23"/>
      <c r="D39" s="23"/>
      <c r="E39" s="23"/>
      <c r="F39" s="23"/>
      <c r="G39" s="23"/>
      <c r="H39" s="34"/>
    </row>
    <row r="40" spans="1:8" x14ac:dyDescent="0.35">
      <c r="H40" s="34"/>
    </row>
    <row r="43" spans="1:8" x14ac:dyDescent="0.35">
      <c r="H43" s="18"/>
    </row>
    <row r="44" spans="1:8" x14ac:dyDescent="0.35">
      <c r="A44" s="18"/>
      <c r="B44" s="18"/>
      <c r="C44" s="18"/>
      <c r="D44" s="18"/>
      <c r="E44" s="18"/>
      <c r="F44" s="18"/>
      <c r="G44" s="18"/>
      <c r="H44" s="18"/>
    </row>
    <row r="47" spans="1:8" ht="16.2" x14ac:dyDescent="0.35">
      <c r="A47" s="301" t="s">
        <v>271</v>
      </c>
      <c r="F47" s="36"/>
    </row>
    <row r="48" spans="1:8" ht="16.2" x14ac:dyDescent="0.35">
      <c r="A48" s="38"/>
      <c r="F48" s="36"/>
    </row>
    <row r="49" spans="1:8" ht="48.75" customHeight="1" thickBot="1" x14ac:dyDescent="0.4">
      <c r="A49" s="66" t="s">
        <v>23</v>
      </c>
      <c r="B49" s="64"/>
      <c r="C49" s="65">
        <f>C35</f>
        <v>0</v>
      </c>
      <c r="D49" s="217">
        <f>D35</f>
        <v>0</v>
      </c>
      <c r="E49" s="65">
        <f>E35</f>
        <v>0</v>
      </c>
      <c r="F49" s="65">
        <f>F35</f>
        <v>0</v>
      </c>
      <c r="G49" s="65">
        <f>G35</f>
        <v>0</v>
      </c>
      <c r="H49" s="27"/>
    </row>
    <row r="50" spans="1:8" ht="16.2" x14ac:dyDescent="0.35">
      <c r="F50" s="36"/>
    </row>
    <row r="51" spans="1:8" x14ac:dyDescent="0.35">
      <c r="A51" s="19" t="s">
        <v>22</v>
      </c>
      <c r="C51" s="28" t="e">
        <f>PLBS!C35/PLBS!C12*100</f>
        <v>#DIV/0!</v>
      </c>
      <c r="D51" s="28" t="e">
        <f>PLBS!D35/PLBS!D12*100</f>
        <v>#DIV/0!</v>
      </c>
      <c r="E51" s="28" t="e">
        <f>PLBS!E35/PLBS!E12*100</f>
        <v>#DIV/0!</v>
      </c>
      <c r="F51" s="28" t="e">
        <f>PLBS!F35/PLBS!F12*100</f>
        <v>#DIV/0!</v>
      </c>
      <c r="G51" s="28" t="e">
        <f>PLBS!G35/PLBS!G12*100</f>
        <v>#DIV/0!</v>
      </c>
      <c r="H51" s="28"/>
    </row>
    <row r="52" spans="1:8" x14ac:dyDescent="0.35">
      <c r="C52" s="28"/>
      <c r="D52" s="28"/>
      <c r="E52" s="28"/>
      <c r="F52" s="28"/>
    </row>
    <row r="53" spans="1:8" ht="16.8" thickBot="1" x14ac:dyDescent="0.4">
      <c r="A53" s="35" t="s">
        <v>59</v>
      </c>
      <c r="B53" s="23"/>
      <c r="C53" s="23"/>
      <c r="D53" s="23"/>
      <c r="E53" s="23"/>
      <c r="F53" s="37"/>
      <c r="G53" s="23"/>
    </row>
    <row r="54" spans="1:8" x14ac:dyDescent="0.35">
      <c r="A54" s="18"/>
      <c r="B54" s="18"/>
      <c r="C54" s="18"/>
      <c r="D54" s="18"/>
      <c r="E54" s="18"/>
      <c r="F54" s="18"/>
      <c r="G54" s="18"/>
      <c r="H54" s="18"/>
    </row>
    <row r="55" spans="1:8" ht="16.2" x14ac:dyDescent="0.35">
      <c r="A55" s="301" t="s">
        <v>272</v>
      </c>
      <c r="F55" s="36"/>
      <c r="H55" s="18"/>
    </row>
    <row r="56" spans="1:8" ht="16.2" x14ac:dyDescent="0.35">
      <c r="A56" s="38"/>
      <c r="F56" s="36"/>
      <c r="H56" s="18"/>
    </row>
    <row r="57" spans="1:8" ht="15.6" thickBot="1" x14ac:dyDescent="0.4">
      <c r="A57" s="66" t="s">
        <v>23</v>
      </c>
      <c r="B57" s="64"/>
      <c r="C57" s="65">
        <f>C9</f>
        <v>0</v>
      </c>
      <c r="D57" s="217">
        <f>D9</f>
        <v>0</v>
      </c>
      <c r="E57" s="65">
        <f>E9</f>
        <v>0</v>
      </c>
      <c r="F57" s="65">
        <f>F9</f>
        <v>0</v>
      </c>
      <c r="G57" s="65">
        <f>G9</f>
        <v>0</v>
      </c>
      <c r="H57" s="18"/>
    </row>
    <row r="58" spans="1:8" ht="16.2" x14ac:dyDescent="0.35">
      <c r="F58" s="36"/>
      <c r="H58" s="18"/>
    </row>
    <row r="59" spans="1:8" x14ac:dyDescent="0.35">
      <c r="A59" s="19" t="s">
        <v>68</v>
      </c>
      <c r="C59" s="28" t="e">
        <f>SUM(PLBS!C50:C56)/PLBS!C48</f>
        <v>#DIV/0!</v>
      </c>
      <c r="D59" s="28" t="e">
        <f>SUM(PLBS!D50:D56)/PLBS!D48</f>
        <v>#DIV/0!</v>
      </c>
      <c r="E59" s="28" t="e">
        <f>SUM(PLBS!E50:E56)/PLBS!E48</f>
        <v>#DIV/0!</v>
      </c>
      <c r="F59" s="28" t="e">
        <f>SUM(PLBS!F50:F56)/PLBS!F48</f>
        <v>#DIV/0!</v>
      </c>
      <c r="G59" s="28" t="e">
        <f>SUM(PLBS!G50:G56)/PLBS!G48</f>
        <v>#DIV/0!</v>
      </c>
      <c r="H59" s="18"/>
    </row>
    <row r="60" spans="1:8" x14ac:dyDescent="0.35">
      <c r="C60" s="28"/>
      <c r="D60" s="28"/>
      <c r="E60" s="28"/>
      <c r="F60" s="28"/>
      <c r="H60" s="18"/>
    </row>
    <row r="61" spans="1:8" ht="16.8" thickBot="1" x14ac:dyDescent="0.4">
      <c r="A61" s="23" t="s">
        <v>61</v>
      </c>
      <c r="B61" s="23"/>
      <c r="C61" s="23"/>
      <c r="D61" s="23"/>
      <c r="E61" s="23"/>
      <c r="F61" s="37"/>
      <c r="G61" s="23"/>
      <c r="H61" s="18"/>
    </row>
    <row r="62" spans="1:8" ht="16.2" x14ac:dyDescent="0.35">
      <c r="F62" s="36"/>
      <c r="H62" s="18"/>
    </row>
    <row r="63" spans="1:8" x14ac:dyDescent="0.35">
      <c r="A63" s="440" t="s">
        <v>273</v>
      </c>
      <c r="B63" s="440"/>
      <c r="C63" s="440"/>
      <c r="D63" s="18"/>
      <c r="E63" s="18"/>
      <c r="F63" s="18"/>
      <c r="H63" s="18"/>
    </row>
    <row r="64" spans="1:8" x14ac:dyDescent="0.35">
      <c r="A64" s="18"/>
      <c r="B64" s="18"/>
      <c r="C64" s="18"/>
      <c r="D64" s="18"/>
      <c r="E64" s="18"/>
      <c r="F64" s="18"/>
      <c r="H64" s="18"/>
    </row>
    <row r="65" spans="1:8" ht="45.75" customHeight="1" thickBot="1" x14ac:dyDescent="0.4">
      <c r="A65" s="63" t="s">
        <v>23</v>
      </c>
      <c r="B65" s="67"/>
      <c r="C65" s="63">
        <f>C49</f>
        <v>0</v>
      </c>
      <c r="D65" s="217">
        <f>D49</f>
        <v>0</v>
      </c>
      <c r="E65" s="63">
        <f>E49</f>
        <v>0</v>
      </c>
      <c r="F65" s="63">
        <f>F49</f>
        <v>0</v>
      </c>
      <c r="G65" s="63">
        <f>G49</f>
        <v>0</v>
      </c>
      <c r="H65" s="18"/>
    </row>
    <row r="66" spans="1:8" x14ac:dyDescent="0.35">
      <c r="A66" s="18"/>
      <c r="B66" s="18"/>
      <c r="C66" s="18"/>
      <c r="D66" s="18"/>
      <c r="E66" s="18"/>
      <c r="F66" s="18"/>
      <c r="H66" s="18"/>
    </row>
    <row r="67" spans="1:8" x14ac:dyDescent="0.35">
      <c r="A67" s="19" t="s">
        <v>28</v>
      </c>
      <c r="B67" s="18"/>
      <c r="C67" s="51">
        <f>C13-C14</f>
        <v>0</v>
      </c>
      <c r="D67" s="51">
        <f>D13-D14</f>
        <v>0</v>
      </c>
      <c r="E67" s="51" t="e">
        <f>E13-E14</f>
        <v>#DIV/0!</v>
      </c>
      <c r="F67" s="51" t="e">
        <f>F13-F14</f>
        <v>#DIV/0!</v>
      </c>
      <c r="G67" s="51" t="e">
        <f>G13-G14</f>
        <v>#DIV/0!</v>
      </c>
      <c r="H67" s="18"/>
    </row>
    <row r="68" spans="1:8" x14ac:dyDescent="0.35">
      <c r="B68" s="18"/>
      <c r="C68" s="24"/>
      <c r="D68" s="24"/>
      <c r="E68" s="24"/>
      <c r="F68" s="24"/>
      <c r="H68" s="18"/>
    </row>
    <row r="69" spans="1:8" x14ac:dyDescent="0.35">
      <c r="A69" s="25" t="s">
        <v>25</v>
      </c>
      <c r="B69" s="18"/>
      <c r="C69" s="21" t="e">
        <f>PLBS!C10/RATIO!C67</f>
        <v>#DIV/0!</v>
      </c>
      <c r="D69" s="21" t="e">
        <f>PLBS!D10/RATIO!D67</f>
        <v>#DIV/0!</v>
      </c>
      <c r="E69" s="21" t="e">
        <f>PLBS!E10/RATIO!E67</f>
        <v>#DIV/0!</v>
      </c>
      <c r="F69" s="21" t="e">
        <f>PLBS!F10/RATIO!F67</f>
        <v>#DIV/0!</v>
      </c>
      <c r="G69" s="21" t="e">
        <f>PLBS!G10/RATIO!G67</f>
        <v>#DIV/0!</v>
      </c>
      <c r="H69" s="18"/>
    </row>
    <row r="70" spans="1:8" x14ac:dyDescent="0.35">
      <c r="A70" s="18"/>
      <c r="B70" s="18"/>
      <c r="C70" s="18"/>
      <c r="D70" s="18"/>
      <c r="E70" s="18"/>
      <c r="F70" s="18"/>
      <c r="H70" s="18"/>
    </row>
    <row r="71" spans="1:8" ht="15" thickBot="1" x14ac:dyDescent="0.4">
      <c r="A71" s="438" t="s">
        <v>56</v>
      </c>
      <c r="B71" s="438"/>
      <c r="C71" s="438"/>
      <c r="D71" s="438"/>
      <c r="E71" s="22"/>
      <c r="F71" s="22"/>
      <c r="G71" s="23"/>
      <c r="H71" s="18"/>
    </row>
    <row r="72" spans="1:8" x14ac:dyDescent="0.35">
      <c r="A72" s="18"/>
      <c r="B72" s="18"/>
      <c r="C72" s="18"/>
      <c r="D72" s="18"/>
      <c r="E72" s="18"/>
      <c r="F72" s="18"/>
      <c r="H72" s="18"/>
    </row>
    <row r="73" spans="1:8" x14ac:dyDescent="0.35">
      <c r="A73" s="302" t="s">
        <v>274</v>
      </c>
      <c r="B73" s="18"/>
      <c r="C73" s="18"/>
      <c r="D73" s="18"/>
      <c r="E73" s="18"/>
      <c r="F73" s="18"/>
      <c r="G73" s="18"/>
      <c r="H73" s="18"/>
    </row>
    <row r="74" spans="1:8" x14ac:dyDescent="0.35">
      <c r="A74" s="47"/>
      <c r="H74" s="18"/>
    </row>
    <row r="75" spans="1:8" ht="48" customHeight="1" thickBot="1" x14ac:dyDescent="0.4">
      <c r="A75" s="66" t="s">
        <v>23</v>
      </c>
      <c r="B75" s="68"/>
      <c r="C75" s="65">
        <f>C65</f>
        <v>0</v>
      </c>
      <c r="D75" s="217">
        <f>D65</f>
        <v>0</v>
      </c>
      <c r="E75" s="65">
        <f>E65</f>
        <v>0</v>
      </c>
      <c r="F75" s="65">
        <f>F65</f>
        <v>0</v>
      </c>
      <c r="G75" s="65">
        <f>G65</f>
        <v>0</v>
      </c>
      <c r="H75" s="18"/>
    </row>
    <row r="76" spans="1:8" ht="15" x14ac:dyDescent="0.35">
      <c r="A76" s="26"/>
      <c r="C76" s="27"/>
      <c r="D76" s="27"/>
      <c r="E76" s="27"/>
      <c r="F76" s="27"/>
    </row>
    <row r="77" spans="1:8" x14ac:dyDescent="0.35">
      <c r="A77" s="49" t="s">
        <v>11</v>
      </c>
      <c r="C77" s="34">
        <f>PLBS!C19</f>
        <v>0</v>
      </c>
      <c r="D77" s="34">
        <f>PLBS!D19</f>
        <v>0</v>
      </c>
      <c r="E77" s="34" t="e">
        <f>PLBS!E19</f>
        <v>#DIV/0!</v>
      </c>
      <c r="F77" s="34" t="e">
        <f>PLBS!F19</f>
        <v>#DIV/0!</v>
      </c>
      <c r="G77" s="34" t="e">
        <f>PLBS!G19</f>
        <v>#DIV/0!</v>
      </c>
    </row>
    <row r="78" spans="1:8" x14ac:dyDescent="0.35">
      <c r="A78" s="19" t="s">
        <v>12</v>
      </c>
      <c r="C78" s="19">
        <f>(PLBS!C16+PLBS!C18)/2</f>
        <v>0</v>
      </c>
      <c r="D78" s="19">
        <f>(PLBS!D16+PLBS!D18)/2</f>
        <v>0</v>
      </c>
      <c r="E78" s="19">
        <f>(PLBS!E16+PLBS!E18)/2</f>
        <v>0</v>
      </c>
      <c r="F78" s="19">
        <f>(PLBS!F16+PLBS!F18)/2</f>
        <v>0</v>
      </c>
      <c r="G78" s="19">
        <f>(PLBS!G16+PLBS!G18)/2</f>
        <v>0</v>
      </c>
    </row>
    <row r="79" spans="1:8" x14ac:dyDescent="0.35">
      <c r="A79" s="19" t="s">
        <v>31</v>
      </c>
      <c r="C79" s="28" t="e">
        <f>C77/C78</f>
        <v>#DIV/0!</v>
      </c>
      <c r="D79" s="28" t="e">
        <f>D77/D78</f>
        <v>#DIV/0!</v>
      </c>
      <c r="E79" s="28" t="e">
        <f>E77/E78</f>
        <v>#DIV/0!</v>
      </c>
      <c r="F79" s="28" t="e">
        <f>F77/F78</f>
        <v>#DIV/0!</v>
      </c>
      <c r="G79" s="28" t="e">
        <f>G77/G78</f>
        <v>#DIV/0!</v>
      </c>
    </row>
    <row r="80" spans="1:8" ht="6.75" customHeight="1" x14ac:dyDescent="0.35"/>
    <row r="81" spans="1:12" ht="14.25" customHeight="1" x14ac:dyDescent="0.35">
      <c r="A81" s="19" t="s">
        <v>57</v>
      </c>
    </row>
    <row r="82" spans="1:12" x14ac:dyDescent="0.35">
      <c r="A82" s="19" t="s">
        <v>16</v>
      </c>
    </row>
    <row r="83" spans="1:12" ht="15" thickBot="1" x14ac:dyDescent="0.4">
      <c r="A83" s="434" t="s">
        <v>13</v>
      </c>
      <c r="B83" s="434"/>
      <c r="C83" s="434"/>
      <c r="D83" s="434"/>
      <c r="E83" s="434"/>
      <c r="F83" s="434"/>
      <c r="G83" s="23"/>
    </row>
    <row r="86" spans="1:12" ht="14.25" customHeight="1" x14ac:dyDescent="0.35">
      <c r="A86" s="301" t="s">
        <v>275</v>
      </c>
    </row>
    <row r="87" spans="1:12" x14ac:dyDescent="0.35">
      <c r="F87" s="439" t="s">
        <v>29</v>
      </c>
      <c r="G87" s="439"/>
    </row>
    <row r="88" spans="1:12" ht="15" thickBot="1" x14ac:dyDescent="0.4">
      <c r="A88" s="63" t="s">
        <v>24</v>
      </c>
      <c r="B88" s="64"/>
      <c r="C88" s="217">
        <f>wp!C6</f>
        <v>0</v>
      </c>
      <c r="D88" s="217">
        <f>wp!D6</f>
        <v>0</v>
      </c>
      <c r="E88" s="65">
        <f>wp!E6</f>
        <v>0</v>
      </c>
      <c r="F88" s="65">
        <f>wp!F6</f>
        <v>0</v>
      </c>
      <c r="G88" s="65">
        <f>wp!G6</f>
        <v>0</v>
      </c>
    </row>
    <row r="90" spans="1:12" ht="15" x14ac:dyDescent="0.35">
      <c r="A90" s="19" t="s">
        <v>35</v>
      </c>
      <c r="C90" s="28" t="e">
        <f>C92/C93</f>
        <v>#DIV/0!</v>
      </c>
      <c r="D90" s="28" t="e">
        <f>D92/D93</f>
        <v>#DIV/0!</v>
      </c>
      <c r="E90" s="28" t="e">
        <f>E92/E93</f>
        <v>#DIV/0!</v>
      </c>
      <c r="F90" s="28" t="e">
        <f>F92/F93</f>
        <v>#DIV/0!</v>
      </c>
      <c r="G90" s="28" t="e">
        <f>G92/G93</f>
        <v>#DIV/0!</v>
      </c>
      <c r="K90" s="30"/>
      <c r="L90" s="30"/>
    </row>
    <row r="91" spans="1:12" x14ac:dyDescent="0.35">
      <c r="C91" s="28"/>
      <c r="D91" s="28"/>
      <c r="E91" s="28"/>
      <c r="F91" s="28"/>
      <c r="G91" s="28"/>
    </row>
    <row r="92" spans="1:12" x14ac:dyDescent="0.35">
      <c r="A92" s="19" t="s">
        <v>34</v>
      </c>
      <c r="C92" s="34">
        <f>PLBS!C31</f>
        <v>0</v>
      </c>
      <c r="D92" s="34">
        <f>PLBS!D31</f>
        <v>0</v>
      </c>
      <c r="E92" s="34" t="e">
        <f>PLBS!E31</f>
        <v>#DIV/0!</v>
      </c>
      <c r="F92" s="34" t="e">
        <f>PLBS!F31</f>
        <v>#DIV/0!</v>
      </c>
      <c r="G92" s="34" t="e">
        <f>PLBS!G31</f>
        <v>#DIV/0!</v>
      </c>
    </row>
    <row r="93" spans="1:12" ht="24.75" customHeight="1" x14ac:dyDescent="0.35">
      <c r="A93" s="19" t="s">
        <v>5</v>
      </c>
      <c r="C93" s="34">
        <f>PLBS!C95</f>
        <v>0</v>
      </c>
      <c r="D93" s="34">
        <f>PLBS!D95</f>
        <v>0</v>
      </c>
      <c r="E93" s="34" t="e">
        <f>PLBS!E95</f>
        <v>#DIV/0!</v>
      </c>
      <c r="F93" s="34">
        <f>PLBS!F95</f>
        <v>0</v>
      </c>
      <c r="G93" s="34">
        <f>PLBS!G95</f>
        <v>0</v>
      </c>
    </row>
    <row r="94" spans="1:12" x14ac:dyDescent="0.35">
      <c r="C94" s="28"/>
      <c r="D94" s="28"/>
      <c r="E94" s="28"/>
      <c r="F94" s="28"/>
    </row>
    <row r="95" spans="1:12" ht="15" thickBot="1" x14ac:dyDescent="0.4">
      <c r="A95" s="23" t="s">
        <v>63</v>
      </c>
      <c r="B95" s="23"/>
      <c r="C95" s="23"/>
      <c r="D95" s="23"/>
      <c r="E95" s="23"/>
      <c r="F95" s="23"/>
      <c r="G95" s="23"/>
    </row>
    <row r="96" spans="1:12" x14ac:dyDescent="0.35">
      <c r="A96" s="18"/>
      <c r="B96" s="18"/>
      <c r="C96" s="18"/>
      <c r="D96" s="18"/>
      <c r="E96" s="18"/>
      <c r="F96" s="18"/>
      <c r="G96" s="18"/>
    </row>
    <row r="97" spans="1:8" x14ac:dyDescent="0.35">
      <c r="A97" s="444" t="s">
        <v>276</v>
      </c>
      <c r="B97" s="444"/>
      <c r="C97" s="18"/>
      <c r="D97" s="18"/>
      <c r="E97" s="18"/>
      <c r="F97" s="18"/>
    </row>
    <row r="98" spans="1:8" ht="10.5" customHeight="1" x14ac:dyDescent="0.35">
      <c r="A98" s="18"/>
      <c r="B98" s="18"/>
      <c r="C98" s="18"/>
      <c r="D98" s="18"/>
      <c r="E98" s="18"/>
      <c r="F98" s="18"/>
    </row>
    <row r="99" spans="1:8" ht="48.75" customHeight="1" thickBot="1" x14ac:dyDescent="0.4">
      <c r="A99" s="63" t="s">
        <v>23</v>
      </c>
      <c r="B99" s="63"/>
      <c r="C99" s="63">
        <f>C19</f>
        <v>0</v>
      </c>
      <c r="D99" s="217">
        <f>D19</f>
        <v>0</v>
      </c>
      <c r="E99" s="63">
        <f>E19</f>
        <v>0</v>
      </c>
      <c r="F99" s="63">
        <f>F19</f>
        <v>0</v>
      </c>
      <c r="G99" s="63">
        <f>G19</f>
        <v>0</v>
      </c>
    </row>
    <row r="100" spans="1:8" ht="16.5" customHeight="1" x14ac:dyDescent="0.35">
      <c r="A100" s="18"/>
      <c r="B100" s="18"/>
      <c r="C100" s="18"/>
      <c r="D100" s="18"/>
      <c r="E100" s="18"/>
      <c r="F100" s="18"/>
    </row>
    <row r="101" spans="1:8" x14ac:dyDescent="0.35">
      <c r="A101" s="435" t="s">
        <v>30</v>
      </c>
      <c r="B101" s="18"/>
      <c r="C101" s="21" t="e">
        <f>PLBS!C12/SUM(PLBS!C48:C52)</f>
        <v>#DIV/0!</v>
      </c>
      <c r="D101" s="21" t="e">
        <f>PLBS!D12/SUM(PLBS!D48:D52)</f>
        <v>#DIV/0!</v>
      </c>
      <c r="E101" s="21" t="e">
        <f>PLBS!E12/SUM(PLBS!E48:E52)</f>
        <v>#DIV/0!</v>
      </c>
      <c r="F101" s="21" t="e">
        <f>PLBS!F12/SUM(PLBS!F48:F52)</f>
        <v>#DIV/0!</v>
      </c>
      <c r="G101" s="21" t="e">
        <f>PLBS!G12/SUM(PLBS!G48:G52)</f>
        <v>#DIV/0!</v>
      </c>
    </row>
    <row r="102" spans="1:8" x14ac:dyDescent="0.35">
      <c r="A102" s="435"/>
      <c r="B102" s="18"/>
      <c r="C102" s="18"/>
      <c r="D102" s="18"/>
      <c r="E102" s="18"/>
      <c r="F102" s="18"/>
    </row>
    <row r="103" spans="1:8" x14ac:dyDescent="0.35">
      <c r="A103" s="20"/>
      <c r="B103" s="18"/>
      <c r="C103" s="18"/>
      <c r="D103" s="18"/>
      <c r="E103" s="18"/>
      <c r="F103" s="18"/>
    </row>
    <row r="104" spans="1:8" ht="15" thickBot="1" x14ac:dyDescent="0.4">
      <c r="A104" s="434" t="s">
        <v>55</v>
      </c>
      <c r="B104" s="434"/>
      <c r="C104" s="434"/>
      <c r="D104" s="434"/>
      <c r="E104" s="22"/>
      <c r="F104" s="22"/>
      <c r="G104" s="23"/>
    </row>
    <row r="105" spans="1:8" x14ac:dyDescent="0.35">
      <c r="E105" s="18"/>
      <c r="F105" s="18"/>
    </row>
    <row r="106" spans="1:8" ht="15.75" customHeight="1" x14ac:dyDescent="0.35">
      <c r="H106" s="39"/>
    </row>
    <row r="107" spans="1:8" x14ac:dyDescent="0.35">
      <c r="A107" s="48" t="s">
        <v>277</v>
      </c>
    </row>
    <row r="108" spans="1:8" ht="12" customHeight="1" x14ac:dyDescent="0.35"/>
    <row r="109" spans="1:8" ht="51" customHeight="1" thickBot="1" x14ac:dyDescent="0.4">
      <c r="A109" s="63" t="s">
        <v>23</v>
      </c>
      <c r="B109" s="64"/>
      <c r="C109" s="65">
        <f>C57</f>
        <v>0</v>
      </c>
      <c r="D109" s="217">
        <f>D57</f>
        <v>0</v>
      </c>
      <c r="E109" s="65">
        <f>E57</f>
        <v>0</v>
      </c>
      <c r="F109" s="65">
        <f>F57</f>
        <v>0</v>
      </c>
      <c r="G109" s="65">
        <f>G57</f>
        <v>0</v>
      </c>
    </row>
    <row r="111" spans="1:8" x14ac:dyDescent="0.35">
      <c r="A111" s="19" t="s">
        <v>32</v>
      </c>
      <c r="C111" s="28" t="e">
        <f>PLBS!C35/SUM(PLBS!C48:C52)</f>
        <v>#DIV/0!</v>
      </c>
      <c r="D111" s="28" t="e">
        <f>PLBS!D35/SUM(PLBS!D48:D52)</f>
        <v>#DIV/0!</v>
      </c>
      <c r="E111" s="28" t="e">
        <f>PLBS!E35/SUM(PLBS!E48:E52)</f>
        <v>#DIV/0!</v>
      </c>
      <c r="F111" s="28" t="e">
        <f>PLBS!F35/SUM(PLBS!F48:F52)</f>
        <v>#DIV/0!</v>
      </c>
      <c r="G111" s="28" t="e">
        <f>PLBS!G35/SUM(PLBS!G48:G52)</f>
        <v>#DIV/0!</v>
      </c>
    </row>
    <row r="113" spans="1:7" ht="15" thickBot="1" x14ac:dyDescent="0.4">
      <c r="A113" s="23" t="s">
        <v>62</v>
      </c>
      <c r="B113" s="23"/>
      <c r="C113" s="23"/>
      <c r="D113" s="23"/>
      <c r="E113" s="23"/>
      <c r="F113" s="23"/>
      <c r="G113" s="23"/>
    </row>
    <row r="114" spans="1:7" ht="16.2" x14ac:dyDescent="0.35">
      <c r="F114" s="36"/>
    </row>
  </sheetData>
  <mergeCells count="15">
    <mergeCell ref="A104:D104"/>
    <mergeCell ref="A101:A102"/>
    <mergeCell ref="A1:G1"/>
    <mergeCell ref="A2:G2"/>
    <mergeCell ref="A3:G3"/>
    <mergeCell ref="A5:G5"/>
    <mergeCell ref="A71:D71"/>
    <mergeCell ref="F87:G87"/>
    <mergeCell ref="A63:C63"/>
    <mergeCell ref="E8:G8"/>
    <mergeCell ref="A83:F83"/>
    <mergeCell ref="A24:J24"/>
    <mergeCell ref="A22:B22"/>
    <mergeCell ref="A97:B97"/>
    <mergeCell ref="A28:B28"/>
  </mergeCells>
  <phoneticPr fontId="2" type="noConversion"/>
  <pageMargins left="0.15748031496062992" right="0.23622047244094491" top="0.62992125984251968" bottom="0.31496062992125984" header="0.51181102362204722" footer="0.19685039370078741"/>
  <pageSetup orientation="portrait" r:id="rId1"/>
  <headerFooter alignWithMargins="0"/>
  <rowBreaks count="2" manualBreakCount="2">
    <brk id="44" max="6" man="1"/>
    <brk id="84" max="6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8"/>
  <sheetViews>
    <sheetView view="pageBreakPreview" topLeftCell="A40" zoomScale="93" zoomScaleSheetLayoutView="93" workbookViewId="0">
      <selection activeCell="B22" sqref="B22"/>
    </sheetView>
  </sheetViews>
  <sheetFormatPr defaultColWidth="9.21875" defaultRowHeight="14.4" x14ac:dyDescent="0.3"/>
  <cols>
    <col min="1" max="1" width="44.44140625" style="40" customWidth="1"/>
    <col min="2" max="2" width="14.77734375" style="40" customWidth="1"/>
    <col min="3" max="4" width="14.21875" style="40" customWidth="1"/>
    <col min="5" max="16384" width="9.21875" style="40"/>
  </cols>
  <sheetData>
    <row r="1" spans="1:4" x14ac:dyDescent="0.3">
      <c r="A1" s="436">
        <f>Assumptions.1!I3</f>
        <v>0</v>
      </c>
      <c r="B1" s="436"/>
      <c r="C1" s="436"/>
      <c r="D1" s="436"/>
    </row>
    <row r="2" spans="1:4" x14ac:dyDescent="0.3">
      <c r="A2" s="436">
        <f>Assumptions.1!I5</f>
        <v>0</v>
      </c>
      <c r="B2" s="436"/>
      <c r="C2" s="436"/>
      <c r="D2" s="436"/>
    </row>
    <row r="3" spans="1:4" x14ac:dyDescent="0.3">
      <c r="A3" s="436">
        <f>Assumptions.1!I6</f>
        <v>0</v>
      </c>
      <c r="B3" s="436"/>
      <c r="C3" s="436"/>
      <c r="D3" s="436"/>
    </row>
    <row r="5" spans="1:4" x14ac:dyDescent="0.3">
      <c r="A5" s="445" t="s">
        <v>51</v>
      </c>
      <c r="B5" s="445"/>
      <c r="C5" s="445"/>
      <c r="D5" s="445"/>
    </row>
    <row r="7" spans="1:4" ht="16.2" x14ac:dyDescent="0.35">
      <c r="A7" s="145" t="s">
        <v>72</v>
      </c>
    </row>
    <row r="8" spans="1:4" ht="16.5" customHeight="1" x14ac:dyDescent="0.3">
      <c r="A8" s="132" t="s">
        <v>23</v>
      </c>
      <c r="B8" s="133" t="str">
        <f>wp!E5</f>
        <v>Estimated</v>
      </c>
      <c r="C8" s="133" t="str">
        <f>wp!F5</f>
        <v>Projected</v>
      </c>
      <c r="D8" s="133" t="str">
        <f>wp!G5</f>
        <v>Projected</v>
      </c>
    </row>
    <row r="9" spans="1:4" ht="15" customHeight="1" thickBot="1" x14ac:dyDescent="0.35">
      <c r="A9" s="134"/>
      <c r="B9" s="135">
        <f>wp!E6</f>
        <v>0</v>
      </c>
      <c r="C9" s="135">
        <f>wp!F6</f>
        <v>0</v>
      </c>
      <c r="D9" s="135">
        <f>wp!G6</f>
        <v>0</v>
      </c>
    </row>
    <row r="10" spans="1:4" ht="22.5" customHeight="1" thickTop="1" x14ac:dyDescent="0.3">
      <c r="B10" s="43"/>
      <c r="C10" s="43"/>
      <c r="D10" s="43"/>
    </row>
    <row r="11" spans="1:4" ht="21" customHeight="1" x14ac:dyDescent="0.3">
      <c r="A11" s="40" t="s">
        <v>42</v>
      </c>
      <c r="B11" s="44" t="e">
        <f>SUM(PLBS!E64:E69)</f>
        <v>#DIV/0!</v>
      </c>
      <c r="C11" s="44" t="e">
        <f>SUM(PLBS!F64:F69)</f>
        <v>#DIV/0!</v>
      </c>
      <c r="D11" s="44" t="e">
        <f>SUM(PLBS!G64:G69)</f>
        <v>#DIV/0!</v>
      </c>
    </row>
    <row r="12" spans="1:4" ht="21" customHeight="1" x14ac:dyDescent="0.3">
      <c r="B12" s="44"/>
      <c r="C12" s="44"/>
      <c r="D12" s="44"/>
    </row>
    <row r="13" spans="1:4" ht="19.5" customHeight="1" x14ac:dyDescent="0.3">
      <c r="A13" s="40" t="s">
        <v>43</v>
      </c>
      <c r="B13" s="44" t="e">
        <f>RATIO!E14-PLBS!E54</f>
        <v>#DIV/0!</v>
      </c>
      <c r="C13" s="44" t="e">
        <f>RATIO!F14-PLBS!F54</f>
        <v>#DIV/0!</v>
      </c>
      <c r="D13" s="44" t="e">
        <f>RATIO!G14-PLBS!G54</f>
        <v>#DIV/0!</v>
      </c>
    </row>
    <row r="14" spans="1:4" ht="17.25" customHeight="1" x14ac:dyDescent="0.3">
      <c r="A14" s="40" t="s">
        <v>44</v>
      </c>
    </row>
    <row r="15" spans="1:4" ht="17.25" customHeight="1" x14ac:dyDescent="0.3"/>
    <row r="16" spans="1:4" ht="19.5" customHeight="1" x14ac:dyDescent="0.3">
      <c r="A16" s="40" t="s">
        <v>45</v>
      </c>
      <c r="B16" s="44" t="e">
        <f>+B11-B13</f>
        <v>#DIV/0!</v>
      </c>
      <c r="C16" s="44" t="e">
        <f>+C11-C13</f>
        <v>#DIV/0!</v>
      </c>
      <c r="D16" s="44" t="e">
        <f>+D11-D13</f>
        <v>#DIV/0!</v>
      </c>
    </row>
    <row r="17" spans="1:4" ht="19.5" customHeight="1" x14ac:dyDescent="0.3">
      <c r="B17" s="44"/>
      <c r="C17" s="44"/>
      <c r="D17" s="44"/>
    </row>
    <row r="18" spans="1:4" ht="19.5" customHeight="1" x14ac:dyDescent="0.3">
      <c r="A18" s="40" t="s">
        <v>52</v>
      </c>
    </row>
    <row r="19" spans="1:4" ht="16.5" customHeight="1" x14ac:dyDescent="0.3">
      <c r="A19" s="40" t="s">
        <v>53</v>
      </c>
      <c r="B19" s="44" t="e">
        <f>+B16*0.25</f>
        <v>#DIV/0!</v>
      </c>
      <c r="C19" s="44" t="e">
        <f>+C16*0.25</f>
        <v>#DIV/0!</v>
      </c>
      <c r="D19" s="44" t="e">
        <f>+D16*0.25</f>
        <v>#DIV/0!</v>
      </c>
    </row>
    <row r="20" spans="1:4" ht="18.75" customHeight="1" x14ac:dyDescent="0.3">
      <c r="A20" s="40" t="s">
        <v>54</v>
      </c>
    </row>
    <row r="22" spans="1:4" x14ac:dyDescent="0.3">
      <c r="A22" s="40" t="s">
        <v>46</v>
      </c>
      <c r="B22" s="44" t="e">
        <f>RATIO!E15</f>
        <v>#DIV/0!</v>
      </c>
      <c r="C22" s="44" t="e">
        <f>RATIO!F15</f>
        <v>#DIV/0!</v>
      </c>
      <c r="D22" s="44" t="e">
        <f>RATIO!G15</f>
        <v>#DIV/0!</v>
      </c>
    </row>
    <row r="23" spans="1:4" x14ac:dyDescent="0.3">
      <c r="B23" s="44"/>
      <c r="C23" s="44"/>
      <c r="D23" s="44"/>
    </row>
    <row r="24" spans="1:4" x14ac:dyDescent="0.3">
      <c r="A24" s="40" t="s">
        <v>47</v>
      </c>
      <c r="B24" s="44" t="e">
        <f>+B16-B19</f>
        <v>#DIV/0!</v>
      </c>
      <c r="C24" s="44" t="e">
        <f>+C16-C19</f>
        <v>#DIV/0!</v>
      </c>
      <c r="D24" s="44" t="e">
        <f>+D16-D19</f>
        <v>#DIV/0!</v>
      </c>
    </row>
    <row r="25" spans="1:4" x14ac:dyDescent="0.3">
      <c r="B25" s="44"/>
      <c r="C25" s="44"/>
      <c r="D25" s="44"/>
    </row>
    <row r="26" spans="1:4" x14ac:dyDescent="0.3">
      <c r="A26" s="40" t="s">
        <v>48</v>
      </c>
      <c r="B26" s="44" t="e">
        <f>B16-B22</f>
        <v>#DIV/0!</v>
      </c>
      <c r="C26" s="44" t="e">
        <f>C16-C22</f>
        <v>#DIV/0!</v>
      </c>
      <c r="D26" s="44" t="e">
        <f>D16-D22</f>
        <v>#DIV/0!</v>
      </c>
    </row>
    <row r="27" spans="1:4" x14ac:dyDescent="0.3">
      <c r="B27" s="44"/>
      <c r="C27" s="44"/>
      <c r="D27" s="44"/>
    </row>
    <row r="28" spans="1:4" x14ac:dyDescent="0.3">
      <c r="A28" s="41" t="s">
        <v>49</v>
      </c>
      <c r="B28" s="69" t="e">
        <f>IF(B24&lt;B26,B24,B26)</f>
        <v>#DIV/0!</v>
      </c>
      <c r="C28" s="69" t="e">
        <f>IF(C24&lt;C26,C24,C26)</f>
        <v>#DIV/0!</v>
      </c>
      <c r="D28" s="69" t="e">
        <f>IF(D24&lt;D26,D24,D26)</f>
        <v>#DIV/0!</v>
      </c>
    </row>
    <row r="29" spans="1:4" x14ac:dyDescent="0.3">
      <c r="A29" s="41" t="s">
        <v>50</v>
      </c>
      <c r="B29" s="41"/>
      <c r="C29" s="41"/>
      <c r="D29" s="41"/>
    </row>
    <row r="30" spans="1:4" ht="15" thickBot="1" x14ac:dyDescent="0.35">
      <c r="A30" s="57"/>
      <c r="B30" s="57"/>
      <c r="C30" s="57"/>
      <c r="D30" s="57"/>
    </row>
    <row r="43" spans="1:4" x14ac:dyDescent="0.3">
      <c r="A43" s="445" t="str">
        <f>A5</f>
        <v>CALCULATION OF MAXIMUM PERMISSIBLE BANK FINANCE</v>
      </c>
      <c r="B43" s="445"/>
      <c r="C43" s="445"/>
      <c r="D43" s="445"/>
    </row>
    <row r="45" spans="1:4" ht="16.2" x14ac:dyDescent="0.35">
      <c r="A45" s="145" t="s">
        <v>73</v>
      </c>
    </row>
    <row r="46" spans="1:4" ht="16.5" customHeight="1" x14ac:dyDescent="0.3">
      <c r="A46" s="132" t="s">
        <v>23</v>
      </c>
      <c r="B46" s="133" t="str">
        <f t="shared" ref="B46:D47" si="0">B8</f>
        <v>Estimated</v>
      </c>
      <c r="C46" s="136" t="str">
        <f t="shared" si="0"/>
        <v>Projected</v>
      </c>
      <c r="D46" s="136" t="str">
        <f t="shared" si="0"/>
        <v>Projected</v>
      </c>
    </row>
    <row r="47" spans="1:4" ht="16.5" customHeight="1" thickBot="1" x14ac:dyDescent="0.35">
      <c r="A47" s="134"/>
      <c r="B47" s="135">
        <f t="shared" si="0"/>
        <v>0</v>
      </c>
      <c r="C47" s="135">
        <f t="shared" si="0"/>
        <v>0</v>
      </c>
      <c r="D47" s="135">
        <f t="shared" si="0"/>
        <v>0</v>
      </c>
    </row>
    <row r="48" spans="1:4" ht="15" thickTop="1" x14ac:dyDescent="0.3">
      <c r="B48" s="43"/>
      <c r="C48" s="43"/>
      <c r="D48" s="43"/>
    </row>
    <row r="49" spans="1:4" x14ac:dyDescent="0.3">
      <c r="A49" s="40" t="s">
        <v>42</v>
      </c>
      <c r="B49" s="44" t="e">
        <f>B11</f>
        <v>#DIV/0!</v>
      </c>
      <c r="C49" s="44" t="e">
        <f>C11</f>
        <v>#DIV/0!</v>
      </c>
      <c r="D49" s="44" t="e">
        <f>D11</f>
        <v>#DIV/0!</v>
      </c>
    </row>
    <row r="50" spans="1:4" x14ac:dyDescent="0.3">
      <c r="B50" s="44"/>
      <c r="C50" s="44"/>
      <c r="D50" s="44"/>
    </row>
    <row r="51" spans="1:4" x14ac:dyDescent="0.3">
      <c r="A51" s="40" t="s">
        <v>43</v>
      </c>
      <c r="B51" s="44" t="e">
        <f>B13</f>
        <v>#DIV/0!</v>
      </c>
      <c r="C51" s="44" t="e">
        <f>C13</f>
        <v>#DIV/0!</v>
      </c>
      <c r="D51" s="44" t="e">
        <f>D13</f>
        <v>#DIV/0!</v>
      </c>
    </row>
    <row r="52" spans="1:4" x14ac:dyDescent="0.3">
      <c r="A52" s="40" t="s">
        <v>44</v>
      </c>
    </row>
    <row r="54" spans="1:4" x14ac:dyDescent="0.3">
      <c r="A54" s="40" t="s">
        <v>45</v>
      </c>
      <c r="B54" s="44" t="e">
        <f>+B49-B51</f>
        <v>#DIV/0!</v>
      </c>
      <c r="C54" s="44" t="e">
        <f>+C49-C51</f>
        <v>#DIV/0!</v>
      </c>
      <c r="D54" s="44" t="e">
        <f>+D49-D51</f>
        <v>#DIV/0!</v>
      </c>
    </row>
    <row r="55" spans="1:4" x14ac:dyDescent="0.3">
      <c r="B55" s="44"/>
      <c r="C55" s="44"/>
      <c r="D55" s="44"/>
    </row>
    <row r="56" spans="1:4" x14ac:dyDescent="0.3">
      <c r="A56" s="40" t="s">
        <v>52</v>
      </c>
    </row>
    <row r="57" spans="1:4" x14ac:dyDescent="0.3">
      <c r="A57" s="40" t="s">
        <v>71</v>
      </c>
      <c r="B57" s="44" t="e">
        <f>25/100*B49</f>
        <v>#DIV/0!</v>
      </c>
      <c r="C57" s="44" t="e">
        <f>25/100*C49</f>
        <v>#DIV/0!</v>
      </c>
      <c r="D57" s="44" t="e">
        <f>25/100*D49</f>
        <v>#DIV/0!</v>
      </c>
    </row>
    <row r="59" spans="1:4" x14ac:dyDescent="0.3">
      <c r="A59" s="40" t="s">
        <v>46</v>
      </c>
      <c r="B59" s="44" t="e">
        <f>B22</f>
        <v>#DIV/0!</v>
      </c>
      <c r="C59" s="44" t="e">
        <f>C22</f>
        <v>#DIV/0!</v>
      </c>
      <c r="D59" s="44" t="e">
        <f>D22</f>
        <v>#DIV/0!</v>
      </c>
    </row>
    <row r="60" spans="1:4" x14ac:dyDescent="0.3">
      <c r="B60" s="44"/>
      <c r="C60" s="44"/>
      <c r="D60" s="44"/>
    </row>
    <row r="61" spans="1:4" x14ac:dyDescent="0.3">
      <c r="A61" s="40" t="s">
        <v>47</v>
      </c>
      <c r="B61" s="44" t="e">
        <f>+B54-B57</f>
        <v>#DIV/0!</v>
      </c>
      <c r="C61" s="44" t="e">
        <f>+C54-C57</f>
        <v>#DIV/0!</v>
      </c>
      <c r="D61" s="44" t="e">
        <f>+D54-D57</f>
        <v>#DIV/0!</v>
      </c>
    </row>
    <row r="62" spans="1:4" x14ac:dyDescent="0.3">
      <c r="B62" s="44"/>
      <c r="C62" s="44"/>
      <c r="D62" s="44"/>
    </row>
    <row r="63" spans="1:4" x14ac:dyDescent="0.3">
      <c r="A63" s="40" t="s">
        <v>48</v>
      </c>
      <c r="B63" s="44" t="e">
        <f>B54-B59</f>
        <v>#DIV/0!</v>
      </c>
      <c r="C63" s="44" t="e">
        <f>C54-C59</f>
        <v>#DIV/0!</v>
      </c>
      <c r="D63" s="44" t="e">
        <f>D54-D59</f>
        <v>#DIV/0!</v>
      </c>
    </row>
    <row r="64" spans="1:4" x14ac:dyDescent="0.3">
      <c r="B64" s="44"/>
      <c r="C64" s="44"/>
      <c r="D64" s="44"/>
    </row>
    <row r="65" spans="1:4" x14ac:dyDescent="0.3">
      <c r="A65" s="41" t="s">
        <v>49</v>
      </c>
      <c r="B65" s="69" t="e">
        <f>IF(B61&lt;B63,B61,B63)</f>
        <v>#DIV/0!</v>
      </c>
      <c r="C65" s="69" t="e">
        <f>IF(C61&lt;C63,C61,C63)</f>
        <v>#DIV/0!</v>
      </c>
      <c r="D65" s="69" t="e">
        <f>IF(D61&lt;D63,D61,D63)</f>
        <v>#DIV/0!</v>
      </c>
    </row>
    <row r="66" spans="1:4" x14ac:dyDescent="0.3">
      <c r="A66" s="41" t="s">
        <v>50</v>
      </c>
      <c r="B66" s="41"/>
      <c r="C66" s="41"/>
      <c r="D66" s="41"/>
    </row>
    <row r="68" spans="1:4" ht="15" thickBot="1" x14ac:dyDescent="0.35">
      <c r="A68" s="57"/>
      <c r="B68" s="57"/>
      <c r="C68" s="57"/>
      <c r="D68" s="57"/>
    </row>
  </sheetData>
  <mergeCells count="5">
    <mergeCell ref="A1:D1"/>
    <mergeCell ref="A2:D2"/>
    <mergeCell ref="A3:D3"/>
    <mergeCell ref="A5:D5"/>
    <mergeCell ref="A43:D43"/>
  </mergeCells>
  <pageMargins left="0.39370078740157483" right="0.15748031496062992" top="0.27559055118110237" bottom="0.27559055118110237" header="0.19685039370078741" footer="0.15748031496062992"/>
  <pageSetup scale="11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9"/>
  <sheetViews>
    <sheetView workbookViewId="0">
      <selection activeCell="A16" sqref="A16"/>
    </sheetView>
  </sheetViews>
  <sheetFormatPr defaultColWidth="9.21875" defaultRowHeight="14.4" x14ac:dyDescent="0.3"/>
  <cols>
    <col min="1" max="1" width="36" style="40" customWidth="1"/>
    <col min="2" max="2" width="8.21875" style="40" customWidth="1"/>
    <col min="3" max="3" width="12.5546875" style="40" customWidth="1"/>
    <col min="4" max="5" width="11.21875" style="40" bestFit="1" customWidth="1"/>
    <col min="6" max="16384" width="9.21875" style="40"/>
  </cols>
  <sheetData>
    <row r="1" spans="1:5" ht="7.5" customHeight="1" x14ac:dyDescent="0.3"/>
    <row r="2" spans="1:5" ht="20.25" customHeight="1" x14ac:dyDescent="0.3">
      <c r="A2" s="436">
        <f>Assumptions.1!I3</f>
        <v>0</v>
      </c>
      <c r="B2" s="436"/>
      <c r="C2" s="436"/>
      <c r="D2" s="436"/>
      <c r="E2" s="436"/>
    </row>
    <row r="3" spans="1:5" ht="18.75" customHeight="1" x14ac:dyDescent="0.3">
      <c r="A3" s="436">
        <f>Assumptions.1!I5</f>
        <v>0</v>
      </c>
      <c r="B3" s="436"/>
      <c r="C3" s="436"/>
      <c r="D3" s="436"/>
      <c r="E3" s="436"/>
    </row>
    <row r="4" spans="1:5" ht="21.75" customHeight="1" x14ac:dyDescent="0.3">
      <c r="A4" s="436">
        <f>Assumptions.1!I6</f>
        <v>0</v>
      </c>
      <c r="B4" s="436"/>
      <c r="C4" s="436"/>
      <c r="D4" s="436"/>
      <c r="E4" s="436"/>
    </row>
    <row r="6" spans="1:5" ht="18.75" customHeight="1" x14ac:dyDescent="0.3">
      <c r="A6" s="445" t="s">
        <v>82</v>
      </c>
      <c r="B6" s="445"/>
      <c r="C6" s="445"/>
      <c r="D6" s="445"/>
      <c r="E6" s="445"/>
    </row>
    <row r="7" spans="1:5" x14ac:dyDescent="0.3">
      <c r="A7" s="41"/>
      <c r="B7" s="41"/>
    </row>
    <row r="8" spans="1:5" x14ac:dyDescent="0.3">
      <c r="A8" s="436" t="s">
        <v>83</v>
      </c>
      <c r="B8" s="436"/>
      <c r="C8" s="436"/>
      <c r="D8" s="436"/>
      <c r="E8" s="436"/>
    </row>
    <row r="10" spans="1:5" ht="20.25" customHeight="1" x14ac:dyDescent="0.3">
      <c r="A10" s="132" t="s">
        <v>0</v>
      </c>
      <c r="B10" s="136"/>
      <c r="C10" s="133" t="str">
        <f>'MPBF '!B8</f>
        <v>Estimated</v>
      </c>
      <c r="D10" s="133" t="str">
        <f>'MPBF '!C8</f>
        <v>Projected</v>
      </c>
      <c r="E10" s="133" t="str">
        <f>'MPBF '!D8</f>
        <v>Projected</v>
      </c>
    </row>
    <row r="11" spans="1:5" ht="17.25" customHeight="1" thickBot="1" x14ac:dyDescent="0.35">
      <c r="A11" s="134"/>
      <c r="B11" s="135"/>
      <c r="C11" s="135">
        <f>'MPBF '!B9</f>
        <v>0</v>
      </c>
      <c r="D11" s="135">
        <f>'MPBF '!C9</f>
        <v>0</v>
      </c>
      <c r="E11" s="135">
        <f>'MPBF '!D9</f>
        <v>0</v>
      </c>
    </row>
    <row r="12" spans="1:5" ht="15" thickTop="1" x14ac:dyDescent="0.3"/>
    <row r="13" spans="1:5" x14ac:dyDescent="0.3">
      <c r="A13" s="40" t="s">
        <v>41</v>
      </c>
      <c r="B13" s="44"/>
      <c r="C13" s="44" t="e">
        <f>PLBS!E12</f>
        <v>#DIV/0!</v>
      </c>
      <c r="D13" s="44" t="e">
        <f>PLBS!F12</f>
        <v>#DIV/0!</v>
      </c>
      <c r="E13" s="44" t="e">
        <f>PLBS!G12</f>
        <v>#DIV/0!</v>
      </c>
    </row>
    <row r="14" spans="1:5" x14ac:dyDescent="0.3">
      <c r="B14" s="44"/>
    </row>
    <row r="15" spans="1:5" x14ac:dyDescent="0.3">
      <c r="A15" s="40" t="s">
        <v>282</v>
      </c>
      <c r="B15" s="44"/>
      <c r="C15" s="44" t="e">
        <f>C13*25/100</f>
        <v>#DIV/0!</v>
      </c>
      <c r="D15" s="44" t="e">
        <f>D13*25/100</f>
        <v>#DIV/0!</v>
      </c>
      <c r="E15" s="44" t="e">
        <f>E13*25/100</f>
        <v>#DIV/0!</v>
      </c>
    </row>
    <row r="16" spans="1:5" x14ac:dyDescent="0.3">
      <c r="A16" s="40" t="s">
        <v>84</v>
      </c>
      <c r="B16" s="44"/>
    </row>
    <row r="17" spans="1:5" x14ac:dyDescent="0.3">
      <c r="B17" s="44"/>
    </row>
    <row r="18" spans="1:5" x14ac:dyDescent="0.3">
      <c r="A18" s="40" t="s">
        <v>283</v>
      </c>
      <c r="B18" s="44"/>
      <c r="C18" s="44" t="e">
        <f>C15*80/100</f>
        <v>#DIV/0!</v>
      </c>
      <c r="D18" s="44" t="e">
        <f>D15*80/100</f>
        <v>#DIV/0!</v>
      </c>
      <c r="E18" s="44" t="e">
        <f>E15*80/100</f>
        <v>#DIV/0!</v>
      </c>
    </row>
    <row r="19" spans="1:5" x14ac:dyDescent="0.3">
      <c r="A19" s="40" t="s">
        <v>284</v>
      </c>
      <c r="B19" s="44"/>
    </row>
    <row r="20" spans="1:5" x14ac:dyDescent="0.3">
      <c r="B20" s="44"/>
    </row>
    <row r="21" spans="1:5" x14ac:dyDescent="0.3">
      <c r="A21" s="40" t="s">
        <v>85</v>
      </c>
      <c r="B21" s="44"/>
      <c r="C21" s="44">
        <f>Assumptions.1!I11</f>
        <v>0</v>
      </c>
      <c r="D21" s="44">
        <f>C21</f>
        <v>0</v>
      </c>
      <c r="E21" s="44">
        <f>D21</f>
        <v>0</v>
      </c>
    </row>
    <row r="22" spans="1:5" x14ac:dyDescent="0.3">
      <c r="B22" s="44"/>
    </row>
    <row r="23" spans="1:5" x14ac:dyDescent="0.3">
      <c r="A23" s="40" t="s">
        <v>86</v>
      </c>
      <c r="B23" s="44"/>
      <c r="C23" s="44" t="e">
        <f>IF(C18&lt;C21,C18,C21)</f>
        <v>#DIV/0!</v>
      </c>
      <c r="D23" s="44" t="e">
        <f>IF(D18&lt;D21,D18,D21)</f>
        <v>#DIV/0!</v>
      </c>
      <c r="E23" s="44" t="e">
        <f>IF(E18&lt;E21,E18,E21)</f>
        <v>#DIV/0!</v>
      </c>
    </row>
    <row r="24" spans="1:5" ht="15" thickBot="1" x14ac:dyDescent="0.35">
      <c r="A24" s="57"/>
      <c r="B24" s="57"/>
      <c r="C24" s="57"/>
      <c r="D24" s="57"/>
      <c r="E24" s="57"/>
    </row>
    <row r="27" spans="1:5" x14ac:dyDescent="0.3">
      <c r="A27" s="41" t="s">
        <v>87</v>
      </c>
    </row>
    <row r="28" spans="1:5" x14ac:dyDescent="0.3">
      <c r="A28" s="40" t="s">
        <v>88</v>
      </c>
    </row>
    <row r="29" spans="1:5" x14ac:dyDescent="0.3">
      <c r="A29" s="40" t="s">
        <v>89</v>
      </c>
    </row>
  </sheetData>
  <mergeCells count="5">
    <mergeCell ref="A3:E3"/>
    <mergeCell ref="A2:E2"/>
    <mergeCell ref="A4:E4"/>
    <mergeCell ref="A6:E6"/>
    <mergeCell ref="A8:E8"/>
  </mergeCells>
  <pageMargins left="0.31496062992125984" right="0.39" top="0.47244094488188981" bottom="0.74803149606299213" header="0.31496062992125984" footer="0.31496062992125984"/>
  <pageSetup scale="120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94"/>
  <sheetViews>
    <sheetView workbookViewId="0">
      <selection activeCell="P41" sqref="P41"/>
    </sheetView>
  </sheetViews>
  <sheetFormatPr defaultColWidth="9.21875" defaultRowHeight="14.4" x14ac:dyDescent="0.35"/>
  <cols>
    <col min="1" max="1" width="26.77734375" style="19" customWidth="1"/>
    <col min="2" max="2" width="15.21875" style="19" customWidth="1"/>
    <col min="3" max="12" width="11" style="19" customWidth="1"/>
    <col min="13" max="13" width="11.44140625" style="19" customWidth="1"/>
    <col min="14" max="16384" width="9.21875" style="19"/>
  </cols>
  <sheetData>
    <row r="1" spans="1:13" x14ac:dyDescent="0.35">
      <c r="A1" s="446">
        <f>Assumptions.1!I3</f>
        <v>0</v>
      </c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</row>
    <row r="2" spans="1:13" x14ac:dyDescent="0.35">
      <c r="A2" s="446">
        <f>Assumptions.1!I5</f>
        <v>0</v>
      </c>
      <c r="B2" s="446"/>
      <c r="C2" s="446"/>
      <c r="D2" s="446"/>
      <c r="E2" s="446"/>
      <c r="F2" s="446"/>
      <c r="G2" s="446"/>
      <c r="H2" s="446"/>
      <c r="I2" s="446"/>
      <c r="J2" s="446"/>
      <c r="K2" s="446"/>
      <c r="L2" s="446"/>
      <c r="M2" s="446"/>
    </row>
    <row r="3" spans="1:13" x14ac:dyDescent="0.35">
      <c r="A3" s="446">
        <f>Assumptions.1!I6</f>
        <v>0</v>
      </c>
      <c r="B3" s="446"/>
      <c r="C3" s="446"/>
      <c r="D3" s="446"/>
      <c r="E3" s="446"/>
      <c r="F3" s="446"/>
      <c r="G3" s="446"/>
      <c r="H3" s="446"/>
      <c r="I3" s="446"/>
      <c r="J3" s="446"/>
      <c r="K3" s="446"/>
      <c r="L3" s="446"/>
      <c r="M3" s="446"/>
    </row>
    <row r="5" spans="1:13" x14ac:dyDescent="0.35">
      <c r="A5" s="446" t="s">
        <v>111</v>
      </c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</row>
    <row r="6" spans="1:13" x14ac:dyDescent="0.35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3" x14ac:dyDescent="0.35">
      <c r="B7" s="104"/>
      <c r="M7" s="27" t="s">
        <v>112</v>
      </c>
    </row>
    <row r="8" spans="1:13" ht="15" customHeight="1" x14ac:dyDescent="0.35">
      <c r="A8" s="94"/>
      <c r="B8" s="97"/>
      <c r="C8" s="349"/>
      <c r="D8" s="349"/>
      <c r="E8" s="349"/>
      <c r="F8" s="349"/>
      <c r="G8" s="349"/>
      <c r="H8" s="349"/>
      <c r="I8" s="349"/>
      <c r="J8" s="349"/>
      <c r="K8" s="349"/>
      <c r="L8" s="349"/>
      <c r="M8" s="95"/>
    </row>
    <row r="9" spans="1:13" ht="30" customHeight="1" x14ac:dyDescent="0.35">
      <c r="A9" s="96"/>
      <c r="B9" s="448" t="str">
        <f>Assumptions.1!B121</f>
        <v>Plant and Machinery</v>
      </c>
      <c r="C9" s="447" t="str">
        <f>Assumptions.1!B131</f>
        <v>Service Equipment</v>
      </c>
      <c r="D9" s="447" t="str">
        <f>Assumptions.1!B141</f>
        <v>Shed and Civil works</v>
      </c>
      <c r="E9" s="447" t="str">
        <f>Assumptions.1!B151</f>
        <v>Land</v>
      </c>
      <c r="F9" s="447" t="str">
        <f>Assumptions.1!B154</f>
        <v>Electrical Items</v>
      </c>
      <c r="G9" s="447" t="str">
        <f>Assumptions.1!B163</f>
        <v>Electronic items</v>
      </c>
      <c r="H9" s="447" t="str">
        <f>Assumptions.1!B173</f>
        <v xml:space="preserve">Furniture and Fittings </v>
      </c>
      <c r="I9" s="447" t="str">
        <f>Assumptions.1!B183</f>
        <v>Vehicles</v>
      </c>
      <c r="J9" s="447" t="str">
        <f>Assumptions.1!B193</f>
        <v>Live stock</v>
      </c>
      <c r="K9" s="447" t="str">
        <f>Assumptions.1!B202</f>
        <v>Other Assets</v>
      </c>
      <c r="L9" s="447" t="str">
        <f>Assumptions.1!B212</f>
        <v>Other Assets (Nil Depreciation)</v>
      </c>
      <c r="M9" s="97"/>
    </row>
    <row r="10" spans="1:13" ht="7.5" customHeight="1" x14ac:dyDescent="0.35">
      <c r="A10" s="96"/>
      <c r="B10" s="448"/>
      <c r="C10" s="447"/>
      <c r="D10" s="447"/>
      <c r="E10" s="447"/>
      <c r="F10" s="447"/>
      <c r="G10" s="447"/>
      <c r="H10" s="447"/>
      <c r="I10" s="447"/>
      <c r="J10" s="447"/>
      <c r="K10" s="447"/>
      <c r="L10" s="447"/>
      <c r="M10" s="97"/>
    </row>
    <row r="11" spans="1:13" ht="17.25" customHeight="1" x14ac:dyDescent="0.35">
      <c r="A11" s="96"/>
      <c r="B11" s="97"/>
      <c r="C11" s="447"/>
      <c r="D11" s="447"/>
      <c r="E11" s="447"/>
      <c r="F11" s="447"/>
      <c r="G11" s="447"/>
      <c r="H11" s="447"/>
      <c r="I11" s="447"/>
      <c r="J11" s="447"/>
      <c r="K11" s="447"/>
      <c r="L11" s="447"/>
      <c r="M11" s="97" t="s">
        <v>113</v>
      </c>
    </row>
    <row r="12" spans="1:13" ht="15" thickBot="1" x14ac:dyDescent="0.4">
      <c r="A12" s="98"/>
      <c r="B12" s="99">
        <f>Assumptions.1!I105</f>
        <v>0.15</v>
      </c>
      <c r="C12" s="99">
        <f>Assumptions.1!I106</f>
        <v>0.15</v>
      </c>
      <c r="D12" s="99">
        <f>Assumptions.1!I107</f>
        <v>0.1</v>
      </c>
      <c r="E12" s="99">
        <f>Assumptions.1!I108</f>
        <v>0</v>
      </c>
      <c r="F12" s="99">
        <f>Assumptions.1!I110</f>
        <v>0.15</v>
      </c>
      <c r="G12" s="99">
        <f>Assumptions.1!I111</f>
        <v>0.15</v>
      </c>
      <c r="H12" s="99">
        <f>Assumptions.1!I109</f>
        <v>0.1</v>
      </c>
      <c r="I12" s="99">
        <f>Assumptions.1!I112</f>
        <v>0.15</v>
      </c>
      <c r="J12" s="99">
        <f>Assumptions.1!I113</f>
        <v>0</v>
      </c>
      <c r="K12" s="99">
        <f>Assumptions.1!I115</f>
        <v>0.1</v>
      </c>
      <c r="L12" s="99">
        <f>Assumptions.1!I114</f>
        <v>0</v>
      </c>
      <c r="M12" s="100"/>
    </row>
    <row r="13" spans="1:13" ht="15" thickTop="1" x14ac:dyDescent="0.35"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28"/>
    </row>
    <row r="14" spans="1:13" x14ac:dyDescent="0.35">
      <c r="A14" s="25"/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34"/>
    </row>
    <row r="15" spans="1:13" x14ac:dyDescent="0.35">
      <c r="A15" s="105">
        <f>wp!D6</f>
        <v>0</v>
      </c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34"/>
    </row>
    <row r="16" spans="1:13" x14ac:dyDescent="0.35">
      <c r="A16" s="19" t="s">
        <v>188</v>
      </c>
      <c r="B16" s="102">
        <f>Assumptions.1!F121</f>
        <v>0</v>
      </c>
      <c r="C16" s="102">
        <f>Assumptions.1!F131</f>
        <v>0</v>
      </c>
      <c r="D16" s="102">
        <f>Assumptions.1!F141</f>
        <v>0</v>
      </c>
      <c r="E16" s="102">
        <f>Assumptions.1!F151</f>
        <v>0</v>
      </c>
      <c r="F16" s="102">
        <f>Assumptions.1!F154</f>
        <v>0</v>
      </c>
      <c r="G16" s="102">
        <f>Assumptions.1!F163</f>
        <v>0</v>
      </c>
      <c r="H16" s="102">
        <f>Assumptions.1!F173</f>
        <v>549482</v>
      </c>
      <c r="I16" s="102">
        <f>Assumptions.1!F183</f>
        <v>0</v>
      </c>
      <c r="J16" s="102">
        <f>Assumptions.1!F193</f>
        <v>0</v>
      </c>
      <c r="K16" s="102">
        <f>Assumptions.1!F202</f>
        <v>0</v>
      </c>
      <c r="L16" s="102">
        <f>Assumptions.1!F212</f>
        <v>0</v>
      </c>
      <c r="M16" s="34">
        <f>B16+C16+D16+E16+F16+G16+H16+I16+J16+K16+L16</f>
        <v>549482</v>
      </c>
    </row>
    <row r="17" spans="1:13" x14ac:dyDescent="0.35">
      <c r="A17" s="19" t="s">
        <v>115</v>
      </c>
      <c r="B17" s="102">
        <v>0</v>
      </c>
      <c r="C17" s="102">
        <v>0</v>
      </c>
      <c r="D17" s="102">
        <v>0</v>
      </c>
      <c r="E17" s="102">
        <v>0</v>
      </c>
      <c r="F17" s="102">
        <v>0</v>
      </c>
      <c r="G17" s="102">
        <v>0</v>
      </c>
      <c r="H17" s="102">
        <v>0</v>
      </c>
      <c r="I17" s="102">
        <v>0</v>
      </c>
      <c r="J17" s="102">
        <v>0</v>
      </c>
      <c r="K17" s="102">
        <v>0</v>
      </c>
      <c r="L17" s="102">
        <v>0</v>
      </c>
      <c r="M17" s="34">
        <f t="shared" ref="M17:M48" si="0">B17+C17+D17+E17+F17+G17+H17+I17+J17+K17+L17</f>
        <v>0</v>
      </c>
    </row>
    <row r="18" spans="1:13" x14ac:dyDescent="0.35">
      <c r="A18" s="19" t="s">
        <v>113</v>
      </c>
      <c r="B18" s="102">
        <f>B16+B17</f>
        <v>0</v>
      </c>
      <c r="C18" s="102">
        <f t="shared" ref="C18:L18" si="1">C16+C17</f>
        <v>0</v>
      </c>
      <c r="D18" s="102">
        <f t="shared" si="1"/>
        <v>0</v>
      </c>
      <c r="E18" s="102">
        <f t="shared" si="1"/>
        <v>0</v>
      </c>
      <c r="F18" s="102">
        <f t="shared" si="1"/>
        <v>0</v>
      </c>
      <c r="G18" s="102">
        <f t="shared" si="1"/>
        <v>0</v>
      </c>
      <c r="H18" s="102">
        <f t="shared" si="1"/>
        <v>549482</v>
      </c>
      <c r="I18" s="102">
        <f t="shared" si="1"/>
        <v>0</v>
      </c>
      <c r="J18" s="102">
        <f t="shared" si="1"/>
        <v>0</v>
      </c>
      <c r="K18" s="102">
        <f t="shared" si="1"/>
        <v>0</v>
      </c>
      <c r="L18" s="102">
        <f t="shared" si="1"/>
        <v>0</v>
      </c>
      <c r="M18" s="34">
        <f t="shared" si="0"/>
        <v>549482</v>
      </c>
    </row>
    <row r="19" spans="1:13" x14ac:dyDescent="0.35">
      <c r="A19" s="19" t="s">
        <v>33</v>
      </c>
      <c r="B19" s="102">
        <f>B18*B12</f>
        <v>0</v>
      </c>
      <c r="C19" s="102">
        <f t="shared" ref="C19:L19" si="2">C18*C12</f>
        <v>0</v>
      </c>
      <c r="D19" s="102">
        <f t="shared" si="2"/>
        <v>0</v>
      </c>
      <c r="E19" s="102">
        <f t="shared" si="2"/>
        <v>0</v>
      </c>
      <c r="F19" s="102">
        <f t="shared" si="2"/>
        <v>0</v>
      </c>
      <c r="G19" s="102">
        <f t="shared" si="2"/>
        <v>0</v>
      </c>
      <c r="H19" s="102">
        <f t="shared" si="2"/>
        <v>54948.200000000004</v>
      </c>
      <c r="I19" s="102">
        <f t="shared" si="2"/>
        <v>0</v>
      </c>
      <c r="J19" s="102">
        <f t="shared" si="2"/>
        <v>0</v>
      </c>
      <c r="K19" s="102">
        <f t="shared" si="2"/>
        <v>0</v>
      </c>
      <c r="L19" s="102">
        <f t="shared" si="2"/>
        <v>0</v>
      </c>
      <c r="M19" s="34">
        <f t="shared" si="0"/>
        <v>54948.200000000004</v>
      </c>
    </row>
    <row r="20" spans="1:13" x14ac:dyDescent="0.35">
      <c r="A20" s="19" t="s">
        <v>116</v>
      </c>
      <c r="B20" s="102">
        <f>B18-B19</f>
        <v>0</v>
      </c>
      <c r="C20" s="102">
        <f t="shared" ref="C20:L20" si="3">C18-C19</f>
        <v>0</v>
      </c>
      <c r="D20" s="102">
        <f t="shared" si="3"/>
        <v>0</v>
      </c>
      <c r="E20" s="102">
        <f t="shared" si="3"/>
        <v>0</v>
      </c>
      <c r="F20" s="102">
        <f t="shared" si="3"/>
        <v>0</v>
      </c>
      <c r="G20" s="102">
        <f t="shared" si="3"/>
        <v>0</v>
      </c>
      <c r="H20" s="102">
        <f t="shared" si="3"/>
        <v>494533.8</v>
      </c>
      <c r="I20" s="102">
        <f t="shared" si="3"/>
        <v>0</v>
      </c>
      <c r="J20" s="102">
        <f t="shared" si="3"/>
        <v>0</v>
      </c>
      <c r="K20" s="102">
        <f t="shared" si="3"/>
        <v>0</v>
      </c>
      <c r="L20" s="102">
        <f t="shared" si="3"/>
        <v>0</v>
      </c>
      <c r="M20" s="34">
        <f t="shared" si="0"/>
        <v>494533.8</v>
      </c>
    </row>
    <row r="21" spans="1:13" x14ac:dyDescent="0.35"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34"/>
    </row>
    <row r="22" spans="1:13" x14ac:dyDescent="0.35">
      <c r="A22" s="105">
        <f>wp!F6</f>
        <v>0</v>
      </c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34"/>
    </row>
    <row r="23" spans="1:13" x14ac:dyDescent="0.35">
      <c r="A23" s="19" t="s">
        <v>114</v>
      </c>
      <c r="B23" s="102">
        <f>B20</f>
        <v>0</v>
      </c>
      <c r="C23" s="102">
        <f t="shared" ref="C23:L23" si="4">C20</f>
        <v>0</v>
      </c>
      <c r="D23" s="102">
        <f t="shared" si="4"/>
        <v>0</v>
      </c>
      <c r="E23" s="102">
        <f t="shared" si="4"/>
        <v>0</v>
      </c>
      <c r="F23" s="102">
        <f t="shared" si="4"/>
        <v>0</v>
      </c>
      <c r="G23" s="102">
        <f t="shared" si="4"/>
        <v>0</v>
      </c>
      <c r="H23" s="102">
        <f t="shared" si="4"/>
        <v>494533.8</v>
      </c>
      <c r="I23" s="102">
        <f t="shared" si="4"/>
        <v>0</v>
      </c>
      <c r="J23" s="102">
        <f t="shared" si="4"/>
        <v>0</v>
      </c>
      <c r="K23" s="102">
        <f t="shared" si="4"/>
        <v>0</v>
      </c>
      <c r="L23" s="102">
        <f t="shared" si="4"/>
        <v>0</v>
      </c>
      <c r="M23" s="34">
        <f t="shared" si="0"/>
        <v>494533.8</v>
      </c>
    </row>
    <row r="24" spans="1:13" x14ac:dyDescent="0.35">
      <c r="A24" s="19" t="s">
        <v>115</v>
      </c>
      <c r="B24" s="102">
        <v>0</v>
      </c>
      <c r="C24" s="102">
        <v>0</v>
      </c>
      <c r="D24" s="102">
        <v>0</v>
      </c>
      <c r="E24" s="102">
        <v>0</v>
      </c>
      <c r="F24" s="102">
        <v>0</v>
      </c>
      <c r="G24" s="102">
        <v>0</v>
      </c>
      <c r="H24" s="102">
        <v>0</v>
      </c>
      <c r="I24" s="102">
        <v>0</v>
      </c>
      <c r="J24" s="102">
        <v>0</v>
      </c>
      <c r="K24" s="102">
        <v>0</v>
      </c>
      <c r="L24" s="102">
        <v>0</v>
      </c>
      <c r="M24" s="34">
        <f t="shared" si="0"/>
        <v>0</v>
      </c>
    </row>
    <row r="25" spans="1:13" x14ac:dyDescent="0.35">
      <c r="A25" s="19" t="s">
        <v>113</v>
      </c>
      <c r="B25" s="102">
        <f>B23+B24</f>
        <v>0</v>
      </c>
      <c r="C25" s="102">
        <f t="shared" ref="C25:L25" si="5">C23+C24</f>
        <v>0</v>
      </c>
      <c r="D25" s="102">
        <f t="shared" si="5"/>
        <v>0</v>
      </c>
      <c r="E25" s="102">
        <f t="shared" si="5"/>
        <v>0</v>
      </c>
      <c r="F25" s="102">
        <f t="shared" si="5"/>
        <v>0</v>
      </c>
      <c r="G25" s="102">
        <f t="shared" si="5"/>
        <v>0</v>
      </c>
      <c r="H25" s="102">
        <f t="shared" si="5"/>
        <v>494533.8</v>
      </c>
      <c r="I25" s="102">
        <f t="shared" si="5"/>
        <v>0</v>
      </c>
      <c r="J25" s="102">
        <f t="shared" si="5"/>
        <v>0</v>
      </c>
      <c r="K25" s="102">
        <f t="shared" si="5"/>
        <v>0</v>
      </c>
      <c r="L25" s="102">
        <f t="shared" si="5"/>
        <v>0</v>
      </c>
      <c r="M25" s="34">
        <f t="shared" si="0"/>
        <v>494533.8</v>
      </c>
    </row>
    <row r="26" spans="1:13" x14ac:dyDescent="0.35">
      <c r="A26" s="19" t="s">
        <v>33</v>
      </c>
      <c r="B26" s="102">
        <f>B25*B12</f>
        <v>0</v>
      </c>
      <c r="C26" s="102">
        <f t="shared" ref="C26:L26" si="6">C25*C12</f>
        <v>0</v>
      </c>
      <c r="D26" s="102">
        <f t="shared" si="6"/>
        <v>0</v>
      </c>
      <c r="E26" s="102">
        <f t="shared" si="6"/>
        <v>0</v>
      </c>
      <c r="F26" s="102">
        <f t="shared" si="6"/>
        <v>0</v>
      </c>
      <c r="G26" s="102">
        <f t="shared" si="6"/>
        <v>0</v>
      </c>
      <c r="H26" s="102">
        <f t="shared" si="6"/>
        <v>49453.380000000005</v>
      </c>
      <c r="I26" s="102">
        <f t="shared" si="6"/>
        <v>0</v>
      </c>
      <c r="J26" s="102">
        <f t="shared" si="6"/>
        <v>0</v>
      </c>
      <c r="K26" s="102">
        <f t="shared" si="6"/>
        <v>0</v>
      </c>
      <c r="L26" s="102">
        <f t="shared" si="6"/>
        <v>0</v>
      </c>
      <c r="M26" s="34">
        <f t="shared" si="0"/>
        <v>49453.380000000005</v>
      </c>
    </row>
    <row r="27" spans="1:13" x14ac:dyDescent="0.35">
      <c r="A27" s="19" t="s">
        <v>117</v>
      </c>
      <c r="B27" s="102">
        <f>B25-B26</f>
        <v>0</v>
      </c>
      <c r="C27" s="102">
        <f t="shared" ref="C27:L27" si="7">C25-C26</f>
        <v>0</v>
      </c>
      <c r="D27" s="102">
        <f t="shared" si="7"/>
        <v>0</v>
      </c>
      <c r="E27" s="102">
        <f t="shared" si="7"/>
        <v>0</v>
      </c>
      <c r="F27" s="102">
        <f t="shared" si="7"/>
        <v>0</v>
      </c>
      <c r="G27" s="102">
        <f t="shared" si="7"/>
        <v>0</v>
      </c>
      <c r="H27" s="102">
        <f t="shared" si="7"/>
        <v>445080.42</v>
      </c>
      <c r="I27" s="102">
        <f t="shared" si="7"/>
        <v>0</v>
      </c>
      <c r="J27" s="102">
        <f t="shared" si="7"/>
        <v>0</v>
      </c>
      <c r="K27" s="102">
        <f t="shared" si="7"/>
        <v>0</v>
      </c>
      <c r="L27" s="102">
        <f t="shared" si="7"/>
        <v>0</v>
      </c>
      <c r="M27" s="34">
        <f t="shared" si="0"/>
        <v>445080.42</v>
      </c>
    </row>
    <row r="28" spans="1:13" x14ac:dyDescent="0.35"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34"/>
    </row>
    <row r="29" spans="1:13" x14ac:dyDescent="0.35">
      <c r="A29" s="105">
        <f>wp!G6</f>
        <v>0</v>
      </c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34"/>
    </row>
    <row r="30" spans="1:13" x14ac:dyDescent="0.35">
      <c r="A30" s="19" t="s">
        <v>114</v>
      </c>
      <c r="B30" s="102">
        <f>B27</f>
        <v>0</v>
      </c>
      <c r="C30" s="102">
        <f t="shared" ref="C30:L30" si="8">C27</f>
        <v>0</v>
      </c>
      <c r="D30" s="102">
        <f t="shared" si="8"/>
        <v>0</v>
      </c>
      <c r="E30" s="102">
        <f t="shared" si="8"/>
        <v>0</v>
      </c>
      <c r="F30" s="102">
        <f t="shared" si="8"/>
        <v>0</v>
      </c>
      <c r="G30" s="102">
        <f t="shared" si="8"/>
        <v>0</v>
      </c>
      <c r="H30" s="102">
        <f t="shared" si="8"/>
        <v>445080.42</v>
      </c>
      <c r="I30" s="102">
        <f t="shared" si="8"/>
        <v>0</v>
      </c>
      <c r="J30" s="102">
        <f t="shared" si="8"/>
        <v>0</v>
      </c>
      <c r="K30" s="102">
        <f t="shared" si="8"/>
        <v>0</v>
      </c>
      <c r="L30" s="102">
        <f t="shared" si="8"/>
        <v>0</v>
      </c>
      <c r="M30" s="34">
        <f t="shared" si="0"/>
        <v>445080.42</v>
      </c>
    </row>
    <row r="31" spans="1:13" x14ac:dyDescent="0.35">
      <c r="A31" s="19" t="s">
        <v>115</v>
      </c>
      <c r="B31" s="102">
        <v>0</v>
      </c>
      <c r="C31" s="102">
        <v>0</v>
      </c>
      <c r="D31" s="102">
        <v>0</v>
      </c>
      <c r="E31" s="102">
        <v>0</v>
      </c>
      <c r="F31" s="102">
        <v>0</v>
      </c>
      <c r="G31" s="102">
        <v>0</v>
      </c>
      <c r="H31" s="102">
        <v>0</v>
      </c>
      <c r="I31" s="102">
        <v>0</v>
      </c>
      <c r="J31" s="102">
        <v>0</v>
      </c>
      <c r="K31" s="102">
        <v>0</v>
      </c>
      <c r="L31" s="102">
        <v>0</v>
      </c>
      <c r="M31" s="34">
        <f t="shared" si="0"/>
        <v>0</v>
      </c>
    </row>
    <row r="32" spans="1:13" x14ac:dyDescent="0.35">
      <c r="A32" s="19" t="s">
        <v>113</v>
      </c>
      <c r="B32" s="102">
        <f>B30+B31</f>
        <v>0</v>
      </c>
      <c r="C32" s="102">
        <f t="shared" ref="C32:L32" si="9">C30+C31</f>
        <v>0</v>
      </c>
      <c r="D32" s="102">
        <f t="shared" si="9"/>
        <v>0</v>
      </c>
      <c r="E32" s="102">
        <f t="shared" si="9"/>
        <v>0</v>
      </c>
      <c r="F32" s="102">
        <f t="shared" si="9"/>
        <v>0</v>
      </c>
      <c r="G32" s="102">
        <f t="shared" si="9"/>
        <v>0</v>
      </c>
      <c r="H32" s="102">
        <f t="shared" si="9"/>
        <v>445080.42</v>
      </c>
      <c r="I32" s="102">
        <f t="shared" si="9"/>
        <v>0</v>
      </c>
      <c r="J32" s="102">
        <f t="shared" si="9"/>
        <v>0</v>
      </c>
      <c r="K32" s="102">
        <f t="shared" si="9"/>
        <v>0</v>
      </c>
      <c r="L32" s="102">
        <f t="shared" si="9"/>
        <v>0</v>
      </c>
      <c r="M32" s="34">
        <f t="shared" si="0"/>
        <v>445080.42</v>
      </c>
    </row>
    <row r="33" spans="1:13" x14ac:dyDescent="0.35">
      <c r="A33" s="19" t="s">
        <v>33</v>
      </c>
      <c r="B33" s="102">
        <f>B32*B12</f>
        <v>0</v>
      </c>
      <c r="C33" s="102">
        <f t="shared" ref="C33:L33" si="10">C32*C12</f>
        <v>0</v>
      </c>
      <c r="D33" s="102">
        <f t="shared" si="10"/>
        <v>0</v>
      </c>
      <c r="E33" s="102">
        <f t="shared" si="10"/>
        <v>0</v>
      </c>
      <c r="F33" s="102">
        <f t="shared" si="10"/>
        <v>0</v>
      </c>
      <c r="G33" s="102">
        <f t="shared" si="10"/>
        <v>0</v>
      </c>
      <c r="H33" s="102">
        <f t="shared" si="10"/>
        <v>44508.042000000001</v>
      </c>
      <c r="I33" s="102">
        <f t="shared" si="10"/>
        <v>0</v>
      </c>
      <c r="J33" s="102">
        <f t="shared" si="10"/>
        <v>0</v>
      </c>
      <c r="K33" s="102">
        <f t="shared" si="10"/>
        <v>0</v>
      </c>
      <c r="L33" s="102">
        <f t="shared" si="10"/>
        <v>0</v>
      </c>
      <c r="M33" s="34">
        <f t="shared" si="0"/>
        <v>44508.042000000001</v>
      </c>
    </row>
    <row r="34" spans="1:13" x14ac:dyDescent="0.35">
      <c r="A34" s="19" t="s">
        <v>118</v>
      </c>
      <c r="B34" s="102">
        <f>B32-B33</f>
        <v>0</v>
      </c>
      <c r="C34" s="102">
        <f t="shared" ref="C34:L34" si="11">C32-C33</f>
        <v>0</v>
      </c>
      <c r="D34" s="102">
        <f t="shared" si="11"/>
        <v>0</v>
      </c>
      <c r="E34" s="102">
        <f t="shared" si="11"/>
        <v>0</v>
      </c>
      <c r="F34" s="102">
        <f t="shared" si="11"/>
        <v>0</v>
      </c>
      <c r="G34" s="102">
        <f t="shared" si="11"/>
        <v>0</v>
      </c>
      <c r="H34" s="102">
        <f t="shared" si="11"/>
        <v>400572.37799999997</v>
      </c>
      <c r="I34" s="102">
        <f t="shared" si="11"/>
        <v>0</v>
      </c>
      <c r="J34" s="102">
        <f t="shared" si="11"/>
        <v>0</v>
      </c>
      <c r="K34" s="102">
        <f t="shared" si="11"/>
        <v>0</v>
      </c>
      <c r="L34" s="102">
        <f t="shared" si="11"/>
        <v>0</v>
      </c>
      <c r="M34" s="34">
        <f t="shared" si="0"/>
        <v>400572.37799999997</v>
      </c>
    </row>
    <row r="35" spans="1:13" x14ac:dyDescent="0.35"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</row>
    <row r="36" spans="1:13" x14ac:dyDescent="0.35">
      <c r="A36" s="33">
        <f>wp!F6</f>
        <v>0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34"/>
    </row>
    <row r="37" spans="1:13" x14ac:dyDescent="0.35">
      <c r="A37" s="19" t="s">
        <v>114</v>
      </c>
      <c r="B37" s="102">
        <f>B34</f>
        <v>0</v>
      </c>
      <c r="C37" s="102">
        <f t="shared" ref="C37:L37" si="12">C34</f>
        <v>0</v>
      </c>
      <c r="D37" s="102">
        <f t="shared" si="12"/>
        <v>0</v>
      </c>
      <c r="E37" s="102">
        <f t="shared" si="12"/>
        <v>0</v>
      </c>
      <c r="F37" s="102">
        <f t="shared" si="12"/>
        <v>0</v>
      </c>
      <c r="G37" s="102">
        <f t="shared" si="12"/>
        <v>0</v>
      </c>
      <c r="H37" s="102">
        <f t="shared" si="12"/>
        <v>400572.37799999997</v>
      </c>
      <c r="I37" s="102">
        <f t="shared" si="12"/>
        <v>0</v>
      </c>
      <c r="J37" s="102">
        <f t="shared" si="12"/>
        <v>0</v>
      </c>
      <c r="K37" s="102">
        <f t="shared" si="12"/>
        <v>0</v>
      </c>
      <c r="L37" s="102">
        <f t="shared" si="12"/>
        <v>0</v>
      </c>
      <c r="M37" s="34">
        <f t="shared" si="0"/>
        <v>400572.37799999997</v>
      </c>
    </row>
    <row r="38" spans="1:13" x14ac:dyDescent="0.35">
      <c r="A38" s="19" t="s">
        <v>115</v>
      </c>
      <c r="B38" s="102">
        <v>0</v>
      </c>
      <c r="C38" s="102">
        <v>0</v>
      </c>
      <c r="D38" s="102">
        <v>0</v>
      </c>
      <c r="E38" s="102">
        <v>0</v>
      </c>
      <c r="F38" s="102">
        <v>0</v>
      </c>
      <c r="G38" s="102">
        <v>0</v>
      </c>
      <c r="H38" s="102">
        <v>0</v>
      </c>
      <c r="I38" s="102">
        <v>0</v>
      </c>
      <c r="J38" s="102">
        <v>0</v>
      </c>
      <c r="K38" s="102">
        <v>0</v>
      </c>
      <c r="L38" s="102">
        <v>0</v>
      </c>
      <c r="M38" s="34">
        <f t="shared" si="0"/>
        <v>0</v>
      </c>
    </row>
    <row r="39" spans="1:13" x14ac:dyDescent="0.35">
      <c r="A39" s="19" t="s">
        <v>113</v>
      </c>
      <c r="B39" s="102">
        <f>B37+B38</f>
        <v>0</v>
      </c>
      <c r="C39" s="102">
        <f t="shared" ref="C39:L39" si="13">C37+C38</f>
        <v>0</v>
      </c>
      <c r="D39" s="102">
        <f t="shared" si="13"/>
        <v>0</v>
      </c>
      <c r="E39" s="102">
        <f t="shared" si="13"/>
        <v>0</v>
      </c>
      <c r="F39" s="102">
        <f t="shared" si="13"/>
        <v>0</v>
      </c>
      <c r="G39" s="102">
        <f t="shared" si="13"/>
        <v>0</v>
      </c>
      <c r="H39" s="102">
        <f t="shared" si="13"/>
        <v>400572.37799999997</v>
      </c>
      <c r="I39" s="102">
        <f t="shared" si="13"/>
        <v>0</v>
      </c>
      <c r="J39" s="102">
        <f t="shared" si="13"/>
        <v>0</v>
      </c>
      <c r="K39" s="102">
        <f t="shared" si="13"/>
        <v>0</v>
      </c>
      <c r="L39" s="102">
        <f t="shared" si="13"/>
        <v>0</v>
      </c>
      <c r="M39" s="34">
        <f t="shared" si="0"/>
        <v>400572.37799999997</v>
      </c>
    </row>
    <row r="40" spans="1:13" x14ac:dyDescent="0.35">
      <c r="A40" s="19" t="s">
        <v>33</v>
      </c>
      <c r="B40" s="102">
        <f>B39*B12</f>
        <v>0</v>
      </c>
      <c r="C40" s="102">
        <f t="shared" ref="C40:L40" si="14">C39*C12</f>
        <v>0</v>
      </c>
      <c r="D40" s="102">
        <f t="shared" si="14"/>
        <v>0</v>
      </c>
      <c r="E40" s="102">
        <f t="shared" si="14"/>
        <v>0</v>
      </c>
      <c r="F40" s="102">
        <f t="shared" si="14"/>
        <v>0</v>
      </c>
      <c r="G40" s="102">
        <f t="shared" si="14"/>
        <v>0</v>
      </c>
      <c r="H40" s="102">
        <f t="shared" si="14"/>
        <v>40057.237800000003</v>
      </c>
      <c r="I40" s="102">
        <f t="shared" si="14"/>
        <v>0</v>
      </c>
      <c r="J40" s="102">
        <f t="shared" si="14"/>
        <v>0</v>
      </c>
      <c r="K40" s="102">
        <f t="shared" si="14"/>
        <v>0</v>
      </c>
      <c r="L40" s="102">
        <f t="shared" si="14"/>
        <v>0</v>
      </c>
      <c r="M40" s="34">
        <f t="shared" si="0"/>
        <v>40057.237800000003</v>
      </c>
    </row>
    <row r="41" spans="1:13" x14ac:dyDescent="0.35">
      <c r="A41" s="19" t="s">
        <v>119</v>
      </c>
      <c r="B41" s="102">
        <f>B39-B40</f>
        <v>0</v>
      </c>
      <c r="C41" s="102">
        <f t="shared" ref="C41:L41" si="15">C39-C40</f>
        <v>0</v>
      </c>
      <c r="D41" s="102">
        <f t="shared" si="15"/>
        <v>0</v>
      </c>
      <c r="E41" s="102">
        <f t="shared" si="15"/>
        <v>0</v>
      </c>
      <c r="F41" s="102">
        <f t="shared" si="15"/>
        <v>0</v>
      </c>
      <c r="G41" s="102">
        <f t="shared" si="15"/>
        <v>0</v>
      </c>
      <c r="H41" s="102">
        <f t="shared" si="15"/>
        <v>360515.14019999997</v>
      </c>
      <c r="I41" s="102">
        <f t="shared" si="15"/>
        <v>0</v>
      </c>
      <c r="J41" s="102">
        <f t="shared" si="15"/>
        <v>0</v>
      </c>
      <c r="K41" s="102">
        <f t="shared" si="15"/>
        <v>0</v>
      </c>
      <c r="L41" s="102">
        <f t="shared" si="15"/>
        <v>0</v>
      </c>
      <c r="M41" s="34">
        <f t="shared" si="0"/>
        <v>360515.14019999997</v>
      </c>
    </row>
    <row r="42" spans="1:13" x14ac:dyDescent="0.35"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34"/>
    </row>
    <row r="43" spans="1:13" x14ac:dyDescent="0.35">
      <c r="A43" s="33">
        <f>wp!G6</f>
        <v>0</v>
      </c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34"/>
    </row>
    <row r="44" spans="1:13" x14ac:dyDescent="0.35">
      <c r="A44" s="19" t="s">
        <v>114</v>
      </c>
      <c r="B44" s="102">
        <f>B41</f>
        <v>0</v>
      </c>
      <c r="C44" s="102">
        <f t="shared" ref="C44:L44" si="16">C41</f>
        <v>0</v>
      </c>
      <c r="D44" s="102">
        <f t="shared" si="16"/>
        <v>0</v>
      </c>
      <c r="E44" s="102">
        <f t="shared" si="16"/>
        <v>0</v>
      </c>
      <c r="F44" s="102">
        <f t="shared" si="16"/>
        <v>0</v>
      </c>
      <c r="G44" s="102">
        <f t="shared" si="16"/>
        <v>0</v>
      </c>
      <c r="H44" s="102">
        <f t="shared" si="16"/>
        <v>360515.14019999997</v>
      </c>
      <c r="I44" s="102">
        <f t="shared" si="16"/>
        <v>0</v>
      </c>
      <c r="J44" s="102">
        <f t="shared" si="16"/>
        <v>0</v>
      </c>
      <c r="K44" s="102">
        <f t="shared" si="16"/>
        <v>0</v>
      </c>
      <c r="L44" s="102">
        <f t="shared" si="16"/>
        <v>0</v>
      </c>
      <c r="M44" s="34">
        <f t="shared" si="0"/>
        <v>360515.14019999997</v>
      </c>
    </row>
    <row r="45" spans="1:13" x14ac:dyDescent="0.35">
      <c r="A45" s="19" t="s">
        <v>115</v>
      </c>
      <c r="B45" s="102">
        <v>0</v>
      </c>
      <c r="C45" s="102">
        <v>0</v>
      </c>
      <c r="D45" s="102">
        <v>0</v>
      </c>
      <c r="E45" s="102">
        <v>0</v>
      </c>
      <c r="F45" s="102">
        <v>0</v>
      </c>
      <c r="G45" s="102">
        <v>0</v>
      </c>
      <c r="H45" s="102">
        <v>0</v>
      </c>
      <c r="I45" s="102">
        <v>0</v>
      </c>
      <c r="J45" s="102">
        <v>0</v>
      </c>
      <c r="K45" s="102">
        <v>0</v>
      </c>
      <c r="L45" s="102">
        <v>0</v>
      </c>
      <c r="M45" s="34">
        <f t="shared" si="0"/>
        <v>0</v>
      </c>
    </row>
    <row r="46" spans="1:13" x14ac:dyDescent="0.35">
      <c r="A46" s="19" t="s">
        <v>113</v>
      </c>
      <c r="B46" s="102">
        <f>B44+B45</f>
        <v>0</v>
      </c>
      <c r="C46" s="102">
        <f t="shared" ref="C46:L46" si="17">C44+C45</f>
        <v>0</v>
      </c>
      <c r="D46" s="102">
        <f t="shared" si="17"/>
        <v>0</v>
      </c>
      <c r="E46" s="102">
        <f t="shared" si="17"/>
        <v>0</v>
      </c>
      <c r="F46" s="102">
        <f t="shared" si="17"/>
        <v>0</v>
      </c>
      <c r="G46" s="102">
        <f t="shared" si="17"/>
        <v>0</v>
      </c>
      <c r="H46" s="102">
        <f t="shared" si="17"/>
        <v>360515.14019999997</v>
      </c>
      <c r="I46" s="102">
        <f t="shared" si="17"/>
        <v>0</v>
      </c>
      <c r="J46" s="102">
        <f t="shared" si="17"/>
        <v>0</v>
      </c>
      <c r="K46" s="102">
        <f t="shared" si="17"/>
        <v>0</v>
      </c>
      <c r="L46" s="102">
        <f t="shared" si="17"/>
        <v>0</v>
      </c>
      <c r="M46" s="34">
        <f t="shared" si="0"/>
        <v>360515.14019999997</v>
      </c>
    </row>
    <row r="47" spans="1:13" x14ac:dyDescent="0.35">
      <c r="A47" s="19" t="s">
        <v>33</v>
      </c>
      <c r="B47" s="102">
        <f>B46*B12</f>
        <v>0</v>
      </c>
      <c r="C47" s="102">
        <f t="shared" ref="C47:L47" si="18">C46*C12</f>
        <v>0</v>
      </c>
      <c r="D47" s="102">
        <f t="shared" si="18"/>
        <v>0</v>
      </c>
      <c r="E47" s="102">
        <f t="shared" si="18"/>
        <v>0</v>
      </c>
      <c r="F47" s="102">
        <f t="shared" si="18"/>
        <v>0</v>
      </c>
      <c r="G47" s="102">
        <f t="shared" si="18"/>
        <v>0</v>
      </c>
      <c r="H47" s="102">
        <f t="shared" si="18"/>
        <v>36051.514019999995</v>
      </c>
      <c r="I47" s="102">
        <f t="shared" si="18"/>
        <v>0</v>
      </c>
      <c r="J47" s="102">
        <f t="shared" si="18"/>
        <v>0</v>
      </c>
      <c r="K47" s="102">
        <f t="shared" si="18"/>
        <v>0</v>
      </c>
      <c r="L47" s="102">
        <f t="shared" si="18"/>
        <v>0</v>
      </c>
      <c r="M47" s="34">
        <f t="shared" si="0"/>
        <v>36051.514019999995</v>
      </c>
    </row>
    <row r="48" spans="1:13" x14ac:dyDescent="0.35">
      <c r="A48" s="19" t="s">
        <v>120</v>
      </c>
      <c r="B48" s="102">
        <f>B46-B47</f>
        <v>0</v>
      </c>
      <c r="C48" s="102">
        <f t="shared" ref="C48:L48" si="19">C46-C47</f>
        <v>0</v>
      </c>
      <c r="D48" s="102">
        <f t="shared" si="19"/>
        <v>0</v>
      </c>
      <c r="E48" s="102">
        <f t="shared" si="19"/>
        <v>0</v>
      </c>
      <c r="F48" s="102">
        <f t="shared" si="19"/>
        <v>0</v>
      </c>
      <c r="G48" s="102">
        <f t="shared" si="19"/>
        <v>0</v>
      </c>
      <c r="H48" s="102">
        <f t="shared" si="19"/>
        <v>324463.62617999996</v>
      </c>
      <c r="I48" s="102">
        <f t="shared" si="19"/>
        <v>0</v>
      </c>
      <c r="J48" s="102">
        <f t="shared" si="19"/>
        <v>0</v>
      </c>
      <c r="K48" s="102">
        <f t="shared" si="19"/>
        <v>0</v>
      </c>
      <c r="L48" s="102">
        <f t="shared" si="19"/>
        <v>0</v>
      </c>
      <c r="M48" s="34">
        <f t="shared" si="0"/>
        <v>324463.62617999996</v>
      </c>
    </row>
    <row r="49" spans="1:13" ht="15" thickBot="1" x14ac:dyDescent="0.4">
      <c r="A49" s="23"/>
      <c r="B49" s="350"/>
      <c r="C49" s="350"/>
      <c r="D49" s="350"/>
      <c r="E49" s="350"/>
      <c r="F49" s="350"/>
      <c r="G49" s="350"/>
      <c r="H49" s="350"/>
      <c r="I49" s="350"/>
      <c r="J49" s="350"/>
      <c r="K49" s="350"/>
      <c r="L49" s="350"/>
      <c r="M49" s="351"/>
    </row>
    <row r="50" spans="1:13" x14ac:dyDescent="0.35">
      <c r="A50" s="33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34"/>
    </row>
    <row r="51" spans="1:13" x14ac:dyDescent="0.35"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34"/>
    </row>
    <row r="52" spans="1:13" x14ac:dyDescent="0.35"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34"/>
    </row>
    <row r="53" spans="1:13" x14ac:dyDescent="0.35"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34"/>
    </row>
    <row r="54" spans="1:13" x14ac:dyDescent="0.35"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34"/>
    </row>
    <row r="55" spans="1:13" x14ac:dyDescent="0.35"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34"/>
    </row>
    <row r="56" spans="1:13" x14ac:dyDescent="0.35"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</row>
    <row r="57" spans="1:13" x14ac:dyDescent="0.35">
      <c r="A57" s="33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34"/>
    </row>
    <row r="58" spans="1:13" x14ac:dyDescent="0.35"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34"/>
    </row>
    <row r="59" spans="1:13" x14ac:dyDescent="0.35"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34"/>
    </row>
    <row r="60" spans="1:13" x14ac:dyDescent="0.35"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34"/>
    </row>
    <row r="61" spans="1:13" x14ac:dyDescent="0.35"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34"/>
    </row>
    <row r="62" spans="1:13" x14ac:dyDescent="0.35"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34"/>
    </row>
    <row r="63" spans="1:13" x14ac:dyDescent="0.35"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</row>
    <row r="64" spans="1:13" x14ac:dyDescent="0.35">
      <c r="A64" s="33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34"/>
    </row>
    <row r="65" spans="1:13" x14ac:dyDescent="0.35"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34"/>
    </row>
    <row r="66" spans="1:13" x14ac:dyDescent="0.35"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34"/>
    </row>
    <row r="67" spans="1:13" x14ac:dyDescent="0.35"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34"/>
    </row>
    <row r="68" spans="1:13" x14ac:dyDescent="0.35"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34"/>
    </row>
    <row r="69" spans="1:13" x14ac:dyDescent="0.35"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34"/>
    </row>
    <row r="70" spans="1:13" x14ac:dyDescent="0.35"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</row>
    <row r="71" spans="1:13" x14ac:dyDescent="0.35">
      <c r="A71" s="33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34"/>
    </row>
    <row r="72" spans="1:13" x14ac:dyDescent="0.35"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34"/>
    </row>
    <row r="73" spans="1:13" x14ac:dyDescent="0.35"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34"/>
    </row>
    <row r="74" spans="1:13" x14ac:dyDescent="0.35"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34"/>
    </row>
    <row r="75" spans="1:13" x14ac:dyDescent="0.35"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34"/>
    </row>
    <row r="76" spans="1:13" x14ac:dyDescent="0.35"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34"/>
    </row>
    <row r="77" spans="1:13" x14ac:dyDescent="0.35"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</row>
    <row r="78" spans="1:13" x14ac:dyDescent="0.35">
      <c r="A78" s="33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34"/>
    </row>
    <row r="79" spans="1:13" x14ac:dyDescent="0.35"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34"/>
    </row>
    <row r="80" spans="1:13" x14ac:dyDescent="0.35"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34"/>
    </row>
    <row r="81" spans="1:13" x14ac:dyDescent="0.35"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34"/>
    </row>
    <row r="82" spans="1:13" x14ac:dyDescent="0.35"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34"/>
    </row>
    <row r="83" spans="1:13" x14ac:dyDescent="0.35"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34"/>
    </row>
    <row r="84" spans="1:13" x14ac:dyDescent="0.35"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</row>
    <row r="85" spans="1:13" x14ac:dyDescent="0.35">
      <c r="A85" s="33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34"/>
    </row>
    <row r="86" spans="1:13" x14ac:dyDescent="0.35"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34"/>
    </row>
    <row r="87" spans="1:13" x14ac:dyDescent="0.35"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34"/>
    </row>
    <row r="88" spans="1:13" x14ac:dyDescent="0.35"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34"/>
    </row>
    <row r="89" spans="1:13" x14ac:dyDescent="0.35"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34"/>
    </row>
    <row r="90" spans="1:13" x14ac:dyDescent="0.35"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34"/>
    </row>
    <row r="91" spans="1:13" x14ac:dyDescent="0.35"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</row>
    <row r="92" spans="1:13" x14ac:dyDescent="0.35"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</row>
    <row r="93" spans="1:13" x14ac:dyDescent="0.35"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</row>
    <row r="94" spans="1:13" x14ac:dyDescent="0.35">
      <c r="C94" s="34"/>
      <c r="D94" s="34"/>
      <c r="E94" s="34"/>
      <c r="F94" s="34"/>
      <c r="G94" s="34"/>
      <c r="H94" s="34"/>
      <c r="I94" s="34"/>
      <c r="J94" s="34"/>
      <c r="K94" s="34"/>
      <c r="L94" s="34"/>
    </row>
  </sheetData>
  <mergeCells count="15">
    <mergeCell ref="A1:M1"/>
    <mergeCell ref="A2:M2"/>
    <mergeCell ref="A3:M3"/>
    <mergeCell ref="A5:M5"/>
    <mergeCell ref="C9:C11"/>
    <mergeCell ref="B9:B10"/>
    <mergeCell ref="D9:D11"/>
    <mergeCell ref="E9:E11"/>
    <mergeCell ref="F9:F11"/>
    <mergeCell ref="G9:G11"/>
    <mergeCell ref="H9:H11"/>
    <mergeCell ref="I9:I11"/>
    <mergeCell ref="J9:J11"/>
    <mergeCell ref="K9:K11"/>
    <mergeCell ref="L9:L11"/>
  </mergeCells>
  <pageMargins left="0.7" right="0.7" top="0.41" bottom="0.47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Assumptions.1</vt:lpstr>
      <vt:lpstr>wp</vt:lpstr>
      <vt:lpstr>FinalWorkings</vt:lpstr>
      <vt:lpstr>coverpage</vt:lpstr>
      <vt:lpstr>PLBS</vt:lpstr>
      <vt:lpstr>RATIO</vt:lpstr>
      <vt:lpstr>MPBF </vt:lpstr>
      <vt:lpstr>nayak</vt:lpstr>
      <vt:lpstr>Depsch</vt:lpstr>
      <vt:lpstr>coverpage!Print_Area</vt:lpstr>
      <vt:lpstr>FinalWorkings!Print_Area</vt:lpstr>
      <vt:lpstr>'MPBF '!Print_Area</vt:lpstr>
      <vt:lpstr>PLBS!Print_Area</vt:lpstr>
      <vt:lpstr>RATIO!Print_Area</vt:lpstr>
      <vt:lpstr>wp!Print_Area</vt:lpstr>
    </vt:vector>
  </TitlesOfParts>
  <Company>Auditing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MSrinivas</dc:creator>
  <cp:lastModifiedBy>MATTA JITHENDRA SAI RAMESH</cp:lastModifiedBy>
  <cp:lastPrinted>2025-11-09T06:44:06Z</cp:lastPrinted>
  <dcterms:created xsi:type="dcterms:W3CDTF">2007-11-14T04:27:01Z</dcterms:created>
  <dcterms:modified xsi:type="dcterms:W3CDTF">2025-12-13T08:14:22Z</dcterms:modified>
</cp:coreProperties>
</file>