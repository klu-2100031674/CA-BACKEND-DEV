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-DEV\CA-BACKEND-DEV\templates\excel\"/>
    </mc:Choice>
  </mc:AlternateContent>
  <xr:revisionPtr revIDLastSave="0" documentId="13_ncr:1_{FC7E730C-CF2A-409A-8F2B-DD79431BE8F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ssumptions.1" sheetId="26" r:id="rId1"/>
    <sheet name="wp" sheetId="1" r:id="rId2"/>
    <sheet name="FinalWorkings" sheetId="33" r:id="rId3"/>
    <sheet name="coverpage" sheetId="25" r:id="rId4"/>
    <sheet name="PLBS" sheetId="32" r:id="rId5"/>
    <sheet name="RATIO" sheetId="2" r:id="rId6"/>
    <sheet name="MPBF " sheetId="20" r:id="rId7"/>
    <sheet name="nayak" sheetId="24" r:id="rId8"/>
    <sheet name="Depsch" sheetId="27" r:id="rId9"/>
  </sheets>
  <definedNames>
    <definedName name="_xlnm.Print_Area" localSheetId="3">coverpage!$A$1:$N$38</definedName>
    <definedName name="_xlnm.Print_Area" localSheetId="2">FinalWorkings!$A$1:$E$41</definedName>
    <definedName name="_xlnm.Print_Area" localSheetId="6">'MPBF '!$A$1:$D$66</definedName>
    <definedName name="_xlnm.Print_Area" localSheetId="4">PLBS!$A$1:$F$96</definedName>
    <definedName name="_xlnm.Print_Area" localSheetId="5">RATIO!$A$1:$F$106</definedName>
    <definedName name="_xlnm.Print_Area" localSheetId="1">wp!$A$1:$F$112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26" l="1"/>
  <c r="I13" i="26"/>
  <c r="F96" i="26"/>
  <c r="M17" i="27"/>
  <c r="M21" i="27"/>
  <c r="M22" i="27"/>
  <c r="M24" i="27"/>
  <c r="M28" i="27"/>
  <c r="M29" i="27"/>
  <c r="M31" i="27"/>
  <c r="B16" i="27"/>
  <c r="K12" i="27"/>
  <c r="L12" i="27"/>
  <c r="J12" i="27"/>
  <c r="I12" i="27"/>
  <c r="H12" i="27"/>
  <c r="G12" i="27"/>
  <c r="F12" i="27"/>
  <c r="E12" i="27"/>
  <c r="D12" i="27"/>
  <c r="C12" i="27"/>
  <c r="B12" i="27"/>
  <c r="L9" i="27"/>
  <c r="K9" i="27"/>
  <c r="J9" i="27"/>
  <c r="I9" i="27"/>
  <c r="H9" i="27"/>
  <c r="G9" i="27"/>
  <c r="F9" i="27"/>
  <c r="E9" i="27"/>
  <c r="D9" i="27"/>
  <c r="C9" i="27"/>
  <c r="B9" i="27"/>
  <c r="D11" i="25" l="1"/>
  <c r="I38" i="26"/>
  <c r="F187" i="26"/>
  <c r="L16" i="27" s="1"/>
  <c r="L18" i="27" s="1"/>
  <c r="F177" i="26"/>
  <c r="K16" i="27" s="1"/>
  <c r="K18" i="27" s="1"/>
  <c r="F168" i="26"/>
  <c r="J16" i="27" s="1"/>
  <c r="J18" i="27" s="1"/>
  <c r="F158" i="26"/>
  <c r="I16" i="27" s="1"/>
  <c r="I18" i="27" s="1"/>
  <c r="F148" i="26"/>
  <c r="H16" i="27" s="1"/>
  <c r="H18" i="27" s="1"/>
  <c r="F138" i="26"/>
  <c r="G16" i="27" s="1"/>
  <c r="G18" i="27" s="1"/>
  <c r="F129" i="26"/>
  <c r="F16" i="27" s="1"/>
  <c r="F18" i="27" s="1"/>
  <c r="F126" i="26"/>
  <c r="E16" i="27" s="1"/>
  <c r="E18" i="27" s="1"/>
  <c r="F116" i="26"/>
  <c r="D16" i="27" s="1"/>
  <c r="D18" i="27" s="1"/>
  <c r="F106" i="26"/>
  <c r="L19" i="27" l="1"/>
  <c r="L20" i="27"/>
  <c r="L23" i="27" s="1"/>
  <c r="L25" i="27" s="1"/>
  <c r="F197" i="26"/>
  <c r="C16" i="27"/>
  <c r="D19" i="27"/>
  <c r="D20" i="27"/>
  <c r="D23" i="27" s="1"/>
  <c r="D25" i="27" s="1"/>
  <c r="E19" i="27"/>
  <c r="E20" i="27"/>
  <c r="E23" i="27" s="1"/>
  <c r="E25" i="27" s="1"/>
  <c r="F19" i="27"/>
  <c r="F20" i="27" s="1"/>
  <c r="F23" i="27" s="1"/>
  <c r="F25" i="27" s="1"/>
  <c r="G19" i="27"/>
  <c r="G20" i="27"/>
  <c r="G23" i="27" s="1"/>
  <c r="G25" i="27" s="1"/>
  <c r="H19" i="27"/>
  <c r="H20" i="27" s="1"/>
  <c r="H23" i="27" s="1"/>
  <c r="H25" i="27" s="1"/>
  <c r="I19" i="27"/>
  <c r="I20" i="27" s="1"/>
  <c r="I23" i="27" s="1"/>
  <c r="I25" i="27" s="1"/>
  <c r="J19" i="27"/>
  <c r="J20" i="27"/>
  <c r="J23" i="27" s="1"/>
  <c r="J25" i="27" s="1"/>
  <c r="K19" i="27"/>
  <c r="K20" i="27" s="1"/>
  <c r="K23" i="27" s="1"/>
  <c r="K25" i="27" s="1"/>
  <c r="F105" i="1"/>
  <c r="E105" i="1"/>
  <c r="D105" i="1"/>
  <c r="C105" i="1"/>
  <c r="D17" i="25"/>
  <c r="D21" i="25"/>
  <c r="I39" i="26" l="1"/>
  <c r="I37" i="26"/>
  <c r="F26" i="27"/>
  <c r="F27" i="27"/>
  <c r="F30" i="27" s="1"/>
  <c r="F32" i="27" s="1"/>
  <c r="K26" i="27"/>
  <c r="K27" i="27"/>
  <c r="K30" i="27" s="1"/>
  <c r="K32" i="27" s="1"/>
  <c r="I26" i="27"/>
  <c r="I27" i="27" s="1"/>
  <c r="I30" i="27" s="1"/>
  <c r="I32" i="27" s="1"/>
  <c r="G26" i="27"/>
  <c r="G27" i="27"/>
  <c r="G30" i="27" s="1"/>
  <c r="G32" i="27" s="1"/>
  <c r="E26" i="27"/>
  <c r="E27" i="27"/>
  <c r="E30" i="27" s="1"/>
  <c r="E32" i="27" s="1"/>
  <c r="J26" i="27"/>
  <c r="J27" i="27" s="1"/>
  <c r="J30" i="27" s="1"/>
  <c r="J32" i="27" s="1"/>
  <c r="D26" i="27"/>
  <c r="D27" i="27" s="1"/>
  <c r="D30" i="27" s="1"/>
  <c r="D32" i="27" s="1"/>
  <c r="C18" i="27"/>
  <c r="M16" i="27"/>
  <c r="H26" i="27"/>
  <c r="H27" i="27" s="1"/>
  <c r="H30" i="27" s="1"/>
  <c r="H32" i="27" s="1"/>
  <c r="L26" i="27"/>
  <c r="L27" i="27" s="1"/>
  <c r="L30" i="27" s="1"/>
  <c r="L32" i="27" s="1"/>
  <c r="C30" i="1"/>
  <c r="C95" i="1"/>
  <c r="C62" i="32"/>
  <c r="I15" i="26"/>
  <c r="I14" i="26"/>
  <c r="D33" i="27" l="1"/>
  <c r="D34" i="27" s="1"/>
  <c r="J34" i="27"/>
  <c r="J33" i="27"/>
  <c r="I33" i="27"/>
  <c r="I34" i="27" s="1"/>
  <c r="L33" i="27"/>
  <c r="L34" i="27"/>
  <c r="H33" i="27"/>
  <c r="H34" i="27" s="1"/>
  <c r="E33" i="27"/>
  <c r="E34" i="27" s="1"/>
  <c r="G33" i="27"/>
  <c r="G34" i="27"/>
  <c r="K33" i="27"/>
  <c r="K34" i="27" s="1"/>
  <c r="C19" i="27"/>
  <c r="C20" i="27"/>
  <c r="C23" i="27" s="1"/>
  <c r="C25" i="27" s="1"/>
  <c r="F33" i="27"/>
  <c r="F34" i="27" s="1"/>
  <c r="C21" i="26"/>
  <c r="I61" i="26"/>
  <c r="I63" i="26" s="1"/>
  <c r="I58" i="26"/>
  <c r="E5" i="33"/>
  <c r="D5" i="33"/>
  <c r="C5" i="33"/>
  <c r="B5" i="33"/>
  <c r="B17" i="33"/>
  <c r="B18" i="33"/>
  <c r="B6" i="33"/>
  <c r="C21" i="24"/>
  <c r="D21" i="24" s="1"/>
  <c r="E21" i="24" s="1"/>
  <c r="A2" i="27"/>
  <c r="A3" i="27"/>
  <c r="A1" i="27"/>
  <c r="A3" i="24"/>
  <c r="A4" i="24"/>
  <c r="A2" i="24"/>
  <c r="A2" i="20"/>
  <c r="A3" i="20"/>
  <c r="A1" i="20"/>
  <c r="A3" i="2"/>
  <c r="A2" i="2"/>
  <c r="A1" i="2"/>
  <c r="F6" i="32"/>
  <c r="F45" i="32" s="1"/>
  <c r="E6" i="32"/>
  <c r="E45" i="32" s="1"/>
  <c r="D6" i="32"/>
  <c r="D45" i="32" s="1"/>
  <c r="C6" i="32"/>
  <c r="C45" i="32" s="1"/>
  <c r="C77" i="32" s="1"/>
  <c r="C90" i="32" s="1"/>
  <c r="F5" i="32"/>
  <c r="F44" i="32" s="1"/>
  <c r="E5" i="32"/>
  <c r="E44" i="32" s="1"/>
  <c r="D5" i="32"/>
  <c r="D44" i="32" s="1"/>
  <c r="C5" i="32"/>
  <c r="C44" i="32" s="1"/>
  <c r="E6" i="33"/>
  <c r="D6" i="33"/>
  <c r="C6" i="33"/>
  <c r="C18" i="1"/>
  <c r="F5" i="1"/>
  <c r="D8" i="20" s="1"/>
  <c r="E5" i="1"/>
  <c r="E42" i="1" s="1"/>
  <c r="D5" i="1"/>
  <c r="D42" i="1" s="1"/>
  <c r="F6" i="1"/>
  <c r="F43" i="1" s="1"/>
  <c r="F79" i="1" s="1"/>
  <c r="F93" i="1" s="1"/>
  <c r="E6" i="1"/>
  <c r="E43" i="1" s="1"/>
  <c r="E79" i="1" s="1"/>
  <c r="E93" i="1" s="1"/>
  <c r="D6" i="1"/>
  <c r="D43" i="1" s="1"/>
  <c r="D79" i="1" s="1"/>
  <c r="D93" i="1" s="1"/>
  <c r="C6" i="1"/>
  <c r="C51" i="2" s="1"/>
  <c r="C35" i="2" s="1"/>
  <c r="C43" i="2" s="1"/>
  <c r="C62" i="2" s="1"/>
  <c r="C72" i="2" s="1"/>
  <c r="C20" i="2" s="1"/>
  <c r="C84" i="2" s="1"/>
  <c r="C9" i="2" s="1"/>
  <c r="C93" i="2" s="1"/>
  <c r="C101" i="2" s="1"/>
  <c r="C5" i="1"/>
  <c r="C42" i="1" s="1"/>
  <c r="C78" i="26"/>
  <c r="C83" i="26" s="1"/>
  <c r="C88" i="26" s="1"/>
  <c r="C79" i="26"/>
  <c r="C84" i="26" s="1"/>
  <c r="C89" i="26" s="1"/>
  <c r="C80" i="26"/>
  <c r="C85" i="26" s="1"/>
  <c r="C90" i="26" s="1"/>
  <c r="C77" i="26"/>
  <c r="C82" i="26" s="1"/>
  <c r="C87" i="26" s="1"/>
  <c r="C83" i="1"/>
  <c r="B15" i="33" s="1"/>
  <c r="D25" i="33"/>
  <c r="E67" i="32" s="1"/>
  <c r="E25" i="33"/>
  <c r="F67" i="32" s="1"/>
  <c r="C25" i="33"/>
  <c r="D67" i="32" s="1"/>
  <c r="D23" i="33"/>
  <c r="E56" i="32" s="1"/>
  <c r="E23" i="33"/>
  <c r="F56" i="32" s="1"/>
  <c r="C23" i="33"/>
  <c r="D56" i="32" s="1"/>
  <c r="C93" i="32"/>
  <c r="C92" i="32"/>
  <c r="C82" i="32"/>
  <c r="A68" i="32"/>
  <c r="C55" i="32"/>
  <c r="C29" i="32"/>
  <c r="A3" i="32"/>
  <c r="A41" i="32" s="1"/>
  <c r="A2" i="32"/>
  <c r="A40" i="32" s="1"/>
  <c r="A1" i="32"/>
  <c r="A39" i="32" s="1"/>
  <c r="C68" i="1"/>
  <c r="B25" i="33" s="1"/>
  <c r="C70" i="1"/>
  <c r="C108" i="1" s="1"/>
  <c r="C65" i="1"/>
  <c r="B24" i="33" s="1"/>
  <c r="C71" i="1"/>
  <c r="B18" i="27"/>
  <c r="M18" i="27" s="1"/>
  <c r="C55" i="1"/>
  <c r="C50" i="1"/>
  <c r="B22" i="33" s="1"/>
  <c r="C47" i="1"/>
  <c r="C81" i="1"/>
  <c r="B13" i="33" s="1"/>
  <c r="C24" i="1"/>
  <c r="B12" i="33" s="1"/>
  <c r="C19" i="1"/>
  <c r="B11" i="33" s="1"/>
  <c r="C17" i="1"/>
  <c r="C16" i="32" s="1"/>
  <c r="C82" i="1"/>
  <c r="C11" i="1"/>
  <c r="I52" i="26"/>
  <c r="A69" i="1"/>
  <c r="I57" i="26"/>
  <c r="D84" i="1"/>
  <c r="E84" i="1" s="1"/>
  <c r="I45" i="26"/>
  <c r="H26" i="25"/>
  <c r="D13" i="25"/>
  <c r="C99" i="1"/>
  <c r="C34" i="1" s="1"/>
  <c r="C63" i="1"/>
  <c r="C67" i="32" l="1"/>
  <c r="D65" i="1"/>
  <c r="E65" i="1" s="1"/>
  <c r="F65" i="1" s="1"/>
  <c r="C52" i="32"/>
  <c r="C26" i="27"/>
  <c r="C27" i="27" s="1"/>
  <c r="C30" i="27" s="1"/>
  <c r="C32" i="27" s="1"/>
  <c r="C69" i="1"/>
  <c r="C68" i="32" s="1"/>
  <c r="C18" i="32"/>
  <c r="E51" i="2"/>
  <c r="E35" i="2" s="1"/>
  <c r="E43" i="2" s="1"/>
  <c r="E62" i="2" s="1"/>
  <c r="E72" i="2" s="1"/>
  <c r="E20" i="2" s="1"/>
  <c r="E84" i="2" s="1"/>
  <c r="E9" i="2" s="1"/>
  <c r="E93" i="2" s="1"/>
  <c r="E101" i="2" s="1"/>
  <c r="F42" i="1"/>
  <c r="F51" i="2"/>
  <c r="F35" i="2" s="1"/>
  <c r="F43" i="2" s="1"/>
  <c r="F62" i="2" s="1"/>
  <c r="F72" i="2" s="1"/>
  <c r="F20" i="2" s="1"/>
  <c r="F84" i="2" s="1"/>
  <c r="F9" i="2" s="1"/>
  <c r="F93" i="2" s="1"/>
  <c r="F101" i="2" s="1"/>
  <c r="D51" i="2"/>
  <c r="D35" i="2" s="1"/>
  <c r="D43" i="2" s="1"/>
  <c r="D62" i="2" s="1"/>
  <c r="D72" i="2" s="1"/>
  <c r="D20" i="2" s="1"/>
  <c r="D84" i="2" s="1"/>
  <c r="D9" i="2" s="1"/>
  <c r="D93" i="2" s="1"/>
  <c r="D101" i="2" s="1"/>
  <c r="B9" i="20"/>
  <c r="C11" i="24" s="1"/>
  <c r="C79" i="32"/>
  <c r="D17" i="1"/>
  <c r="D16" i="32" s="1"/>
  <c r="C69" i="32"/>
  <c r="C64" i="32"/>
  <c r="C20" i="1"/>
  <c r="C9" i="20"/>
  <c r="C44" i="20" s="1"/>
  <c r="C81" i="32"/>
  <c r="B26" i="33"/>
  <c r="C96" i="32"/>
  <c r="C33" i="32" s="1"/>
  <c r="C56" i="2" s="1"/>
  <c r="C8" i="20"/>
  <c r="C43" i="20" s="1"/>
  <c r="I33" i="26"/>
  <c r="C85" i="1" s="1"/>
  <c r="C83" i="32" s="1"/>
  <c r="I53" i="26"/>
  <c r="I54" i="26" s="1"/>
  <c r="I55" i="26" s="1"/>
  <c r="D11" i="1" s="1"/>
  <c r="E11" i="1" s="1"/>
  <c r="D24" i="1"/>
  <c r="E24" i="1" s="1"/>
  <c r="F24" i="1" s="1"/>
  <c r="E12" i="33" s="1"/>
  <c r="F23" i="32" s="1"/>
  <c r="I59" i="26"/>
  <c r="D19" i="1" s="1"/>
  <c r="E17" i="1" s="1"/>
  <c r="E16" i="32" s="1"/>
  <c r="C70" i="32"/>
  <c r="B27" i="33"/>
  <c r="C75" i="2"/>
  <c r="D50" i="1"/>
  <c r="E50" i="1" s="1"/>
  <c r="D22" i="33" s="1"/>
  <c r="E52" i="32" s="1"/>
  <c r="E10" i="24"/>
  <c r="D43" i="20"/>
  <c r="E77" i="32"/>
  <c r="E90" i="32" s="1"/>
  <c r="A22" i="27"/>
  <c r="B19" i="27"/>
  <c r="A15" i="27"/>
  <c r="D77" i="32"/>
  <c r="D90" i="32" s="1"/>
  <c r="A29" i="27"/>
  <c r="F77" i="32"/>
  <c r="F90" i="32" s="1"/>
  <c r="C23" i="32"/>
  <c r="D9" i="20"/>
  <c r="D44" i="20" s="1"/>
  <c r="C43" i="1"/>
  <c r="C79" i="1" s="1"/>
  <c r="C93" i="1" s="1"/>
  <c r="B8" i="20"/>
  <c r="B14" i="33"/>
  <c r="D82" i="1"/>
  <c r="C80" i="32"/>
  <c r="B23" i="33"/>
  <c r="C56" i="32"/>
  <c r="C14" i="2" s="1"/>
  <c r="C58" i="1"/>
  <c r="D82" i="32"/>
  <c r="F84" i="1"/>
  <c r="C17" i="32"/>
  <c r="C19" i="32" s="1"/>
  <c r="C74" i="2" s="1"/>
  <c r="B10" i="33"/>
  <c r="E82" i="32"/>
  <c r="C10" i="32"/>
  <c r="B9" i="33"/>
  <c r="C13" i="1"/>
  <c r="C24" i="33" l="1"/>
  <c r="D64" i="32" s="1"/>
  <c r="D24" i="33"/>
  <c r="E64" i="32" s="1"/>
  <c r="B16" i="33"/>
  <c r="C33" i="27"/>
  <c r="C34" i="27"/>
  <c r="B44" i="20"/>
  <c r="B20" i="27"/>
  <c r="M20" i="27" s="1"/>
  <c r="M19" i="27"/>
  <c r="D30" i="1" s="1"/>
  <c r="D29" i="32" s="1"/>
  <c r="C73" i="1"/>
  <c r="C107" i="1"/>
  <c r="C110" i="1" s="1"/>
  <c r="D70" i="1"/>
  <c r="D108" i="1" s="1"/>
  <c r="C12" i="33"/>
  <c r="D23" i="32" s="1"/>
  <c r="C22" i="1"/>
  <c r="I77" i="26" s="1"/>
  <c r="I78" i="26" s="1"/>
  <c r="I79" i="26" s="1"/>
  <c r="I80" i="26" s="1"/>
  <c r="E19" i="1"/>
  <c r="D11" i="33" s="1"/>
  <c r="E18" i="32" s="1"/>
  <c r="E68" i="32" s="1"/>
  <c r="C11" i="33"/>
  <c r="D18" i="32" s="1"/>
  <c r="D68" i="32" s="1"/>
  <c r="C89" i="1"/>
  <c r="C26" i="1" s="1"/>
  <c r="C13" i="2"/>
  <c r="C64" i="2" s="1"/>
  <c r="C66" i="2" s="1"/>
  <c r="D83" i="1"/>
  <c r="C15" i="33" s="1"/>
  <c r="D81" i="32" s="1"/>
  <c r="D81" i="1"/>
  <c r="C13" i="33" s="1"/>
  <c r="D79" i="32" s="1"/>
  <c r="D11" i="24"/>
  <c r="C72" i="32"/>
  <c r="C58" i="32" s="1"/>
  <c r="C49" i="32" s="1"/>
  <c r="C87" i="32"/>
  <c r="C25" i="32" s="1"/>
  <c r="D85" i="1"/>
  <c r="C16" i="33" s="1"/>
  <c r="D83" i="32" s="1"/>
  <c r="D9" i="33"/>
  <c r="E10" i="32" s="1"/>
  <c r="D13" i="24" s="1"/>
  <c r="E13" i="1"/>
  <c r="D10" i="24"/>
  <c r="D69" i="1"/>
  <c r="D107" i="1" s="1"/>
  <c r="D110" i="1" s="1"/>
  <c r="D54" i="1" s="1"/>
  <c r="D96" i="1" s="1"/>
  <c r="C18" i="33" s="1"/>
  <c r="D93" i="32" s="1"/>
  <c r="C9" i="33"/>
  <c r="D10" i="32" s="1"/>
  <c r="C13" i="24" s="1"/>
  <c r="C15" i="24" s="1"/>
  <c r="C18" i="24" s="1"/>
  <c r="C23" i="24" s="1"/>
  <c r="C39" i="33" s="1"/>
  <c r="D13" i="1"/>
  <c r="D12" i="33"/>
  <c r="E23" i="32" s="1"/>
  <c r="C76" i="2"/>
  <c r="C22" i="33"/>
  <c r="D52" i="32" s="1"/>
  <c r="D95" i="1"/>
  <c r="E11" i="24"/>
  <c r="E95" i="1"/>
  <c r="C17" i="33"/>
  <c r="B43" i="20"/>
  <c r="C10" i="24"/>
  <c r="F11" i="1"/>
  <c r="F70" i="1" s="1"/>
  <c r="F108" i="1" s="1"/>
  <c r="E70" i="1"/>
  <c r="E108" i="1" s="1"/>
  <c r="F50" i="1"/>
  <c r="E22" i="33" s="1"/>
  <c r="F52" i="32" s="1"/>
  <c r="C22" i="2"/>
  <c r="C28" i="2" s="1"/>
  <c r="B32" i="33" s="1"/>
  <c r="C12" i="32"/>
  <c r="C21" i="32" s="1"/>
  <c r="B23" i="27"/>
  <c r="M23" i="27" s="1"/>
  <c r="D63" i="1"/>
  <c r="E82" i="1"/>
  <c r="C14" i="33"/>
  <c r="D80" i="32" s="1"/>
  <c r="C74" i="1"/>
  <c r="E24" i="33"/>
  <c r="F64" i="32" s="1"/>
  <c r="F17" i="1"/>
  <c r="F82" i="32"/>
  <c r="E85" i="1" l="1"/>
  <c r="F85" i="1" s="1"/>
  <c r="F19" i="1"/>
  <c r="E11" i="33" s="1"/>
  <c r="F18" i="32" s="1"/>
  <c r="F68" i="32" s="1"/>
  <c r="C26" i="33"/>
  <c r="D69" i="32" s="1"/>
  <c r="D22" i="2" s="1"/>
  <c r="D28" i="2" s="1"/>
  <c r="C32" i="33" s="1"/>
  <c r="C11" i="2"/>
  <c r="B33" i="33" s="1"/>
  <c r="D75" i="2"/>
  <c r="C28" i="1"/>
  <c r="C32" i="1" s="1"/>
  <c r="C36" i="1" s="1"/>
  <c r="E69" i="1"/>
  <c r="E107" i="1" s="1"/>
  <c r="E110" i="1" s="1"/>
  <c r="E54" i="1" s="1"/>
  <c r="E83" i="1"/>
  <c r="F83" i="1" s="1"/>
  <c r="D99" i="1"/>
  <c r="D34" i="1" s="1"/>
  <c r="E96" i="1"/>
  <c r="F96" i="1" s="1"/>
  <c r="D89" i="1"/>
  <c r="D26" i="1" s="1"/>
  <c r="D55" i="32"/>
  <c r="D14" i="2" s="1"/>
  <c r="B13" i="20" s="1"/>
  <c r="B48" i="20" s="1"/>
  <c r="C95" i="2"/>
  <c r="B34" i="33" s="1"/>
  <c r="C86" i="2"/>
  <c r="D12" i="32"/>
  <c r="E81" i="1"/>
  <c r="D13" i="33" s="1"/>
  <c r="E79" i="32" s="1"/>
  <c r="D71" i="1"/>
  <c r="C27" i="33" s="1"/>
  <c r="D70" i="32" s="1"/>
  <c r="E12" i="32"/>
  <c r="D26" i="33"/>
  <c r="E69" i="32" s="1"/>
  <c r="E22" i="2" s="1"/>
  <c r="E28" i="2" s="1"/>
  <c r="D32" i="33" s="1"/>
  <c r="D15" i="24"/>
  <c r="D18" i="24" s="1"/>
  <c r="D23" i="24" s="1"/>
  <c r="D39" i="33" s="1"/>
  <c r="D17" i="33"/>
  <c r="D92" i="32"/>
  <c r="D96" i="32" s="1"/>
  <c r="D33" i="32" s="1"/>
  <c r="D56" i="2" s="1"/>
  <c r="F95" i="1"/>
  <c r="D87" i="32"/>
  <c r="D25" i="32" s="1"/>
  <c r="E9" i="33"/>
  <c r="F13" i="1"/>
  <c r="D62" i="32"/>
  <c r="C27" i="32"/>
  <c r="C31" i="32" s="1"/>
  <c r="C37" i="2"/>
  <c r="B30" i="33" s="1"/>
  <c r="B25" i="27"/>
  <c r="M25" i="27" s="1"/>
  <c r="F16" i="32"/>
  <c r="E75" i="2"/>
  <c r="D14" i="33"/>
  <c r="E80" i="32" s="1"/>
  <c r="F82" i="1"/>
  <c r="D22" i="1"/>
  <c r="E26" i="33"/>
  <c r="F69" i="32" s="1"/>
  <c r="D16" i="33" l="1"/>
  <c r="E83" i="32" s="1"/>
  <c r="F69" i="1"/>
  <c r="F107" i="1" s="1"/>
  <c r="F110" i="1" s="1"/>
  <c r="F54" i="1" s="1"/>
  <c r="F71" i="1" s="1"/>
  <c r="E27" i="33" s="1"/>
  <c r="F70" i="32" s="1"/>
  <c r="D11" i="20" s="1"/>
  <c r="D18" i="33"/>
  <c r="E93" i="32" s="1"/>
  <c r="D15" i="33"/>
  <c r="E81" i="32" s="1"/>
  <c r="E87" i="32" s="1"/>
  <c r="E25" i="32" s="1"/>
  <c r="E89" i="1"/>
  <c r="E26" i="1" s="1"/>
  <c r="E99" i="1"/>
  <c r="E34" i="1" s="1"/>
  <c r="D73" i="1"/>
  <c r="D58" i="1" s="1"/>
  <c r="D47" i="1" s="1"/>
  <c r="F81" i="1"/>
  <c r="E13" i="33" s="1"/>
  <c r="F79" i="32" s="1"/>
  <c r="E55" i="32"/>
  <c r="E14" i="2" s="1"/>
  <c r="C13" i="20" s="1"/>
  <c r="C48" i="20" s="1"/>
  <c r="E71" i="1"/>
  <c r="D27" i="33" s="1"/>
  <c r="E70" i="32" s="1"/>
  <c r="C11" i="20" s="1"/>
  <c r="D72" i="32"/>
  <c r="D58" i="32" s="1"/>
  <c r="D49" i="32" s="1"/>
  <c r="D86" i="2" s="1"/>
  <c r="D13" i="2"/>
  <c r="D64" i="2" s="1"/>
  <c r="D66" i="2" s="1"/>
  <c r="F10" i="32"/>
  <c r="E13" i="24" s="1"/>
  <c r="E15" i="24" s="1"/>
  <c r="E18" i="24" s="1"/>
  <c r="E23" i="24" s="1"/>
  <c r="E39" i="33" s="1"/>
  <c r="B11" i="20"/>
  <c r="E17" i="33"/>
  <c r="F92" i="32" s="1"/>
  <c r="E92" i="32"/>
  <c r="C35" i="32"/>
  <c r="C55" i="2"/>
  <c r="C53" i="2" s="1"/>
  <c r="B26" i="27"/>
  <c r="E18" i="33"/>
  <c r="F93" i="32" s="1"/>
  <c r="E15" i="33"/>
  <c r="F81" i="32" s="1"/>
  <c r="D28" i="1"/>
  <c r="D32" i="1" s="1"/>
  <c r="D20" i="1"/>
  <c r="D18" i="1" s="1"/>
  <c r="F75" i="2"/>
  <c r="F22" i="1"/>
  <c r="E22" i="1"/>
  <c r="E16" i="33"/>
  <c r="F83" i="32" s="1"/>
  <c r="F99" i="1"/>
  <c r="F34" i="1" s="1"/>
  <c r="E14" i="33"/>
  <c r="F55" i="32" l="1"/>
  <c r="F14" i="2" s="1"/>
  <c r="D13" i="20" s="1"/>
  <c r="D48" i="20" s="1"/>
  <c r="E96" i="32"/>
  <c r="E33" i="32" s="1"/>
  <c r="E56" i="2" s="1"/>
  <c r="E13" i="2"/>
  <c r="C22" i="20" s="1"/>
  <c r="C56" i="20" s="1"/>
  <c r="M26" i="27"/>
  <c r="E30" i="1" s="1"/>
  <c r="E29" i="32" s="1"/>
  <c r="D74" i="1"/>
  <c r="D11" i="2"/>
  <c r="C33" i="33" s="1"/>
  <c r="B22" i="20"/>
  <c r="B56" i="20" s="1"/>
  <c r="D95" i="2"/>
  <c r="C34" i="33" s="1"/>
  <c r="F89" i="1"/>
  <c r="F26" i="1" s="1"/>
  <c r="F28" i="1" s="1"/>
  <c r="F96" i="32"/>
  <c r="F33" i="32" s="1"/>
  <c r="F56" i="2" s="1"/>
  <c r="F22" i="2"/>
  <c r="F28" i="2" s="1"/>
  <c r="E32" i="33" s="1"/>
  <c r="F12" i="32"/>
  <c r="F80" i="32"/>
  <c r="F87" i="32" s="1"/>
  <c r="F25" i="32" s="1"/>
  <c r="F13" i="2"/>
  <c r="B46" i="20"/>
  <c r="B54" i="20" s="1"/>
  <c r="B16" i="20"/>
  <c r="B27" i="27"/>
  <c r="M27" i="27" s="1"/>
  <c r="F20" i="1"/>
  <c r="F18" i="1" s="1"/>
  <c r="E28" i="1"/>
  <c r="E20" i="1"/>
  <c r="E18" i="1" s="1"/>
  <c r="C10" i="33"/>
  <c r="D36" i="1"/>
  <c r="B19" i="33"/>
  <c r="C45" i="2"/>
  <c r="B31" i="33" s="1"/>
  <c r="C103" i="2"/>
  <c r="E64" i="2" l="1"/>
  <c r="E66" i="2" s="1"/>
  <c r="E11" i="2"/>
  <c r="D33" i="33" s="1"/>
  <c r="E32" i="1"/>
  <c r="E36" i="1" s="1"/>
  <c r="D17" i="32"/>
  <c r="D19" i="32" s="1"/>
  <c r="B26" i="20"/>
  <c r="B19" i="20"/>
  <c r="B24" i="20" s="1"/>
  <c r="D22" i="20"/>
  <c r="D56" i="20" s="1"/>
  <c r="F64" i="2"/>
  <c r="F66" i="2" s="1"/>
  <c r="F11" i="2"/>
  <c r="E33" i="33" s="1"/>
  <c r="B30" i="27"/>
  <c r="M30" i="27" s="1"/>
  <c r="E63" i="1"/>
  <c r="B51" i="20"/>
  <c r="D10" i="33"/>
  <c r="E10" i="33"/>
  <c r="C46" i="20"/>
  <c r="C54" i="20" s="1"/>
  <c r="C16" i="20"/>
  <c r="D21" i="32" l="1"/>
  <c r="D37" i="2" s="1"/>
  <c r="C30" i="33" s="1"/>
  <c r="D74" i="2"/>
  <c r="D76" i="2" s="1"/>
  <c r="E17" i="32"/>
  <c r="E19" i="32" s="1"/>
  <c r="F17" i="32"/>
  <c r="F19" i="32" s="1"/>
  <c r="B28" i="20"/>
  <c r="C37" i="33" s="1"/>
  <c r="B32" i="27"/>
  <c r="M32" i="27" s="1"/>
  <c r="B58" i="20"/>
  <c r="B60" i="20"/>
  <c r="D16" i="20"/>
  <c r="D46" i="20"/>
  <c r="D54" i="20" s="1"/>
  <c r="C51" i="20"/>
  <c r="C19" i="20"/>
  <c r="C24" i="20" s="1"/>
  <c r="C26" i="20"/>
  <c r="E73" i="1"/>
  <c r="E58" i="1" s="1"/>
  <c r="E62" i="32"/>
  <c r="E72" i="32" s="1"/>
  <c r="E58" i="32" s="1"/>
  <c r="E49" i="32" s="1"/>
  <c r="D27" i="32" l="1"/>
  <c r="D31" i="32" s="1"/>
  <c r="D35" i="32" s="1"/>
  <c r="F21" i="32"/>
  <c r="F37" i="2" s="1"/>
  <c r="E30" i="33" s="1"/>
  <c r="F74" i="2"/>
  <c r="F76" i="2" s="1"/>
  <c r="E21" i="32"/>
  <c r="E27" i="32" s="1"/>
  <c r="E31" i="32" s="1"/>
  <c r="E74" i="2"/>
  <c r="E76" i="2" s="1"/>
  <c r="C28" i="20"/>
  <c r="D37" i="33" s="1"/>
  <c r="B62" i="20"/>
  <c r="C38" i="33" s="1"/>
  <c r="D51" i="20"/>
  <c r="C60" i="20"/>
  <c r="C58" i="20"/>
  <c r="B33" i="27"/>
  <c r="E95" i="2"/>
  <c r="D34" i="33" s="1"/>
  <c r="E86" i="2"/>
  <c r="E47" i="1"/>
  <c r="E74" i="1"/>
  <c r="D26" i="20"/>
  <c r="D19" i="20"/>
  <c r="D24" i="20" s="1"/>
  <c r="D55" i="2" l="1"/>
  <c r="D53" i="2" s="1"/>
  <c r="M33" i="27"/>
  <c r="F30" i="1" s="1"/>
  <c r="E37" i="2"/>
  <c r="D30" i="33" s="1"/>
  <c r="F27" i="32"/>
  <c r="D28" i="20"/>
  <c r="E37" i="33" s="1"/>
  <c r="B34" i="27"/>
  <c r="C62" i="20"/>
  <c r="D38" i="33" s="1"/>
  <c r="D103" i="2"/>
  <c r="C19" i="33"/>
  <c r="D45" i="2"/>
  <c r="C31" i="33" s="1"/>
  <c r="E35" i="32"/>
  <c r="E55" i="2"/>
  <c r="E53" i="2" s="1"/>
  <c r="D58" i="20"/>
  <c r="D60" i="20"/>
  <c r="F29" i="32" l="1"/>
  <c r="F32" i="1"/>
  <c r="F36" i="1" s="1"/>
  <c r="M34" i="27"/>
  <c r="F63" i="1" s="1"/>
  <c r="F31" i="32"/>
  <c r="F35" i="32" s="1"/>
  <c r="D62" i="20"/>
  <c r="E38" i="33" s="1"/>
  <c r="E45" i="2"/>
  <c r="D31" i="33" s="1"/>
  <c r="D19" i="33"/>
  <c r="E103" i="2"/>
  <c r="F73" i="1" l="1"/>
  <c r="F58" i="1" s="1"/>
  <c r="F62" i="32"/>
  <c r="F72" i="32" s="1"/>
  <c r="F58" i="32" s="1"/>
  <c r="F49" i="32" s="1"/>
  <c r="F95" i="2" s="1"/>
  <c r="E34" i="33" s="1"/>
  <c r="F55" i="2"/>
  <c r="F53" i="2" s="1"/>
  <c r="E19" i="33"/>
  <c r="F45" i="2"/>
  <c r="E31" i="33" s="1"/>
  <c r="F103" i="2" l="1"/>
  <c r="F86" i="2"/>
  <c r="F47" i="1"/>
  <c r="F74" i="1"/>
</calcChain>
</file>

<file path=xl/sharedStrings.xml><?xml version="1.0" encoding="utf-8"?>
<sst xmlns="http://schemas.openxmlformats.org/spreadsheetml/2006/main" count="465" uniqueCount="289">
  <si>
    <t>PARTICULARS</t>
  </si>
  <si>
    <t>Opening Stock</t>
  </si>
  <si>
    <t>Closing Stock</t>
  </si>
  <si>
    <t>Current Liabilities</t>
  </si>
  <si>
    <t>Debtors</t>
  </si>
  <si>
    <t>Interest</t>
  </si>
  <si>
    <t>Cost of Goods Sold:</t>
  </si>
  <si>
    <t>TRADING, PROFIT &amp; LOSS ACCOUNT FOR YEAR ENDED</t>
  </si>
  <si>
    <t>SOURCES OF FUNDS:</t>
  </si>
  <si>
    <t>APPLICATION OF FUNDS:</t>
  </si>
  <si>
    <t>BALANCE SHEET AS ON</t>
  </si>
  <si>
    <t>COGS</t>
  </si>
  <si>
    <t>AVERAGE STOCK</t>
  </si>
  <si>
    <t>Higher the ratio indicates good performance of the company. Lower ratio indicates poor performance.</t>
  </si>
  <si>
    <t xml:space="preserve">* No. of  Days  Assumed  as </t>
  </si>
  <si>
    <t>(No of days/debtor turnover ratio)</t>
  </si>
  <si>
    <t>It Indicates Inventory Management . It shows how offten company sells it inventory.</t>
  </si>
  <si>
    <t>collection.</t>
  </si>
  <si>
    <t>Credit sales / Average debtors</t>
  </si>
  <si>
    <t>*Sales assumed as credit sales</t>
  </si>
  <si>
    <t>RATIO ANALYSIS</t>
  </si>
  <si>
    <t>Gross profit / Sales * 100</t>
  </si>
  <si>
    <t>Netprofit / Sales * 100</t>
  </si>
  <si>
    <t>Particulars</t>
  </si>
  <si>
    <t>Partiiculars</t>
  </si>
  <si>
    <t>Sales / Networking Capital</t>
  </si>
  <si>
    <t>Current Assets / Current Liabilities</t>
  </si>
  <si>
    <t>Current Assets</t>
  </si>
  <si>
    <t>Networking capital (CA - CL)</t>
  </si>
  <si>
    <t>IDEAL RATIO   -   &gt;  1</t>
  </si>
  <si>
    <t>Sales / (Capital+Long Term  Loan)</t>
  </si>
  <si>
    <t>STR = (COGS / AVRG STOCK)</t>
  </si>
  <si>
    <t>PAT / (Capital+Long Term loan)</t>
  </si>
  <si>
    <t>Depreciation</t>
  </si>
  <si>
    <t>EBI</t>
  </si>
  <si>
    <t>E B I   / Interest</t>
  </si>
  <si>
    <t>Sch 1</t>
  </si>
  <si>
    <t>Schedules</t>
  </si>
  <si>
    <t>Schedule 1  -  Explanation for Administrative &amp; Selling Expenses</t>
  </si>
  <si>
    <t>Schedule 2  - Interest Statement</t>
  </si>
  <si>
    <t>Sch 2</t>
  </si>
  <si>
    <t>Turnover</t>
  </si>
  <si>
    <t xml:space="preserve"> 1. Total current assets</t>
  </si>
  <si>
    <t xml:space="preserve"> 2. Other  current liabilities</t>
  </si>
  <si>
    <t xml:space="preserve">    (Other than bank borrowings )</t>
  </si>
  <si>
    <t xml:space="preserve"> 3. Working capital gap</t>
  </si>
  <si>
    <t xml:space="preserve"> 5. Actual/projected net working capital</t>
  </si>
  <si>
    <t xml:space="preserve"> 6.Item 3 minus item 4</t>
  </si>
  <si>
    <t xml:space="preserve"> 7.Item 3 minus item 5</t>
  </si>
  <si>
    <t xml:space="preserve"> 8. Maximum permissible bank</t>
  </si>
  <si>
    <t xml:space="preserve">    finance(lower of 6 or 7 )</t>
  </si>
  <si>
    <t>CALCULATION OF MAXIMUM PERMISSIBLE BANK FINANCE</t>
  </si>
  <si>
    <t xml:space="preserve"> 4. Min. stipulated Networking capital</t>
  </si>
  <si>
    <t xml:space="preserve">    (25% of WCG excluding export</t>
  </si>
  <si>
    <t xml:space="preserve">     receivables)</t>
  </si>
  <si>
    <r>
      <rPr>
        <b/>
        <sz val="10"/>
        <rFont val="Trebuchet MS"/>
        <family val="2"/>
      </rPr>
      <t>NOTE</t>
    </r>
    <r>
      <rPr>
        <sz val="10"/>
        <rFont val="Trebuchet MS"/>
        <family val="2"/>
      </rPr>
      <t xml:space="preserve"> : Ability to generate Sales per Rupee of Long term Investment</t>
    </r>
  </si>
  <si>
    <r>
      <t xml:space="preserve">NOTE : </t>
    </r>
    <r>
      <rPr>
        <sz val="10"/>
        <rFont val="Trebuchet MS"/>
        <family val="2"/>
      </rPr>
      <t>Ability to generate sales per Rupee of Working Capital</t>
    </r>
  </si>
  <si>
    <r>
      <rPr>
        <b/>
        <sz val="10"/>
        <rFont val="Trebuchet MS"/>
        <family val="2"/>
      </rPr>
      <t xml:space="preserve">NOTES </t>
    </r>
    <r>
      <rPr>
        <sz val="10"/>
        <rFont val="Trebuchet MS"/>
        <family val="2"/>
      </rPr>
      <t xml:space="preserve">: Stock turn over ratio anaysis helps us to understand business performance of the company. </t>
    </r>
  </si>
  <si>
    <r>
      <t>NOTES :</t>
    </r>
    <r>
      <rPr>
        <sz val="10"/>
        <rFont val="Trebuchet MS"/>
        <family val="2"/>
      </rPr>
      <t xml:space="preserve"> Indicates Basic Profitability of the Business.</t>
    </r>
  </si>
  <si>
    <r>
      <t>NOTES :</t>
    </r>
    <r>
      <rPr>
        <sz val="10"/>
        <rFont val="Trebuchet MS"/>
        <family val="2"/>
      </rPr>
      <t xml:space="preserve"> Indicates overall Profitability of the Business.</t>
    </r>
  </si>
  <si>
    <r>
      <rPr>
        <b/>
        <sz val="10"/>
        <rFont val="Trebuchet MS"/>
        <family val="2"/>
      </rPr>
      <t xml:space="preserve">NOTES : </t>
    </r>
    <r>
      <rPr>
        <sz val="10"/>
        <rFont val="Trebuchet MS"/>
        <family val="2"/>
      </rPr>
      <t>Indicates Ability to repay short term commitments promptly .</t>
    </r>
  </si>
  <si>
    <r>
      <rPr>
        <b/>
        <sz val="10"/>
        <rFont val="Trebuchet MS"/>
        <family val="2"/>
      </rPr>
      <t>NOTES :</t>
    </r>
    <r>
      <rPr>
        <sz val="10"/>
        <rFont val="Trebuchet MS"/>
        <family val="2"/>
      </rPr>
      <t xml:space="preserve"> Indicates Extent of own funds used in business.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</si>
  <si>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overall profitability of Business for capital employed .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</si>
  <si>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ability to meet Interest Obligation of the current year .</t>
    </r>
  </si>
  <si>
    <r>
      <rPr>
        <b/>
        <sz val="10"/>
        <color indexed="8"/>
        <rFont val="Trebuchet MS"/>
        <family val="2"/>
      </rPr>
      <t xml:space="preserve">NOTES : </t>
    </r>
    <r>
      <rPr>
        <sz val="10"/>
        <color indexed="8"/>
        <rFont val="Trebuchet MS"/>
        <family val="2"/>
      </rPr>
      <t xml:space="preserve">It indicates velocity of debt collection. Higer the DTR indicates good vellocity of debt </t>
    </r>
  </si>
  <si>
    <t>DEBTORS COLLECTION PERIOD :</t>
  </si>
  <si>
    <t>Cash and Cash Equivalents</t>
  </si>
  <si>
    <t>Operating Expenses</t>
  </si>
  <si>
    <t>TOL / TW</t>
  </si>
  <si>
    <t>Electricity</t>
  </si>
  <si>
    <t>Salaries &amp; Wages</t>
  </si>
  <si>
    <t xml:space="preserve">    (25% of Current Assets)</t>
  </si>
  <si>
    <t>MPBF - Method 1 - 25%(Working Capital Gap)</t>
  </si>
  <si>
    <t>MPBF - Method 2 - 25%(Current Assets)</t>
  </si>
  <si>
    <t>Processing Charges</t>
  </si>
  <si>
    <t>TERM LOANS:</t>
  </si>
  <si>
    <t>Net Capital</t>
  </si>
  <si>
    <t>(Opening capital + Net profit -Drawings)</t>
  </si>
  <si>
    <t>FIXED ASSETS:</t>
  </si>
  <si>
    <t>CURRENT ASSETS:</t>
  </si>
  <si>
    <t>H . CAPITAL TURNOVER RATIO</t>
  </si>
  <si>
    <t>CURRENT LIABILITIES:</t>
  </si>
  <si>
    <t>WORKING CAPITAL ASSESSMENT - TURNOVER METHOD</t>
  </si>
  <si>
    <t>NAYAK COMMITTEE RECOMONDATIONS</t>
  </si>
  <si>
    <t>(25% of Turnover)</t>
  </si>
  <si>
    <t>Drawing Power</t>
  </si>
  <si>
    <t>Maximum Bank CC Loan</t>
  </si>
  <si>
    <t>Notes :</t>
  </si>
  <si>
    <t>1. Maximum Working capital Limit Must not exceed Drawing power .</t>
  </si>
  <si>
    <t>2. Four Operating cycles per Annum is Assumed.</t>
  </si>
  <si>
    <t>OF</t>
  </si>
  <si>
    <t>PREPARED BY</t>
  </si>
  <si>
    <t>Direct Material &amp; Expenses</t>
  </si>
  <si>
    <t>Stock growth every year</t>
  </si>
  <si>
    <t>Projected</t>
  </si>
  <si>
    <t>Sales growth</t>
  </si>
  <si>
    <t>Working capital loan interest</t>
  </si>
  <si>
    <t>Growth of WC interest</t>
  </si>
  <si>
    <t>Furniture and Fittings</t>
  </si>
  <si>
    <t>Plant and Machinery</t>
  </si>
  <si>
    <t>Stock value</t>
  </si>
  <si>
    <t>Name of Firm</t>
  </si>
  <si>
    <t>Proprietor / MP / MD Name</t>
  </si>
  <si>
    <t>Firm address</t>
  </si>
  <si>
    <t>Estimated</t>
  </si>
  <si>
    <t>times of Working capital</t>
  </si>
  <si>
    <t>Working capital (% on Turnover)</t>
  </si>
  <si>
    <t>Other Assets</t>
  </si>
  <si>
    <t>Vehicle</t>
  </si>
  <si>
    <t>of working capital limit</t>
  </si>
  <si>
    <t>of previous year stock</t>
  </si>
  <si>
    <t>Yes</t>
  </si>
  <si>
    <t>CALCULATION OF DEPRECIATION AS PER INCOME TAX  ACT</t>
  </si>
  <si>
    <t>Rs in lacs</t>
  </si>
  <si>
    <t>Total</t>
  </si>
  <si>
    <t>Add Additions</t>
  </si>
  <si>
    <t>Depreciation rates</t>
  </si>
  <si>
    <t>Manual entry</t>
  </si>
  <si>
    <t>No</t>
  </si>
  <si>
    <t>compared to previous year</t>
  </si>
  <si>
    <t>of loan amount</t>
  </si>
  <si>
    <t>per annum</t>
  </si>
  <si>
    <t>Loan amount</t>
  </si>
  <si>
    <t xml:space="preserve">Sales   </t>
  </si>
  <si>
    <t>on Sales</t>
  </si>
  <si>
    <t>Nature of Business</t>
  </si>
  <si>
    <r>
      <t xml:space="preserve">Arrived sale for Estimated year </t>
    </r>
    <r>
      <rPr>
        <b/>
        <sz val="10"/>
        <color indexed="10"/>
        <rFont val="Arial"/>
        <family val="2"/>
      </rPr>
      <t>(Higher of A / B)</t>
    </r>
  </si>
  <si>
    <r>
      <t xml:space="preserve">Turnover as per Working Capital to sales Ideal ratio </t>
    </r>
    <r>
      <rPr>
        <b/>
        <sz val="10"/>
        <color indexed="10"/>
        <rFont val="Arial"/>
        <family val="2"/>
      </rPr>
      <t>(A)</t>
    </r>
  </si>
  <si>
    <t>Yearly pricipal deduction</t>
  </si>
  <si>
    <t>Interest on Other loans</t>
  </si>
  <si>
    <t>Secured and Unsecured Loans</t>
  </si>
  <si>
    <r>
      <t xml:space="preserve">Stock as per WC Loan </t>
    </r>
    <r>
      <rPr>
        <b/>
        <sz val="10"/>
        <color indexed="10"/>
        <rFont val="Arial"/>
        <family val="2"/>
      </rPr>
      <t>(A)</t>
    </r>
  </si>
  <si>
    <t>Other current liabilities</t>
  </si>
  <si>
    <t>INVESTMENTS:</t>
  </si>
  <si>
    <t>Other current Assets</t>
  </si>
  <si>
    <r>
      <t xml:space="preserve">Arrived stock in estimated </t>
    </r>
    <r>
      <rPr>
        <b/>
        <sz val="10"/>
        <color indexed="10"/>
        <rFont val="Arial"/>
        <family val="2"/>
      </rPr>
      <t>(A) or (B)</t>
    </r>
    <r>
      <rPr>
        <b/>
        <sz val="10"/>
        <rFont val="Arial"/>
        <family val="2"/>
      </rPr>
      <t xml:space="preserve"> Which ever is higher</t>
    </r>
  </si>
  <si>
    <t>Loan repayment term period</t>
  </si>
  <si>
    <t>Bank CC/OD loan</t>
  </si>
  <si>
    <t>Gross Reciepts:</t>
  </si>
  <si>
    <t>Section</t>
  </si>
  <si>
    <t>Question</t>
  </si>
  <si>
    <t>Question Type</t>
  </si>
  <si>
    <t>Editable</t>
  </si>
  <si>
    <t>Options</t>
  </si>
  <si>
    <t>Min - Max</t>
  </si>
  <si>
    <t>Details which are required to be given by Customer</t>
  </si>
  <si>
    <t>Answer</t>
  </si>
  <si>
    <t>Sector</t>
  </si>
  <si>
    <t>1st Financial year</t>
  </si>
  <si>
    <t>2nd Financial year</t>
  </si>
  <si>
    <t>3rd Financial year</t>
  </si>
  <si>
    <t>4th Financial year</t>
  </si>
  <si>
    <t>Means of Finance details</t>
  </si>
  <si>
    <t>General Information</t>
  </si>
  <si>
    <t>If Non Operating income exists in Provisional , then growth of it to be</t>
  </si>
  <si>
    <t>Off Admin and Marketing Expenses</t>
  </si>
  <si>
    <t>Rent</t>
  </si>
  <si>
    <t>When ever editing is done , this totally must be calculated automatically</t>
  </si>
  <si>
    <t>Non Operating Income (E)</t>
  </si>
  <si>
    <t>Adm &amp; Selling Expenses(F)</t>
  </si>
  <si>
    <t>Less: Interest (J)</t>
  </si>
  <si>
    <t>EBIT( I = G - H )</t>
  </si>
  <si>
    <t>EBT(K = I - J)</t>
  </si>
  <si>
    <t>Service Equipment</t>
  </si>
  <si>
    <t>Yes,No</t>
  </si>
  <si>
    <t>Audited period sale</t>
  </si>
  <si>
    <r>
      <t xml:space="preserve">Stock as per Audited financial statements </t>
    </r>
    <r>
      <rPr>
        <b/>
        <sz val="10"/>
        <color indexed="10"/>
        <rFont val="Arial"/>
        <family val="2"/>
      </rPr>
      <t>(B)</t>
    </r>
  </si>
  <si>
    <t>Are there any Other Term loans as per Audited financial statements?</t>
  </si>
  <si>
    <r>
      <t xml:space="preserve">Estimated period sale based on Audited performance at 20% growth </t>
    </r>
    <r>
      <rPr>
        <b/>
        <sz val="10"/>
        <color indexed="10"/>
        <rFont val="Arial"/>
        <family val="2"/>
      </rPr>
      <t>(B)</t>
    </r>
  </si>
  <si>
    <r>
      <t xml:space="preserve">Turnover </t>
    </r>
    <r>
      <rPr>
        <b/>
        <sz val="20"/>
        <rFont val="Trebuchet MS"/>
        <family val="2"/>
      </rPr>
      <t>(A1)</t>
    </r>
  </si>
  <si>
    <t>Gross Profit ( D = A1- A- B+ C)</t>
  </si>
  <si>
    <t>EBDIT(G = D+ E- F)</t>
  </si>
  <si>
    <r>
      <t xml:space="preserve">Less : Depreciation  </t>
    </r>
    <r>
      <rPr>
        <b/>
        <sz val="20"/>
        <rFont val="Trebuchet MS"/>
        <family val="2"/>
      </rPr>
      <t>(H)</t>
    </r>
  </si>
  <si>
    <t>Processing fees (Inclusing GST)</t>
  </si>
  <si>
    <t>Audited / Provisional</t>
  </si>
  <si>
    <t>Gross Profit</t>
  </si>
  <si>
    <t>Non Operating Income</t>
  </si>
  <si>
    <t>EBDIT</t>
  </si>
  <si>
    <t xml:space="preserve">Less : Depreciation </t>
  </si>
  <si>
    <t>EBIT</t>
  </si>
  <si>
    <t>Less: Interest</t>
  </si>
  <si>
    <t>EBT</t>
  </si>
  <si>
    <t xml:space="preserve">Turnover </t>
  </si>
  <si>
    <t xml:space="preserve">Non Operating Income </t>
  </si>
  <si>
    <t>Net Capital (Opening capital +Net Profit -Drawings)</t>
  </si>
  <si>
    <t>Term Loans (Secured and Unsecured Loans Total)</t>
  </si>
  <si>
    <t xml:space="preserve">Current Liabilities </t>
  </si>
  <si>
    <t>Gross Total Fixed Assets</t>
  </si>
  <si>
    <t>Net Total Fixed Assets</t>
  </si>
  <si>
    <t>Investments</t>
  </si>
  <si>
    <t>Other Current Assets if any</t>
  </si>
  <si>
    <t>FINVOIS OPEN BUSINESS SOLUTIONS LLP</t>
  </si>
  <si>
    <t>Contact : 9618221011</t>
  </si>
  <si>
    <t xml:space="preserve">Do you have working capital limit at present ? </t>
  </si>
  <si>
    <t xml:space="preserve">Working capital Loan requirement </t>
  </si>
  <si>
    <t>Financial Year</t>
  </si>
  <si>
    <t>Dropdown options to be provided</t>
  </si>
  <si>
    <t>Interest on CC/OD Loan</t>
  </si>
  <si>
    <t>Interest on Other Loans</t>
  </si>
  <si>
    <t>STEP 2 : BACK GROUND CALCULATION . NOT TO BE VISIBLE TO CUSTOMER</t>
  </si>
  <si>
    <t xml:space="preserve">WORKINGS FOR PROFIT AND LOSS ACCOUNT </t>
  </si>
  <si>
    <t xml:space="preserve">WORKINGS FOR BALANCE SHEET </t>
  </si>
  <si>
    <t>Workings for Administrative &amp; Selling Expenses</t>
  </si>
  <si>
    <t>Workings for  Interest Statement</t>
  </si>
  <si>
    <t>Current Ratio</t>
  </si>
  <si>
    <t>GROSS PROFIT RATIO</t>
  </si>
  <si>
    <t>DEBTORS TURNOVER RATIO</t>
  </si>
  <si>
    <t>As per Audited figures</t>
  </si>
  <si>
    <t>CASH AND CASH EQUIVALENTS</t>
  </si>
  <si>
    <t xml:space="preserve">Audited </t>
  </si>
  <si>
    <t>Audited or Provisional financial figures</t>
  </si>
  <si>
    <t>STEP 1</t>
  </si>
  <si>
    <t>ASSUMPTIONS</t>
  </si>
  <si>
    <t>STEP 3 : DISPLAY TO CUSTOMER FOR MAKING EDITING</t>
  </si>
  <si>
    <t>Depreciation Schedule</t>
  </si>
  <si>
    <t>15% or more than 15%</t>
  </si>
  <si>
    <t>Manufacturing sector / Service sector (with stock) / Trading sector</t>
  </si>
  <si>
    <t>2024 - 25 to provide 10 years with Start Month to End Month</t>
  </si>
  <si>
    <t>Profit and Loss Items at a Glance :</t>
  </si>
  <si>
    <t>Term Loans(Secured and Unsecured)</t>
  </si>
  <si>
    <t>Financials and Ratios at a Glance</t>
  </si>
  <si>
    <t>RATIO ANALYSIS at a Glance: (Not Editable but displayed)</t>
  </si>
  <si>
    <t>Balance Sheet Items at a Glance:</t>
  </si>
  <si>
    <t>All Items Editable</t>
  </si>
  <si>
    <t>Audited, Hence Not editable</t>
  </si>
  <si>
    <t>Gross profit ratio (%)</t>
  </si>
  <si>
    <t>Net Profit Ratio (%)</t>
  </si>
  <si>
    <t>Debtors Turonver Ratio (Days)</t>
  </si>
  <si>
    <t>Total outside Liabilities to Total Networth</t>
  </si>
  <si>
    <t>MSME &amp; DPR Consultants</t>
  </si>
  <si>
    <t>Less :Admintrative &amp; Selling Expenses</t>
  </si>
  <si>
    <t>Net Profit Before tax</t>
  </si>
  <si>
    <t>Office Admin, Marketing and Miscelleneous Expenses</t>
  </si>
  <si>
    <t>Autogenerated</t>
  </si>
  <si>
    <t>NA</t>
  </si>
  <si>
    <t>Auto Generated and Predefined , hence cannot be Edited (Only Admin to be given right to Edit these)</t>
  </si>
  <si>
    <t>Status of Concern</t>
  </si>
  <si>
    <t>Soleproprietorship,Partnership,LLP,Company</t>
  </si>
  <si>
    <t xml:space="preserve">A . CURRENT RATIO </t>
  </si>
  <si>
    <t>B  . DEBTORS TURNOVER RATIO</t>
  </si>
  <si>
    <t>C . GROSS PROFIT RATIO</t>
  </si>
  <si>
    <t>D . NETPROFIT RATIO</t>
  </si>
  <si>
    <t>E . INTEREST COVERAGE RATIO</t>
  </si>
  <si>
    <t>F . WORKING CAPITAL TURNOVER RATIO :</t>
  </si>
  <si>
    <t>G . STOCK TURNOVER RATIO</t>
  </si>
  <si>
    <t>I .  TOTAL OUTSIDE LIABILITIES TO TOTAL NETWORTH RATIO :</t>
  </si>
  <si>
    <t>J . RETURN ON CAPITAL EMPLOYED</t>
  </si>
  <si>
    <t>WORKING CAPITAL CALCULATION:</t>
  </si>
  <si>
    <t>Required WC Limit</t>
  </si>
  <si>
    <t>Closing stock</t>
  </si>
  <si>
    <t>Eligible Working capital limit</t>
  </si>
  <si>
    <t>Working Capital (CC) Loan</t>
  </si>
  <si>
    <t>PROJECTIONS AND ESTIMATIONS</t>
  </si>
  <si>
    <t>Minimum Working Capital Limit</t>
  </si>
  <si>
    <t>(80% of Working Capital Requirment)</t>
  </si>
  <si>
    <t>Working Capital Requirement</t>
  </si>
  <si>
    <t>IDEAL RATIO  &gt; 1.33</t>
  </si>
  <si>
    <t>Asset Category</t>
  </si>
  <si>
    <t>Sl.No</t>
  </si>
  <si>
    <t>Component</t>
  </si>
  <si>
    <t>Gross Amount                  (Rs in Lacs)</t>
  </si>
  <si>
    <t>Net Amount                (Rs in Lacs)</t>
  </si>
  <si>
    <t>Shed and Civil works</t>
  </si>
  <si>
    <t>Land</t>
  </si>
  <si>
    <t>Electrical Items</t>
  </si>
  <si>
    <t>Electronic items</t>
  </si>
  <si>
    <t xml:space="preserve">Furniture and Fittings </t>
  </si>
  <si>
    <t>Vehicles</t>
  </si>
  <si>
    <t>Live stock</t>
  </si>
  <si>
    <t>Other Assets (Nil Depreciation)</t>
  </si>
  <si>
    <t>TOTAL</t>
  </si>
  <si>
    <t>Electronic Items</t>
  </si>
  <si>
    <t>SCHEDULE FOR ASSETS: (31.03.2025)</t>
  </si>
  <si>
    <t>WDV at the beginging of year</t>
  </si>
  <si>
    <t>WDV at the End of Year</t>
  </si>
  <si>
    <t>WDVat the end of Year</t>
  </si>
  <si>
    <t>MAXIMUM PERMISSABLE BANK FINANCE:</t>
  </si>
  <si>
    <t>Method 1 : Working capital Method</t>
  </si>
  <si>
    <t>Method 1 : Current Assets Method</t>
  </si>
  <si>
    <t>Method 3 : Nayak Committee</t>
  </si>
  <si>
    <r>
      <t xml:space="preserve">Earnings Before Tax </t>
    </r>
    <r>
      <rPr>
        <b/>
        <sz val="20"/>
        <color indexed="17"/>
        <rFont val="Trebuchet MS"/>
        <family val="2"/>
      </rPr>
      <t>(Not Editable)</t>
    </r>
  </si>
  <si>
    <t>Closing Stock / WIP</t>
  </si>
  <si>
    <t>Office Admin and Marketing Expenses</t>
  </si>
  <si>
    <t>Autogenerated from Schedule for FIXED ASSETS</t>
  </si>
  <si>
    <t>Gross Revenue / Turnover</t>
  </si>
  <si>
    <t>Gross Revenue / Turnover:</t>
  </si>
  <si>
    <t>Revenue</t>
  </si>
  <si>
    <t>Net Capital Including Net Reserves &amp; Surplus</t>
  </si>
  <si>
    <t>Interest on CC/OD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</si>
</sst>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20"/>
      <name val="Trebuchet MS"/>
      <family val="2"/>
    </font>
    <font>
      <sz val="20"/>
      <name val="Trebuchet MS"/>
      <family val="2"/>
    </font>
    <font>
      <b/>
      <i/>
      <sz val="20"/>
      <name val="Trebuchet MS"/>
      <family val="2"/>
    </font>
    <font>
      <i/>
      <sz val="20"/>
      <name val="Trebuchet MS"/>
      <family val="2"/>
    </font>
    <font>
      <b/>
      <u/>
      <sz val="10"/>
      <name val="Trebuchet MS"/>
      <family val="2"/>
    </font>
    <font>
      <sz val="10"/>
      <name val="Trebuchet MS"/>
      <family val="2"/>
    </font>
    <font>
      <b/>
      <sz val="10"/>
      <name val="Trebuchet MS"/>
      <family val="2"/>
    </font>
    <font>
      <b/>
      <sz val="11"/>
      <color indexed="8"/>
      <name val="Trebuchet MS"/>
      <family val="2"/>
    </font>
    <font>
      <sz val="11"/>
      <color indexed="8"/>
      <name val="Trebuchet MS"/>
      <family val="2"/>
    </font>
    <font>
      <b/>
      <i/>
      <sz val="10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b/>
      <u/>
      <sz val="11"/>
      <name val="Trebuchet MS"/>
      <family val="2"/>
    </font>
    <font>
      <b/>
      <i/>
      <u/>
      <sz val="20"/>
      <name val="Trebuchet MS"/>
      <family val="2"/>
    </font>
    <font>
      <b/>
      <sz val="10"/>
      <color indexed="8"/>
      <name val="Trebuchet MS"/>
      <family val="2"/>
    </font>
    <font>
      <b/>
      <i/>
      <sz val="10"/>
      <color indexed="8"/>
      <name val="Trebuchet MS"/>
      <family val="2"/>
    </font>
    <font>
      <sz val="10"/>
      <color indexed="8"/>
      <name val="Trebuchet MS"/>
      <family val="2"/>
    </font>
    <font>
      <b/>
      <i/>
      <sz val="11"/>
      <name val="Trebuchet MS"/>
      <family val="2"/>
    </font>
    <font>
      <b/>
      <sz val="18"/>
      <name val="Trebuchet MS"/>
      <family val="2"/>
    </font>
    <font>
      <sz val="18"/>
      <name val="Trebuchet MS"/>
      <family val="2"/>
    </font>
    <font>
      <b/>
      <u/>
      <sz val="18"/>
      <name val="Trebuchet MS"/>
      <family val="2"/>
    </font>
    <font>
      <b/>
      <i/>
      <sz val="16"/>
      <name val="Trebuchet MS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name val="Trebuchet MS"/>
      <family val="2"/>
    </font>
    <font>
      <b/>
      <sz val="24"/>
      <name val="Trebuchet MS"/>
      <family val="2"/>
    </font>
    <font>
      <b/>
      <sz val="11"/>
      <name val="Arial"/>
      <family val="2"/>
    </font>
    <font>
      <b/>
      <sz val="14"/>
      <name val="Arial"/>
      <family val="2"/>
    </font>
    <font>
      <b/>
      <u/>
      <sz val="20"/>
      <name val="Trebuchet MS"/>
      <family val="2"/>
    </font>
    <font>
      <b/>
      <sz val="22"/>
      <name val="Trebuchet MS"/>
      <family val="2"/>
    </font>
    <font>
      <sz val="12"/>
      <color rgb="FF000000"/>
      <name val="Trebuchet MS"/>
      <family val="2"/>
    </font>
    <font>
      <b/>
      <i/>
      <sz val="10"/>
      <color theme="9" tint="-0.499984740745262"/>
      <name val="Trebuchet MS"/>
      <family val="2"/>
    </font>
    <font>
      <b/>
      <sz val="10"/>
      <color theme="9" tint="-0.499984740745262"/>
      <name val="Trebuchet MS"/>
      <family val="2"/>
    </font>
    <font>
      <sz val="20"/>
      <color theme="1"/>
      <name val="Trebuchet MS"/>
      <family val="2"/>
    </font>
    <font>
      <b/>
      <i/>
      <sz val="18"/>
      <color rgb="FFFF0000"/>
      <name val="Trebuchet MS"/>
      <family val="2"/>
    </font>
    <font>
      <b/>
      <sz val="20"/>
      <color theme="0"/>
      <name val="Trebuchet MS"/>
      <family val="2"/>
    </font>
    <font>
      <sz val="20"/>
      <color theme="0"/>
      <name val="Trebuchet MS"/>
      <family val="2"/>
    </font>
    <font>
      <i/>
      <sz val="20"/>
      <color theme="0"/>
      <name val="Trebuchet MS"/>
      <family val="2"/>
    </font>
    <font>
      <b/>
      <sz val="28"/>
      <color rgb="FFFFFF00"/>
      <name val="Trebuchet MS"/>
      <family val="2"/>
    </font>
    <font>
      <b/>
      <sz val="36"/>
      <color rgb="FFFFFF00"/>
      <name val="Trebuchet MS"/>
      <family val="2"/>
    </font>
    <font>
      <b/>
      <sz val="24"/>
      <color rgb="FFFFFF00"/>
      <name val="Trebuchet MS"/>
      <family val="2"/>
    </font>
    <font>
      <sz val="20"/>
      <color rgb="FFFFFF00"/>
      <name val="Trebuchet MS"/>
      <family val="2"/>
    </font>
    <font>
      <sz val="20"/>
      <color rgb="FFFF0000"/>
      <name val="Trebuchet MS"/>
      <family val="2"/>
    </font>
    <font>
      <b/>
      <sz val="14"/>
      <color rgb="FFFF0000"/>
      <name val="Trebuchet MS"/>
      <family val="2"/>
    </font>
    <font>
      <b/>
      <sz val="20"/>
      <color rgb="FFFF0000"/>
      <name val="Trebuchet MS"/>
      <family val="2"/>
    </font>
    <font>
      <b/>
      <sz val="10"/>
      <color theme="0"/>
      <name val="Arial"/>
      <family val="2"/>
    </font>
    <font>
      <b/>
      <i/>
      <u/>
      <sz val="10"/>
      <name val="Trebuchet MS"/>
      <family val="2"/>
    </font>
    <font>
      <b/>
      <sz val="18"/>
      <name val="Arial"/>
      <family val="2"/>
    </font>
    <font>
      <b/>
      <sz val="20"/>
      <color indexed="17"/>
      <name val="Trebuchet MS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3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1" fontId="5" fillId="0" borderId="0" xfId="0" applyNumberFormat="1" applyFont="1"/>
    <xf numFmtId="1" fontId="4" fillId="0" borderId="0" xfId="0" applyNumberFormat="1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1" xfId="0" applyFont="1" applyBorder="1"/>
    <xf numFmtId="1" fontId="4" fillId="0" borderId="2" xfId="0" applyNumberFormat="1" applyFont="1" applyBorder="1"/>
    <xf numFmtId="1" fontId="4" fillId="0" borderId="0" xfId="0" applyNumberFormat="1" applyFont="1" applyAlignment="1">
      <alignment vertical="center"/>
    </xf>
    <xf numFmtId="1" fontId="6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0" xfId="0" applyFont="1" applyAlignment="1">
      <alignment horizontal="right"/>
    </xf>
    <xf numFmtId="2" fontId="9" fillId="0" borderId="0" xfId="0" applyNumberFormat="1" applyFont="1"/>
    <xf numFmtId="0" fontId="10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1" fontId="9" fillId="0" borderId="0" xfId="0" applyNumberFormat="1" applyFont="1"/>
    <xf numFmtId="0" fontId="10" fillId="0" borderId="1" xfId="0" applyFont="1" applyBorder="1"/>
    <xf numFmtId="0" fontId="34" fillId="0" borderId="0" xfId="0" applyFont="1" applyAlignment="1">
      <alignment horizontal="right"/>
    </xf>
    <xf numFmtId="0" fontId="34" fillId="0" borderId="1" xfId="0" applyFont="1" applyBorder="1" applyAlignment="1">
      <alignment horizontal="right"/>
    </xf>
    <xf numFmtId="0" fontId="35" fillId="0" borderId="0" xfId="0" applyFont="1"/>
    <xf numFmtId="0" fontId="15" fillId="0" borderId="0" xfId="0" applyFont="1"/>
    <xf numFmtId="2" fontId="15" fillId="0" borderId="0" xfId="0" applyNumberFormat="1" applyFont="1"/>
    <xf numFmtId="0" fontId="14" fillId="0" borderId="0" xfId="0" applyFont="1"/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1" fontId="15" fillId="0" borderId="0" xfId="0" applyNumberFormat="1" applyFont="1"/>
    <xf numFmtId="0" fontId="17" fillId="0" borderId="0" xfId="0" applyFont="1"/>
    <xf numFmtId="0" fontId="36" fillId="0" borderId="0" xfId="0" applyFont="1"/>
    <xf numFmtId="0" fontId="35" fillId="2" borderId="0" xfId="0" applyFont="1" applyFill="1"/>
    <xf numFmtId="0" fontId="20" fillId="0" borderId="0" xfId="0" applyFont="1"/>
    <xf numFmtId="1" fontId="5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4" xfId="0" applyFont="1" applyBorder="1"/>
    <xf numFmtId="1" fontId="4" fillId="0" borderId="4" xfId="0" applyNumberFormat="1" applyFont="1" applyBorder="1"/>
    <xf numFmtId="1" fontId="5" fillId="0" borderId="0" xfId="0" applyNumberFormat="1" applyFont="1" applyAlignment="1">
      <alignment horizontal="center"/>
    </xf>
    <xf numFmtId="1" fontId="37" fillId="0" borderId="0" xfId="0" applyNumberFormat="1" applyFont="1"/>
    <xf numFmtId="0" fontId="15" fillId="0" borderId="1" xfId="0" applyFont="1" applyBorder="1"/>
    <xf numFmtId="0" fontId="38" fillId="0" borderId="0" xfId="0" applyFont="1" applyAlignment="1">
      <alignment vertical="top"/>
    </xf>
    <xf numFmtId="0" fontId="4" fillId="4" borderId="6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4" fillId="4" borderId="2" xfId="0" applyFont="1" applyFill="1" applyBorder="1" applyAlignment="1">
      <alignment horizontal="right"/>
    </xf>
    <xf numFmtId="0" fontId="10" fillId="4" borderId="7" xfId="0" applyFont="1" applyFill="1" applyBorder="1" applyAlignment="1">
      <alignment horizontal="center"/>
    </xf>
    <xf numFmtId="0" fontId="10" fillId="4" borderId="7" xfId="0" applyFont="1" applyFill="1" applyBorder="1"/>
    <xf numFmtId="0" fontId="10" fillId="4" borderId="7" xfId="0" applyFont="1" applyFill="1" applyBorder="1" applyAlignment="1">
      <alignment horizontal="right"/>
    </xf>
    <xf numFmtId="0" fontId="12" fillId="4" borderId="7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9" fillId="4" borderId="7" xfId="0" applyFont="1" applyFill="1" applyBorder="1"/>
    <xf numFmtId="1" fontId="21" fillId="0" borderId="0" xfId="0" applyNumberFormat="1" applyFont="1"/>
    <xf numFmtId="0" fontId="23" fillId="0" borderId="0" xfId="0" applyFont="1"/>
    <xf numFmtId="0" fontId="3" fillId="0" borderId="0" xfId="0" applyFont="1"/>
    <xf numFmtId="2" fontId="39" fillId="0" borderId="0" xfId="0" applyNumberFormat="1" applyFont="1"/>
    <xf numFmtId="0" fontId="40" fillId="0" borderId="0" xfId="0" applyFont="1"/>
    <xf numFmtId="0" fontId="41" fillId="0" borderId="0" xfId="0" applyFont="1"/>
    <xf numFmtId="2" fontId="39" fillId="0" borderId="0" xfId="0" applyNumberFormat="1" applyFont="1" applyAlignment="1">
      <alignment vertical="center"/>
    </xf>
    <xf numFmtId="2" fontId="40" fillId="0" borderId="0" xfId="0" applyNumberFormat="1" applyFont="1"/>
    <xf numFmtId="2" fontId="5" fillId="0" borderId="0" xfId="0" applyNumberFormat="1" applyFont="1"/>
    <xf numFmtId="0" fontId="10" fillId="0" borderId="0" xfId="0" applyFont="1" applyAlignment="1">
      <alignment vertical="top" wrapText="1"/>
    </xf>
    <xf numFmtId="17" fontId="4" fillId="4" borderId="5" xfId="0" applyNumberFormat="1" applyFont="1" applyFill="1" applyBorder="1" applyAlignment="1">
      <alignment horizontal="center" vertical="center"/>
    </xf>
    <xf numFmtId="0" fontId="26" fillId="0" borderId="0" xfId="0" applyFont="1"/>
    <xf numFmtId="17" fontId="26" fillId="0" borderId="0" xfId="0" applyNumberFormat="1" applyFont="1"/>
    <xf numFmtId="0" fontId="9" fillId="4" borderId="5" xfId="0" applyFont="1" applyFill="1" applyBorder="1"/>
    <xf numFmtId="0" fontId="10" fillId="4" borderId="5" xfId="0" applyFont="1" applyFill="1" applyBorder="1" applyAlignment="1">
      <alignment horizontal="center"/>
    </xf>
    <xf numFmtId="0" fontId="9" fillId="4" borderId="0" xfId="0" applyFont="1" applyFill="1"/>
    <xf numFmtId="0" fontId="10" fillId="4" borderId="0" xfId="0" applyFont="1" applyFill="1" applyAlignment="1">
      <alignment horizontal="center"/>
    </xf>
    <xf numFmtId="0" fontId="9" fillId="4" borderId="6" xfId="0" applyFont="1" applyFill="1" applyBorder="1"/>
    <xf numFmtId="10" fontId="10" fillId="4" borderId="6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2" fontId="9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top" wrapText="1"/>
    </xf>
    <xf numFmtId="0" fontId="9" fillId="0" borderId="14" xfId="0" applyFont="1" applyBorder="1"/>
    <xf numFmtId="17" fontId="13" fillId="0" borderId="0" xfId="0" applyNumberFormat="1" applyFont="1"/>
    <xf numFmtId="0" fontId="3" fillId="0" borderId="15" xfId="0" applyFont="1" applyBorder="1"/>
    <xf numFmtId="0" fontId="42" fillId="0" borderId="0" xfId="0" applyFont="1"/>
    <xf numFmtId="0" fontId="3" fillId="0" borderId="15" xfId="0" applyFont="1" applyBorder="1" applyAlignment="1">
      <alignment horizontal="center"/>
    </xf>
    <xf numFmtId="0" fontId="3" fillId="0" borderId="15" xfId="0" applyFont="1" applyBorder="1" applyAlignment="1">
      <alignment vertical="top"/>
    </xf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7" borderId="0" xfId="0" applyFont="1" applyFill="1" applyAlignment="1">
      <alignment horizontal="center" wrapText="1"/>
    </xf>
    <xf numFmtId="0" fontId="0" fillId="8" borderId="15" xfId="0" applyFill="1" applyBorder="1"/>
    <xf numFmtId="0" fontId="3" fillId="0" borderId="20" xfId="0" applyFont="1" applyBorder="1" applyAlignment="1">
      <alignment horizontal="center"/>
    </xf>
    <xf numFmtId="0" fontId="0" fillId="8" borderId="20" xfId="0" applyFill="1" applyBorder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1" fontId="26" fillId="0" borderId="0" xfId="0" applyNumberFormat="1" applyFont="1"/>
    <xf numFmtId="0" fontId="26" fillId="3" borderId="15" xfId="0" applyFont="1" applyFill="1" applyBorder="1"/>
    <xf numFmtId="0" fontId="0" fillId="3" borderId="15" xfId="0" applyFill="1" applyBorder="1" applyAlignment="1">
      <alignment horizontal="center"/>
    </xf>
    <xf numFmtId="0" fontId="0" fillId="3" borderId="15" xfId="0" applyFill="1" applyBorder="1"/>
    <xf numFmtId="0" fontId="10" fillId="3" borderId="15" xfId="0" applyFont="1" applyFill="1" applyBorder="1" applyAlignment="1">
      <alignment horizontal="center" vertical="top" wrapText="1"/>
    </xf>
    <xf numFmtId="0" fontId="10" fillId="3" borderId="15" xfId="0" applyFont="1" applyFill="1" applyBorder="1" applyAlignment="1">
      <alignment vertical="top" wrapText="1"/>
    </xf>
    <xf numFmtId="0" fontId="0" fillId="3" borderId="19" xfId="0" applyFill="1" applyBorder="1"/>
    <xf numFmtId="0" fontId="10" fillId="3" borderId="19" xfId="0" applyFont="1" applyFill="1" applyBorder="1" applyAlignment="1">
      <alignment vertical="top" wrapText="1"/>
    </xf>
    <xf numFmtId="0" fontId="4" fillId="4" borderId="0" xfId="0" applyFont="1" applyFill="1" applyAlignment="1">
      <alignment horizontal="center" vertical="center"/>
    </xf>
    <xf numFmtId="0" fontId="23" fillId="0" borderId="0" xfId="0" applyFont="1" applyAlignment="1">
      <alignment horizontal="center"/>
    </xf>
    <xf numFmtId="0" fontId="14" fillId="4" borderId="5" xfId="0" applyFont="1" applyFill="1" applyBorder="1"/>
    <xf numFmtId="17" fontId="14" fillId="4" borderId="5" xfId="0" applyNumberFormat="1" applyFont="1" applyFill="1" applyBorder="1" applyAlignment="1">
      <alignment horizontal="right"/>
    </xf>
    <xf numFmtId="0" fontId="14" fillId="4" borderId="6" xfId="0" applyFont="1" applyFill="1" applyBorder="1"/>
    <xf numFmtId="0" fontId="14" fillId="4" borderId="6" xfId="0" applyFont="1" applyFill="1" applyBorder="1" applyAlignment="1">
      <alignment horizontal="right"/>
    </xf>
    <xf numFmtId="0" fontId="14" fillId="4" borderId="5" xfId="0" applyFont="1" applyFill="1" applyBorder="1" applyAlignment="1">
      <alignment horizontal="right"/>
    </xf>
    <xf numFmtId="0" fontId="43" fillId="0" borderId="0" xfId="0" applyFont="1"/>
    <xf numFmtId="1" fontId="10" fillId="0" borderId="0" xfId="0" applyNumberFormat="1" applyFont="1" applyAlignment="1">
      <alignment horizontal="right"/>
    </xf>
    <xf numFmtId="0" fontId="26" fillId="3" borderId="21" xfId="0" applyFont="1" applyFill="1" applyBorder="1"/>
    <xf numFmtId="0" fontId="0" fillId="3" borderId="21" xfId="0" applyFill="1" applyBorder="1" applyAlignment="1">
      <alignment horizontal="center"/>
    </xf>
    <xf numFmtId="0" fontId="10" fillId="3" borderId="21" xfId="0" applyFont="1" applyFill="1" applyBorder="1" applyAlignment="1">
      <alignment horizontal="center" vertical="top" wrapText="1"/>
    </xf>
    <xf numFmtId="0" fontId="26" fillId="3" borderId="15" xfId="0" applyFont="1" applyFill="1" applyBorder="1" applyAlignment="1">
      <alignment horizontal="center" wrapText="1"/>
    </xf>
    <xf numFmtId="0" fontId="44" fillId="9" borderId="0" xfId="0" applyFont="1" applyFill="1"/>
    <xf numFmtId="0" fontId="45" fillId="9" borderId="0" xfId="0" applyFont="1" applyFill="1"/>
    <xf numFmtId="0" fontId="28" fillId="0" borderId="0" xfId="0" applyFont="1" applyAlignment="1">
      <alignment horizontal="left"/>
    </xf>
    <xf numFmtId="0" fontId="3" fillId="0" borderId="22" xfId="0" applyFont="1" applyBorder="1" applyAlignment="1">
      <alignment horizontal="center"/>
    </xf>
    <xf numFmtId="0" fontId="0" fillId="8" borderId="22" xfId="0" applyFill="1" applyBorder="1"/>
    <xf numFmtId="0" fontId="44" fillId="0" borderId="0" xfId="0" applyFont="1"/>
    <xf numFmtId="0" fontId="45" fillId="0" borderId="0" xfId="0" applyFont="1"/>
    <xf numFmtId="0" fontId="29" fillId="0" borderId="0" xfId="0" applyFont="1"/>
    <xf numFmtId="1" fontId="4" fillId="0" borderId="1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0" fontId="3" fillId="0" borderId="20" xfId="0" applyFont="1" applyBorder="1"/>
    <xf numFmtId="2" fontId="23" fillId="0" borderId="0" xfId="0" applyNumberFormat="1" applyFont="1"/>
    <xf numFmtId="10" fontId="0" fillId="0" borderId="0" xfId="0" applyNumberFormat="1" applyAlignment="1">
      <alignment horizontal="right"/>
    </xf>
    <xf numFmtId="0" fontId="26" fillId="10" borderId="21" xfId="0" applyFont="1" applyFill="1" applyBorder="1"/>
    <xf numFmtId="0" fontId="26" fillId="10" borderId="23" xfId="0" applyFont="1" applyFill="1" applyBorder="1"/>
    <xf numFmtId="0" fontId="26" fillId="10" borderId="15" xfId="0" applyFont="1" applyFill="1" applyBorder="1"/>
    <xf numFmtId="0" fontId="26" fillId="10" borderId="22" xfId="0" applyFont="1" applyFill="1" applyBorder="1"/>
    <xf numFmtId="0" fontId="3" fillId="10" borderId="21" xfId="0" applyFont="1" applyFill="1" applyBorder="1" applyAlignment="1">
      <alignment horizontal="center"/>
    </xf>
    <xf numFmtId="0" fontId="3" fillId="10" borderId="15" xfId="0" applyFont="1" applyFill="1" applyBorder="1" applyAlignment="1">
      <alignment horizontal="center"/>
    </xf>
    <xf numFmtId="0" fontId="0" fillId="10" borderId="15" xfId="0" applyFill="1" applyBorder="1"/>
    <xf numFmtId="0" fontId="3" fillId="10" borderId="19" xfId="0" applyFont="1" applyFill="1" applyBorder="1"/>
    <xf numFmtId="1" fontId="0" fillId="10" borderId="15" xfId="0" applyNumberFormat="1" applyFill="1" applyBorder="1" applyAlignment="1">
      <alignment horizontal="center"/>
    </xf>
    <xf numFmtId="2" fontId="0" fillId="10" borderId="15" xfId="0" applyNumberFormat="1" applyFill="1" applyBorder="1" applyAlignment="1">
      <alignment horizontal="center"/>
    </xf>
    <xf numFmtId="0" fontId="0" fillId="10" borderId="19" xfId="0" applyFill="1" applyBorder="1"/>
    <xf numFmtId="0" fontId="0" fillId="10" borderId="21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10" fillId="10" borderId="15" xfId="0" applyFont="1" applyFill="1" applyBorder="1"/>
    <xf numFmtId="0" fontId="3" fillId="10" borderId="15" xfId="0" applyFont="1" applyFill="1" applyBorder="1"/>
    <xf numFmtId="0" fontId="0" fillId="10" borderId="23" xfId="0" applyFill="1" applyBorder="1" applyAlignment="1">
      <alignment horizontal="center"/>
    </xf>
    <xf numFmtId="0" fontId="0" fillId="10" borderId="22" xfId="0" applyFill="1" applyBorder="1" applyAlignment="1">
      <alignment horizontal="center"/>
    </xf>
    <xf numFmtId="0" fontId="0" fillId="10" borderId="22" xfId="0" applyFill="1" applyBorder="1"/>
    <xf numFmtId="0" fontId="0" fillId="10" borderId="24" xfId="0" applyFill="1" applyBorder="1"/>
    <xf numFmtId="0" fontId="4" fillId="2" borderId="0" xfId="0" applyFont="1" applyFill="1"/>
    <xf numFmtId="0" fontId="3" fillId="0" borderId="22" xfId="0" applyFont="1" applyBorder="1" applyAlignment="1">
      <alignment vertical="top"/>
    </xf>
    <xf numFmtId="0" fontId="46" fillId="0" borderId="0" xfId="0" applyFont="1"/>
    <xf numFmtId="0" fontId="32" fillId="0" borderId="0" xfId="0" applyFont="1"/>
    <xf numFmtId="1" fontId="4" fillId="4" borderId="5" xfId="0" applyNumberFormat="1" applyFont="1" applyFill="1" applyBorder="1" applyAlignment="1">
      <alignment vertical="center"/>
    </xf>
    <xf numFmtId="0" fontId="47" fillId="0" borderId="0" xfId="0" applyFont="1" applyAlignment="1">
      <alignment horizontal="center" wrapText="1"/>
    </xf>
    <xf numFmtId="17" fontId="3" fillId="10" borderId="15" xfId="0" applyNumberFormat="1" applyFont="1" applyFill="1" applyBorder="1" applyAlignment="1">
      <alignment horizontal="center"/>
    </xf>
    <xf numFmtId="0" fontId="3" fillId="0" borderId="25" xfId="0" applyFont="1" applyBorder="1"/>
    <xf numFmtId="0" fontId="3" fillId="0" borderId="21" xfId="0" applyFont="1" applyBorder="1" applyAlignment="1">
      <alignment horizontal="center"/>
    </xf>
    <xf numFmtId="0" fontId="3" fillId="0" borderId="26" xfId="0" applyFont="1" applyBorder="1"/>
    <xf numFmtId="0" fontId="3" fillId="0" borderId="23" xfId="0" applyFont="1" applyBorder="1" applyAlignment="1">
      <alignment horizontal="center"/>
    </xf>
    <xf numFmtId="0" fontId="3" fillId="0" borderId="27" xfId="0" applyFont="1" applyBorder="1"/>
    <xf numFmtId="0" fontId="3" fillId="0" borderId="27" xfId="0" applyFont="1" applyBorder="1" applyAlignment="1">
      <alignment horizontal="center"/>
    </xf>
    <xf numFmtId="0" fontId="0" fillId="8" borderId="27" xfId="0" applyFill="1" applyBorder="1"/>
    <xf numFmtId="0" fontId="26" fillId="7" borderId="28" xfId="0" applyFont="1" applyFill="1" applyBorder="1"/>
    <xf numFmtId="0" fontId="26" fillId="7" borderId="29" xfId="0" applyFont="1" applyFill="1" applyBorder="1"/>
    <xf numFmtId="0" fontId="26" fillId="7" borderId="29" xfId="0" applyFont="1" applyFill="1" applyBorder="1" applyAlignment="1">
      <alignment horizontal="center"/>
    </xf>
    <xf numFmtId="0" fontId="26" fillId="7" borderId="29" xfId="0" applyFont="1" applyFill="1" applyBorder="1" applyAlignment="1">
      <alignment horizontal="center" wrapText="1"/>
    </xf>
    <xf numFmtId="0" fontId="26" fillId="7" borderId="30" xfId="0" applyFont="1" applyFill="1" applyBorder="1" applyAlignment="1">
      <alignment horizontal="center"/>
    </xf>
    <xf numFmtId="0" fontId="3" fillId="0" borderId="22" xfId="0" applyFont="1" applyBorder="1"/>
    <xf numFmtId="0" fontId="0" fillId="7" borderId="29" xfId="0" applyFill="1" applyBorder="1" applyAlignment="1">
      <alignment horizontal="center"/>
    </xf>
    <xf numFmtId="0" fontId="0" fillId="7" borderId="30" xfId="0" applyFill="1" applyBorder="1"/>
    <xf numFmtId="0" fontId="0" fillId="7" borderId="9" xfId="0" applyFill="1" applyBorder="1" applyAlignment="1">
      <alignment horizontal="center"/>
    </xf>
    <xf numFmtId="0" fontId="0" fillId="7" borderId="9" xfId="0" applyFill="1" applyBorder="1"/>
    <xf numFmtId="0" fontId="3" fillId="0" borderId="3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3" fillId="0" borderId="35" xfId="0" applyFont="1" applyBorder="1" applyAlignment="1">
      <alignment wrapText="1"/>
    </xf>
    <xf numFmtId="0" fontId="3" fillId="0" borderId="36" xfId="0" applyFont="1" applyBorder="1"/>
    <xf numFmtId="0" fontId="3" fillId="0" borderId="35" xfId="0" applyFont="1" applyBorder="1"/>
    <xf numFmtId="1" fontId="9" fillId="0" borderId="35" xfId="0" applyNumberFormat="1" applyFont="1" applyBorder="1" applyAlignment="1">
      <alignment horizontal="center"/>
    </xf>
    <xf numFmtId="1" fontId="9" fillId="0" borderId="33" xfId="0" applyNumberFormat="1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5" xfId="0" applyFont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top" wrapText="1"/>
    </xf>
    <xf numFmtId="0" fontId="3" fillId="0" borderId="17" xfId="0" applyFont="1" applyBorder="1"/>
    <xf numFmtId="0" fontId="3" fillId="0" borderId="19" xfId="0" applyFont="1" applyBorder="1"/>
    <xf numFmtId="0" fontId="3" fillId="0" borderId="24" xfId="0" applyFont="1" applyBorder="1"/>
    <xf numFmtId="0" fontId="3" fillId="0" borderId="24" xfId="0" applyFont="1" applyBorder="1" applyAlignment="1">
      <alignment horizontal="center"/>
    </xf>
    <xf numFmtId="0" fontId="26" fillId="0" borderId="45" xfId="0" applyFont="1" applyBorder="1"/>
    <xf numFmtId="1" fontId="3" fillId="0" borderId="45" xfId="0" applyNumberFormat="1" applyFont="1" applyBorder="1" applyAlignment="1">
      <alignment horizontal="center"/>
    </xf>
    <xf numFmtId="1" fontId="3" fillId="0" borderId="19" xfId="0" applyNumberFormat="1" applyFont="1" applyBorder="1" applyAlignment="1">
      <alignment horizontal="center"/>
    </xf>
    <xf numFmtId="1" fontId="3" fillId="0" borderId="24" xfId="0" applyNumberFormat="1" applyFont="1" applyBorder="1" applyAlignment="1">
      <alignment horizontal="center"/>
    </xf>
    <xf numFmtId="1" fontId="9" fillId="0" borderId="32" xfId="0" applyNumberFormat="1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3" fillId="0" borderId="31" xfId="0" applyFont="1" applyBorder="1"/>
    <xf numFmtId="0" fontId="3" fillId="0" borderId="46" xfId="0" applyFont="1" applyBorder="1"/>
    <xf numFmtId="2" fontId="1" fillId="0" borderId="25" xfId="0" applyNumberFormat="1" applyFon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2" fontId="1" fillId="0" borderId="47" xfId="0" applyNumberFormat="1" applyFont="1" applyBorder="1" applyAlignment="1">
      <alignment horizontal="center"/>
    </xf>
    <xf numFmtId="1" fontId="0" fillId="10" borderId="22" xfId="0" applyNumberFormat="1" applyFill="1" applyBorder="1" applyAlignment="1">
      <alignment horizontal="center"/>
    </xf>
    <xf numFmtId="2" fontId="0" fillId="10" borderId="22" xfId="0" applyNumberFormat="1" applyFill="1" applyBorder="1" applyAlignment="1">
      <alignment horizontal="center"/>
    </xf>
    <xf numFmtId="0" fontId="3" fillId="8" borderId="25" xfId="0" applyFont="1" applyFill="1" applyBorder="1"/>
    <xf numFmtId="0" fontId="49" fillId="8" borderId="15" xfId="0" applyFont="1" applyFill="1" applyBorder="1"/>
    <xf numFmtId="0" fontId="49" fillId="8" borderId="22" xfId="0" applyFont="1" applyFill="1" applyBorder="1"/>
    <xf numFmtId="0" fontId="1" fillId="0" borderId="19" xfId="0" applyFont="1" applyBorder="1"/>
    <xf numFmtId="0" fontId="1" fillId="0" borderId="24" xfId="0" applyFont="1" applyBorder="1"/>
    <xf numFmtId="0" fontId="1" fillId="0" borderId="46" xfId="0" applyFont="1" applyBorder="1"/>
    <xf numFmtId="0" fontId="1" fillId="0" borderId="20" xfId="0" applyFont="1" applyBorder="1"/>
    <xf numFmtId="0" fontId="1" fillId="0" borderId="20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7" xfId="0" applyFont="1" applyBorder="1"/>
    <xf numFmtId="0" fontId="9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left"/>
    </xf>
    <xf numFmtId="9" fontId="5" fillId="0" borderId="0" xfId="0" applyNumberFormat="1" applyFont="1"/>
    <xf numFmtId="0" fontId="50" fillId="0" borderId="0" xfId="0" applyFont="1"/>
    <xf numFmtId="0" fontId="50" fillId="2" borderId="0" xfId="0" applyFont="1" applyFill="1"/>
    <xf numFmtId="0" fontId="51" fillId="0" borderId="0" xfId="0" applyFont="1"/>
    <xf numFmtId="0" fontId="26" fillId="3" borderId="48" xfId="0" applyFont="1" applyFill="1" applyBorder="1" applyAlignment="1">
      <alignment horizontal="center"/>
    </xf>
    <xf numFmtId="0" fontId="30" fillId="3" borderId="23" xfId="0" applyFont="1" applyFill="1" applyBorder="1" applyAlignment="1">
      <alignment horizontal="center"/>
    </xf>
    <xf numFmtId="0" fontId="26" fillId="3" borderId="22" xfId="0" applyFont="1" applyFill="1" applyBorder="1" applyAlignment="1">
      <alignment horizontal="center"/>
    </xf>
    <xf numFmtId="0" fontId="26" fillId="3" borderId="22" xfId="0" applyFont="1" applyFill="1" applyBorder="1" applyAlignment="1">
      <alignment horizontal="center" wrapText="1"/>
    </xf>
    <xf numFmtId="0" fontId="26" fillId="0" borderId="49" xfId="0" applyFont="1" applyBorder="1" applyAlignment="1">
      <alignment horizontal="center"/>
    </xf>
    <xf numFmtId="0" fontId="49" fillId="8" borderId="20" xfId="0" applyFont="1" applyFill="1" applyBorder="1"/>
    <xf numFmtId="1" fontId="49" fillId="8" borderId="20" xfId="0" applyNumberFormat="1" applyFont="1" applyFill="1" applyBorder="1" applyAlignment="1">
      <alignment horizontal="center"/>
    </xf>
    <xf numFmtId="0" fontId="26" fillId="0" borderId="21" xfId="0" applyFont="1" applyBorder="1" applyAlignment="1">
      <alignment horizontal="center"/>
    </xf>
    <xf numFmtId="0" fontId="49" fillId="8" borderId="15" xfId="0" applyFont="1" applyFill="1" applyBorder="1" applyAlignment="1">
      <alignment horizontal="center"/>
    </xf>
    <xf numFmtId="0" fontId="26" fillId="0" borderId="52" xfId="0" applyFont="1" applyBorder="1" applyAlignment="1">
      <alignment horizontal="center"/>
    </xf>
    <xf numFmtId="0" fontId="49" fillId="8" borderId="53" xfId="0" applyFont="1" applyFill="1" applyBorder="1"/>
    <xf numFmtId="0" fontId="49" fillId="8" borderId="53" xfId="0" applyFont="1" applyFill="1" applyBorder="1" applyAlignment="1">
      <alignment horizontal="center"/>
    </xf>
    <xf numFmtId="0" fontId="49" fillId="8" borderId="20" xfId="0" applyFont="1" applyFill="1" applyBorder="1" applyAlignment="1">
      <alignment horizontal="center"/>
    </xf>
    <xf numFmtId="0" fontId="26" fillId="0" borderId="32" xfId="0" applyFont="1" applyBorder="1" applyAlignment="1">
      <alignment horizontal="center"/>
    </xf>
    <xf numFmtId="0" fontId="49" fillId="8" borderId="32" xfId="0" applyFont="1" applyFill="1" applyBorder="1"/>
    <xf numFmtId="0" fontId="49" fillId="8" borderId="32" xfId="0" applyFont="1" applyFill="1" applyBorder="1" applyAlignment="1">
      <alignment horizontal="center"/>
    </xf>
    <xf numFmtId="0" fontId="26" fillId="0" borderId="55" xfId="0" applyFont="1" applyBorder="1" applyAlignment="1">
      <alignment horizontal="center"/>
    </xf>
    <xf numFmtId="0" fontId="49" fillId="8" borderId="55" xfId="0" applyFont="1" applyFill="1" applyBorder="1"/>
    <xf numFmtId="0" fontId="49" fillId="8" borderId="55" xfId="0" applyFont="1" applyFill="1" applyBorder="1" applyAlignment="1">
      <alignment horizontal="center"/>
    </xf>
    <xf numFmtId="0" fontId="26" fillId="0" borderId="33" xfId="0" applyFont="1" applyBorder="1" applyAlignment="1">
      <alignment horizontal="center"/>
    </xf>
    <xf numFmtId="0" fontId="49" fillId="8" borderId="33" xfId="0" applyFont="1" applyFill="1" applyBorder="1"/>
    <xf numFmtId="0" fontId="49" fillId="8" borderId="33" xfId="0" applyFont="1" applyFill="1" applyBorder="1" applyAlignment="1">
      <alignment horizontal="center"/>
    </xf>
    <xf numFmtId="0" fontId="26" fillId="0" borderId="35" xfId="0" applyFont="1" applyBorder="1" applyAlignment="1">
      <alignment horizontal="center"/>
    </xf>
    <xf numFmtId="0" fontId="49" fillId="8" borderId="35" xfId="0" applyFont="1" applyFill="1" applyBorder="1"/>
    <xf numFmtId="0" fontId="49" fillId="8" borderId="35" xfId="0" applyFont="1" applyFill="1" applyBorder="1" applyAlignment="1">
      <alignment horizontal="center"/>
    </xf>
    <xf numFmtId="0" fontId="26" fillId="0" borderId="46" xfId="0" applyFont="1" applyBorder="1" applyAlignment="1">
      <alignment horizontal="center"/>
    </xf>
    <xf numFmtId="0" fontId="49" fillId="8" borderId="27" xfId="0" applyFont="1" applyFill="1" applyBorder="1"/>
    <xf numFmtId="0" fontId="49" fillId="8" borderId="27" xfId="0" applyFont="1" applyFill="1" applyBorder="1" applyAlignment="1">
      <alignment horizontal="center"/>
    </xf>
    <xf numFmtId="0" fontId="26" fillId="0" borderId="23" xfId="0" applyFont="1" applyBorder="1" applyAlignment="1">
      <alignment horizontal="center"/>
    </xf>
    <xf numFmtId="0" fontId="49" fillId="8" borderId="22" xfId="0" applyFont="1" applyFill="1" applyBorder="1" applyAlignment="1">
      <alignment horizontal="center"/>
    </xf>
    <xf numFmtId="0" fontId="26" fillId="0" borderId="16" xfId="0" applyFont="1" applyBorder="1" applyAlignment="1">
      <alignment horizontal="center"/>
    </xf>
    <xf numFmtId="1" fontId="49" fillId="8" borderId="17" xfId="0" applyNumberFormat="1" applyFont="1" applyFill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49" fillId="8" borderId="19" xfId="0" applyFont="1" applyFill="1" applyBorder="1" applyAlignment="1">
      <alignment horizontal="center"/>
    </xf>
    <xf numFmtId="0" fontId="26" fillId="0" borderId="56" xfId="0" applyFont="1" applyBorder="1" applyAlignment="1">
      <alignment horizontal="center"/>
    </xf>
    <xf numFmtId="0" fontId="49" fillId="8" borderId="54" xfId="0" applyFont="1" applyFill="1" applyBorder="1" applyAlignment="1">
      <alignment horizontal="center"/>
    </xf>
    <xf numFmtId="0" fontId="49" fillId="8" borderId="60" xfId="0" applyFont="1" applyFill="1" applyBorder="1" applyAlignment="1">
      <alignment horizontal="center"/>
    </xf>
    <xf numFmtId="0" fontId="49" fillId="8" borderId="23" xfId="0" applyFont="1" applyFill="1" applyBorder="1" applyAlignment="1">
      <alignment horizontal="center"/>
    </xf>
    <xf numFmtId="0" fontId="49" fillId="8" borderId="52" xfId="0" applyFont="1" applyFill="1" applyBorder="1" applyAlignment="1">
      <alignment horizontal="center"/>
    </xf>
    <xf numFmtId="2" fontId="26" fillId="0" borderId="61" xfId="0" applyNumberFormat="1" applyFont="1" applyBorder="1" applyAlignment="1">
      <alignment horizontal="center"/>
    </xf>
    <xf numFmtId="0" fontId="3" fillId="2" borderId="25" xfId="0" applyFont="1" applyFill="1" applyBorder="1"/>
    <xf numFmtId="0" fontId="1" fillId="0" borderId="15" xfId="0" applyFont="1" applyBorder="1" applyAlignment="1">
      <alignment horizontal="center"/>
    </xf>
    <xf numFmtId="0" fontId="18" fillId="0" borderId="0" xfId="0" applyFont="1"/>
    <xf numFmtId="1" fontId="10" fillId="0" borderId="0" xfId="0" applyNumberFormat="1" applyFont="1"/>
    <xf numFmtId="1" fontId="9" fillId="0" borderId="1" xfId="0" applyNumberFormat="1" applyFont="1" applyBorder="1"/>
    <xf numFmtId="0" fontId="10" fillId="4" borderId="5" xfId="0" applyFont="1" applyFill="1" applyBorder="1" applyAlignment="1">
      <alignment vertical="center" wrapText="1"/>
    </xf>
    <xf numFmtId="1" fontId="5" fillId="0" borderId="0" xfId="0" applyNumberFormat="1" applyFont="1" applyProtection="1">
      <protection locked="0"/>
    </xf>
    <xf numFmtId="1" fontId="5" fillId="0" borderId="0" xfId="0" applyNumberFormat="1" applyFont="1" applyAlignment="1" applyProtection="1">
      <alignment horizontal="right"/>
      <protection locked="0"/>
    </xf>
    <xf numFmtId="0" fontId="5" fillId="0" borderId="0" xfId="0" applyFont="1" applyAlignment="1" applyProtection="1">
      <alignment horizontal="right"/>
      <protection locked="0"/>
    </xf>
    <xf numFmtId="2" fontId="5" fillId="0" borderId="0" xfId="0" applyNumberFormat="1" applyFont="1" applyProtection="1">
      <protection locked="0"/>
    </xf>
    <xf numFmtId="0" fontId="26" fillId="0" borderId="8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6" fillId="0" borderId="30" xfId="0" applyFont="1" applyBorder="1" applyAlignment="1">
      <alignment horizontal="center"/>
    </xf>
    <xf numFmtId="0" fontId="26" fillId="0" borderId="36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1" fontId="3" fillId="6" borderId="3" xfId="0" applyNumberFormat="1" applyFont="1" applyFill="1" applyBorder="1" applyAlignment="1">
      <alignment horizontal="center"/>
    </xf>
    <xf numFmtId="1" fontId="3" fillId="6" borderId="0" xfId="0" applyNumberFormat="1" applyFont="1" applyFill="1" applyAlignment="1">
      <alignment horizontal="center"/>
    </xf>
    <xf numFmtId="0" fontId="31" fillId="5" borderId="31" xfId="0" applyFont="1" applyFill="1" applyBorder="1" applyAlignment="1">
      <alignment horizontal="left" vertical="center"/>
    </xf>
    <xf numFmtId="0" fontId="26" fillId="10" borderId="15" xfId="0" applyFont="1" applyFill="1" applyBorder="1" applyAlignment="1">
      <alignment horizontal="center" vertical="center" wrapText="1"/>
    </xf>
    <xf numFmtId="0" fontId="26" fillId="10" borderId="37" xfId="0" applyFont="1" applyFill="1" applyBorder="1" applyAlignment="1">
      <alignment horizontal="center" vertical="center" wrapText="1"/>
    </xf>
    <xf numFmtId="0" fontId="26" fillId="10" borderId="38" xfId="0" applyFont="1" applyFill="1" applyBorder="1" applyAlignment="1">
      <alignment horizontal="center" vertical="center" wrapText="1"/>
    </xf>
    <xf numFmtId="0" fontId="26" fillId="10" borderId="39" xfId="0" applyFont="1" applyFill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/>
    </xf>
    <xf numFmtId="17" fontId="30" fillId="0" borderId="43" xfId="0" applyNumberFormat="1" applyFont="1" applyBorder="1" applyAlignment="1">
      <alignment horizontal="center" vertical="center" wrapText="1"/>
    </xf>
    <xf numFmtId="17" fontId="30" fillId="0" borderId="44" xfId="0" applyNumberFormat="1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48" fillId="0" borderId="14" xfId="0" applyFont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4" borderId="5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5" fillId="4" borderId="6" xfId="0" applyFont="1" applyFill="1" applyBorder="1" applyAlignment="1">
      <alignment vertical="center"/>
    </xf>
    <xf numFmtId="0" fontId="42" fillId="0" borderId="0" xfId="0" applyFont="1" applyAlignment="1">
      <alignment horizontal="center"/>
    </xf>
    <xf numFmtId="0" fontId="4" fillId="11" borderId="0" xfId="0" applyFont="1" applyFill="1" applyAlignment="1">
      <alignment horizontal="center"/>
    </xf>
    <xf numFmtId="0" fontId="33" fillId="2" borderId="14" xfId="0" applyFont="1" applyFill="1" applyBorder="1" applyAlignment="1">
      <alignment horizontal="center"/>
    </xf>
    <xf numFmtId="0" fontId="4" fillId="4" borderId="6" xfId="0" applyFont="1" applyFill="1" applyBorder="1" applyAlignment="1">
      <alignment vertical="center"/>
    </xf>
    <xf numFmtId="0" fontId="4" fillId="0" borderId="8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0" xfId="0" applyFont="1" applyAlignment="1">
      <alignment horizontal="center" wrapText="1"/>
    </xf>
    <xf numFmtId="0" fontId="10" fillId="0" borderId="1" xfId="0" applyFont="1" applyBorder="1" applyAlignment="1">
      <alignment horizontal="left"/>
    </xf>
    <xf numFmtId="0" fontId="36" fillId="0" borderId="14" xfId="0" applyFont="1" applyBorder="1" applyAlignment="1">
      <alignment horizontal="center"/>
    </xf>
    <xf numFmtId="0" fontId="50" fillId="2" borderId="0" xfId="0" applyFont="1" applyFill="1" applyAlignment="1">
      <alignment horizontal="left"/>
    </xf>
    <xf numFmtId="0" fontId="10" fillId="0" borderId="14" xfId="0" applyFont="1" applyBorder="1" applyAlignment="1">
      <alignment horizontal="right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5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wrapText="1"/>
    </xf>
    <xf numFmtId="0" fontId="23" fillId="0" borderId="0" xfId="0" applyFont="1" applyProtection="1">
      <protection locked="0"/>
    </xf>
    <xf numFmtId="0" fontId="23" fillId="4" borderId="8" xfId="0" applyFont="1" applyFill="1" applyBorder="1" applyProtection="1">
      <protection locked="0"/>
    </xf>
    <xf numFmtId="0" fontId="23" fillId="4" borderId="9" xfId="0" applyFont="1" applyFill="1" applyBorder="1" applyProtection="1">
      <protection locked="0"/>
    </xf>
    <xf numFmtId="0" fontId="23" fillId="4" borderId="10" xfId="0" applyFont="1" applyFill="1" applyBorder="1" applyProtection="1">
      <protection locked="0"/>
    </xf>
    <xf numFmtId="0" fontId="23" fillId="4" borderId="3" xfId="0" applyFont="1" applyFill="1" applyBorder="1" applyProtection="1">
      <protection locked="0"/>
    </xf>
    <xf numFmtId="0" fontId="23" fillId="4" borderId="0" xfId="0" applyFont="1" applyFill="1" applyProtection="1">
      <protection locked="0"/>
    </xf>
    <xf numFmtId="0" fontId="23" fillId="4" borderId="11" xfId="0" applyFont="1" applyFill="1" applyBorder="1" applyProtection="1">
      <protection locked="0"/>
    </xf>
    <xf numFmtId="0" fontId="22" fillId="0" borderId="0" xfId="0" applyFont="1" applyAlignment="1" applyProtection="1">
      <alignment horizontal="center"/>
      <protection locked="0"/>
    </xf>
    <xf numFmtId="0" fontId="22" fillId="4" borderId="0" xfId="0" applyFont="1" applyFill="1" applyAlignment="1" applyProtection="1">
      <alignment horizontal="center"/>
      <protection locked="0"/>
    </xf>
    <xf numFmtId="0" fontId="22" fillId="0" borderId="0" xfId="0" applyFont="1" applyProtection="1">
      <protection locked="0"/>
    </xf>
    <xf numFmtId="0" fontId="23" fillId="0" borderId="0" xfId="0" applyFont="1" applyBorder="1" applyProtection="1">
      <protection locked="0"/>
    </xf>
    <xf numFmtId="0" fontId="22" fillId="0" borderId="0" xfId="0" applyFont="1" applyBorder="1" applyProtection="1">
      <protection locked="0"/>
    </xf>
    <xf numFmtId="0" fontId="25" fillId="0" borderId="0" xfId="0" applyFont="1" applyAlignment="1" applyProtection="1">
      <alignment wrapText="1"/>
      <protection locked="0"/>
    </xf>
    <xf numFmtId="0" fontId="25" fillId="4" borderId="0" xfId="0" applyFont="1" applyFill="1" applyAlignment="1" applyProtection="1">
      <alignment wrapText="1"/>
      <protection locked="0"/>
    </xf>
    <xf numFmtId="0" fontId="22" fillId="4" borderId="0" xfId="0" applyFont="1" applyFill="1" applyAlignment="1" applyProtection="1">
      <alignment horizontal="center" vertical="center" wrapText="1"/>
      <protection locked="0"/>
    </xf>
    <xf numFmtId="0" fontId="22" fillId="4" borderId="0" xfId="0" applyFont="1" applyFill="1" applyAlignment="1" applyProtection="1">
      <alignment horizontal="center" vertical="center" wrapText="1"/>
      <protection locked="0"/>
    </xf>
    <xf numFmtId="0" fontId="22" fillId="4" borderId="11" xfId="0" applyFont="1" applyFill="1" applyBorder="1" applyAlignment="1" applyProtection="1">
      <alignment wrapText="1"/>
      <protection locked="0"/>
    </xf>
    <xf numFmtId="0" fontId="22" fillId="0" borderId="0" xfId="0" applyFont="1" applyAlignment="1" applyProtection="1">
      <alignment horizontal="center" wrapText="1"/>
      <protection locked="0"/>
    </xf>
    <xf numFmtId="0" fontId="22" fillId="4" borderId="0" xfId="0" applyFont="1" applyFill="1" applyAlignment="1" applyProtection="1">
      <alignment horizontal="center" wrapText="1"/>
      <protection locked="0"/>
    </xf>
    <xf numFmtId="0" fontId="22" fillId="4" borderId="0" xfId="0" applyFont="1" applyFill="1" applyAlignment="1" applyProtection="1">
      <alignment wrapText="1"/>
      <protection locked="0"/>
    </xf>
    <xf numFmtId="0" fontId="22" fillId="0" borderId="0" xfId="0" applyFont="1" applyAlignment="1" applyProtection="1">
      <alignment wrapText="1"/>
      <protection locked="0"/>
    </xf>
    <xf numFmtId="0" fontId="22" fillId="0" borderId="0" xfId="0" applyFont="1" applyAlignment="1" applyProtection="1">
      <alignment horizontal="right"/>
      <protection locked="0"/>
    </xf>
    <xf numFmtId="0" fontId="22" fillId="0" borderId="0" xfId="0" applyFont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4" borderId="0" xfId="0" applyFont="1" applyFill="1" applyAlignment="1" applyProtection="1">
      <alignment horizontal="center"/>
      <protection locked="0"/>
    </xf>
    <xf numFmtId="0" fontId="22" fillId="4" borderId="0" xfId="0" applyFont="1" applyFill="1" applyProtection="1">
      <protection locked="0"/>
    </xf>
    <xf numFmtId="0" fontId="23" fillId="4" borderId="0" xfId="0" applyFont="1" applyFill="1" applyAlignment="1" applyProtection="1">
      <alignment horizontal="center"/>
      <protection locked="0"/>
    </xf>
    <xf numFmtId="0" fontId="23" fillId="4" borderId="12" xfId="0" applyFont="1" applyFill="1" applyBorder="1" applyProtection="1">
      <protection locked="0"/>
    </xf>
    <xf numFmtId="0" fontId="23" fillId="4" borderId="1" xfId="0" applyFont="1" applyFill="1" applyBorder="1" applyProtection="1">
      <protection locked="0"/>
    </xf>
    <xf numFmtId="0" fontId="23" fillId="4" borderId="13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653974</xdr:colOff>
      <xdr:row>3</xdr:row>
      <xdr:rowOff>67236</xdr:rowOff>
    </xdr:from>
    <xdr:to>
      <xdr:col>1</xdr:col>
      <xdr:colOff>112222</xdr:colOff>
      <xdr:row>42</xdr:row>
      <xdr:rowOff>168088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9D634CB7-8849-12B8-31B7-6FF484495737}"/>
            </a:ext>
          </a:extLst>
        </xdr:cNvPr>
        <xdr:cNvSpPr/>
      </xdr:nvSpPr>
      <xdr:spPr>
        <a:xfrm>
          <a:off x="653974" y="986118"/>
          <a:ext cx="377130" cy="7227794"/>
        </a:xfrm>
        <a:prstGeom prst="lef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11</xdr:col>
      <xdr:colOff>1234440</xdr:colOff>
      <xdr:row>21</xdr:row>
      <xdr:rowOff>0</xdr:rowOff>
    </xdr:from>
    <xdr:to>
      <xdr:col>16</xdr:col>
      <xdr:colOff>434340</xdr:colOff>
      <xdr:row>50</xdr:row>
      <xdr:rowOff>94578</xdr:rowOff>
    </xdr:to>
    <xdr:pic>
      <xdr:nvPicPr>
        <xdr:cNvPr id="3229" name="Picture 96" descr="C:\Users\Admin\Desktop\Project reports\Computax PL BS pics\BS vertical Audited column.jpg">
          <a:extLst>
            <a:ext uri="{FF2B5EF4-FFF2-40B4-BE49-F238E27FC236}">
              <a16:creationId xmlns:a16="http://schemas.microsoft.com/office/drawing/2014/main" id="{172102C4-D5F7-1577-AB75-759C7F333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1760" y="3916680"/>
          <a:ext cx="4716780" cy="5615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708660</xdr:colOff>
      <xdr:row>21</xdr:row>
      <xdr:rowOff>0</xdr:rowOff>
    </xdr:from>
    <xdr:to>
      <xdr:col>21</xdr:col>
      <xdr:colOff>594360</xdr:colOff>
      <xdr:row>49</xdr:row>
      <xdr:rowOff>102198</xdr:rowOff>
    </xdr:to>
    <xdr:pic>
      <xdr:nvPicPr>
        <xdr:cNvPr id="3230" name="Picture 95">
          <a:extLst>
            <a:ext uri="{FF2B5EF4-FFF2-40B4-BE49-F238E27FC236}">
              <a16:creationId xmlns:a16="http://schemas.microsoft.com/office/drawing/2014/main" id="{5EE52519-6C51-65AA-F593-D716B1676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92860" y="3916680"/>
          <a:ext cx="4312920" cy="5455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477883</xdr:colOff>
      <xdr:row>21</xdr:row>
      <xdr:rowOff>75656</xdr:rowOff>
    </xdr:from>
    <xdr:to>
      <xdr:col>11</xdr:col>
      <xdr:colOff>1876776</xdr:colOff>
      <xdr:row>43</xdr:row>
      <xdr:rowOff>128467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22EC8ABF-5684-17E7-B776-F7074D66A501}"/>
            </a:ext>
          </a:extLst>
        </xdr:cNvPr>
        <xdr:cNvSpPr/>
      </xdr:nvSpPr>
      <xdr:spPr>
        <a:xfrm>
          <a:off x="18247179" y="3986893"/>
          <a:ext cx="1905000" cy="408214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1330779</xdr:colOff>
      <xdr:row>16</xdr:row>
      <xdr:rowOff>62049</xdr:rowOff>
    </xdr:from>
    <xdr:to>
      <xdr:col>11</xdr:col>
      <xdr:colOff>211404</xdr:colOff>
      <xdr:row>16</xdr:row>
      <xdr:rowOff>75656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81935293-71F0-77ED-5B5C-6A02EB9FCB62}"/>
            </a:ext>
          </a:extLst>
        </xdr:cNvPr>
        <xdr:cNvCxnSpPr/>
      </xdr:nvCxnSpPr>
      <xdr:spPr>
        <a:xfrm>
          <a:off x="17417143" y="3116036"/>
          <a:ext cx="1115786" cy="136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629602</xdr:colOff>
      <xdr:row>73</xdr:row>
      <xdr:rowOff>119066</xdr:rowOff>
    </xdr:from>
    <xdr:to>
      <xdr:col>4</xdr:col>
      <xdr:colOff>859161</xdr:colOff>
      <xdr:row>74</xdr:row>
      <xdr:rowOff>340029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AB5E7572-C039-16D0-8F28-2D125BD621E6}"/>
            </a:ext>
          </a:extLst>
        </xdr:cNvPr>
        <xdr:cNvSpPr/>
      </xdr:nvSpPr>
      <xdr:spPr>
        <a:xfrm rot="5400000">
          <a:off x="8234895" y="34908596"/>
          <a:ext cx="594246" cy="202406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641986</xdr:colOff>
      <xdr:row>58</xdr:row>
      <xdr:rowOff>185740</xdr:rowOff>
    </xdr:from>
    <xdr:to>
      <xdr:col>4</xdr:col>
      <xdr:colOff>932498</xdr:colOff>
      <xdr:row>58</xdr:row>
      <xdr:rowOff>351356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EEE55F36-5C84-6EDB-A553-13CF30A92B63}"/>
            </a:ext>
          </a:extLst>
        </xdr:cNvPr>
        <xdr:cNvSpPr/>
      </xdr:nvSpPr>
      <xdr:spPr>
        <a:xfrm rot="5400000">
          <a:off x="8492074" y="27245730"/>
          <a:ext cx="165616" cy="210026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1271587</xdr:colOff>
      <xdr:row>98</xdr:row>
      <xdr:rowOff>495303</xdr:rowOff>
    </xdr:from>
    <xdr:to>
      <xdr:col>5</xdr:col>
      <xdr:colOff>1851819</xdr:colOff>
      <xdr:row>100</xdr:row>
      <xdr:rowOff>127517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019A3075-A08D-D3AC-67B5-4136A4B96C7D}"/>
            </a:ext>
          </a:extLst>
        </xdr:cNvPr>
        <xdr:cNvSpPr/>
      </xdr:nvSpPr>
      <xdr:spPr>
        <a:xfrm rot="5400000">
          <a:off x="8153070" y="46177533"/>
          <a:ext cx="560901" cy="839931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789623</xdr:colOff>
      <xdr:row>36</xdr:row>
      <xdr:rowOff>38100</xdr:rowOff>
    </xdr:from>
    <xdr:to>
      <xdr:col>4</xdr:col>
      <xdr:colOff>1967913</xdr:colOff>
      <xdr:row>36</xdr:row>
      <xdr:rowOff>305026</xdr:rowOff>
    </xdr:to>
    <xdr:sp macro="" textlink="">
      <xdr:nvSpPr>
        <xdr:cNvPr id="10" name="Right Brace 9">
          <a:extLst>
            <a:ext uri="{FF2B5EF4-FFF2-40B4-BE49-F238E27FC236}">
              <a16:creationId xmlns:a16="http://schemas.microsoft.com/office/drawing/2014/main" id="{144CBD85-1521-B01A-D0AE-99D1FFE42B7F}"/>
            </a:ext>
          </a:extLst>
        </xdr:cNvPr>
        <xdr:cNvSpPr/>
      </xdr:nvSpPr>
      <xdr:spPr>
        <a:xfrm rot="5400000">
          <a:off x="9017681" y="15694932"/>
          <a:ext cx="266926" cy="295751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620078</xdr:colOff>
      <xdr:row>89</xdr:row>
      <xdr:rowOff>295278</xdr:rowOff>
    </xdr:from>
    <xdr:to>
      <xdr:col>4</xdr:col>
      <xdr:colOff>842042</xdr:colOff>
      <xdr:row>89</xdr:row>
      <xdr:rowOff>472252</xdr:rowOff>
    </xdr:to>
    <xdr:sp macro="" textlink="">
      <xdr:nvSpPr>
        <xdr:cNvPr id="13" name="Right Brace 12">
          <a:extLst>
            <a:ext uri="{FF2B5EF4-FFF2-40B4-BE49-F238E27FC236}">
              <a16:creationId xmlns:a16="http://schemas.microsoft.com/office/drawing/2014/main" id="{90B3989F-082A-601E-DBC7-09C382EAFAC7}"/>
            </a:ext>
          </a:extLst>
        </xdr:cNvPr>
        <xdr:cNvSpPr/>
      </xdr:nvSpPr>
      <xdr:spPr>
        <a:xfrm rot="5400000">
          <a:off x="8430160" y="42785769"/>
          <a:ext cx="184668" cy="202406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7"/>
  <sheetViews>
    <sheetView topLeftCell="C78" zoomScale="57" zoomScaleNormal="85" workbookViewId="0">
      <selection activeCell="J93" sqref="J93"/>
    </sheetView>
  </sheetViews>
  <sheetFormatPr defaultRowHeight="13.2" x14ac:dyDescent="0.25"/>
  <cols>
    <col min="1" max="1" width="13.77734375" customWidth="1"/>
    <col min="2" max="2" width="14.44140625" customWidth="1"/>
    <col min="3" max="3" width="68.44140625" style="77" customWidth="1"/>
    <col min="4" max="4" width="29" style="88" customWidth="1"/>
    <col min="5" max="5" width="13.21875" style="88" customWidth="1"/>
    <col min="6" max="6" width="57.21875" style="88" bestFit="1" customWidth="1"/>
    <col min="7" max="7" width="19.77734375" style="88" customWidth="1"/>
    <col min="8" max="8" width="14.77734375" customWidth="1"/>
    <col min="9" max="9" width="34.77734375" style="88" customWidth="1"/>
    <col min="10" max="10" width="24.77734375" customWidth="1"/>
    <col min="11" max="11" width="8.21875" customWidth="1"/>
    <col min="12" max="12" width="32.44140625" customWidth="1"/>
    <col min="13" max="13" width="10.77734375" customWidth="1"/>
    <col min="14" max="14" width="13.5546875" customWidth="1"/>
    <col min="15" max="15" width="12.77734375" customWidth="1"/>
    <col min="16" max="16" width="11.21875" customWidth="1"/>
    <col min="17" max="17" width="13" customWidth="1"/>
    <col min="18" max="19" width="15.5546875" bestFit="1" customWidth="1"/>
    <col min="20" max="20" width="11.5546875" bestFit="1" customWidth="1"/>
  </cols>
  <sheetData>
    <row r="1" spans="2:17" ht="7.5" customHeight="1" x14ac:dyDescent="0.25"/>
    <row r="2" spans="2:17" ht="52.8" x14ac:dyDescent="0.25">
      <c r="B2" s="96" t="s">
        <v>139</v>
      </c>
      <c r="C2" s="96" t="s">
        <v>140</v>
      </c>
      <c r="D2" s="97" t="s">
        <v>141</v>
      </c>
      <c r="E2" s="97" t="s">
        <v>142</v>
      </c>
      <c r="F2" s="97" t="s">
        <v>143</v>
      </c>
      <c r="G2" s="97" t="s">
        <v>144</v>
      </c>
      <c r="H2" s="98" t="s">
        <v>145</v>
      </c>
      <c r="I2" s="97" t="s">
        <v>146</v>
      </c>
      <c r="J2" s="97" t="s">
        <v>23</v>
      </c>
      <c r="L2" s="77"/>
      <c r="M2" s="77"/>
      <c r="N2" s="78"/>
      <c r="O2" s="77"/>
      <c r="P2" s="77"/>
      <c r="Q2" s="77"/>
    </row>
    <row r="3" spans="2:17" ht="13.8" thickBot="1" x14ac:dyDescent="0.3">
      <c r="B3" s="96"/>
      <c r="C3" s="96"/>
      <c r="D3" s="97"/>
      <c r="E3" s="97"/>
      <c r="F3" s="97"/>
      <c r="G3" s="97"/>
      <c r="H3" s="98"/>
      <c r="I3" s="97"/>
      <c r="J3" s="97"/>
      <c r="L3" s="77"/>
      <c r="M3" s="77"/>
      <c r="N3" s="78"/>
      <c r="O3" s="77"/>
      <c r="P3" s="77"/>
      <c r="Q3" s="77"/>
    </row>
    <row r="4" spans="2:17" ht="15" thickBot="1" x14ac:dyDescent="0.4">
      <c r="B4" s="309" t="s">
        <v>153</v>
      </c>
      <c r="C4" s="136" t="s">
        <v>101</v>
      </c>
      <c r="D4" s="100" t="s">
        <v>117</v>
      </c>
      <c r="E4" s="100" t="s">
        <v>118</v>
      </c>
      <c r="F4" s="100"/>
      <c r="G4" s="100"/>
      <c r="H4" s="101"/>
      <c r="I4" s="192"/>
      <c r="J4" s="196"/>
      <c r="L4" s="77"/>
      <c r="M4" s="77"/>
      <c r="N4" s="78"/>
      <c r="O4" s="77"/>
      <c r="P4" s="77"/>
      <c r="Q4" s="77"/>
    </row>
    <row r="5" spans="2:17" ht="14.4" x14ac:dyDescent="0.35">
      <c r="B5" s="310"/>
      <c r="C5" s="219" t="s">
        <v>236</v>
      </c>
      <c r="D5" s="220" t="s">
        <v>196</v>
      </c>
      <c r="E5" s="221" t="s">
        <v>118</v>
      </c>
      <c r="F5" s="222" t="s">
        <v>237</v>
      </c>
      <c r="G5" s="223"/>
      <c r="H5" s="171"/>
      <c r="I5" s="224"/>
      <c r="J5" s="225"/>
      <c r="L5" s="77"/>
      <c r="M5" s="77"/>
      <c r="N5" s="78"/>
      <c r="O5" s="77"/>
      <c r="P5" s="77"/>
      <c r="Q5" s="77"/>
    </row>
    <row r="6" spans="2:17" ht="14.4" x14ac:dyDescent="0.35">
      <c r="B6" s="311"/>
      <c r="C6" s="92" t="s">
        <v>102</v>
      </c>
      <c r="D6" s="94" t="s">
        <v>117</v>
      </c>
      <c r="E6" s="94" t="s">
        <v>118</v>
      </c>
      <c r="F6" s="94"/>
      <c r="G6" s="94"/>
      <c r="H6" s="99"/>
      <c r="I6" s="193"/>
      <c r="J6" s="197"/>
      <c r="L6" s="77"/>
      <c r="M6" s="77"/>
      <c r="N6" s="78"/>
      <c r="O6" s="77"/>
      <c r="P6" s="77"/>
      <c r="Q6" s="77"/>
    </row>
    <row r="7" spans="2:17" ht="15" thickBot="1" x14ac:dyDescent="0.3">
      <c r="B7" s="311"/>
      <c r="C7" s="95" t="s">
        <v>103</v>
      </c>
      <c r="D7" s="94" t="s">
        <v>117</v>
      </c>
      <c r="E7" s="94" t="s">
        <v>118</v>
      </c>
      <c r="F7" s="94"/>
      <c r="G7" s="94"/>
      <c r="H7" s="99"/>
      <c r="I7" s="194"/>
      <c r="J7" s="197"/>
      <c r="L7" s="77"/>
      <c r="M7" s="77"/>
      <c r="N7" s="78"/>
      <c r="O7" s="77"/>
      <c r="P7" s="77"/>
      <c r="Q7" s="77"/>
    </row>
    <row r="8" spans="2:17" ht="14.4" x14ac:dyDescent="0.25">
      <c r="B8" s="312"/>
      <c r="C8" s="159" t="s">
        <v>147</v>
      </c>
      <c r="D8" s="136" t="s">
        <v>196</v>
      </c>
      <c r="E8" s="128" t="s">
        <v>118</v>
      </c>
      <c r="F8" s="92" t="s">
        <v>216</v>
      </c>
      <c r="G8" s="128"/>
      <c r="H8" s="129"/>
      <c r="I8" s="195"/>
      <c r="J8" s="198"/>
      <c r="L8" s="77"/>
      <c r="M8" s="77"/>
      <c r="N8" s="78"/>
      <c r="O8" s="77"/>
      <c r="P8" s="77"/>
      <c r="Q8" s="77"/>
    </row>
    <row r="9" spans="2:17" ht="15" thickBot="1" x14ac:dyDescent="0.3">
      <c r="B9" s="312"/>
      <c r="C9" s="159" t="s">
        <v>125</v>
      </c>
      <c r="D9" s="128" t="s">
        <v>117</v>
      </c>
      <c r="E9" s="128" t="s">
        <v>118</v>
      </c>
      <c r="F9" s="128"/>
      <c r="G9" s="128"/>
      <c r="H9" s="129"/>
      <c r="I9" s="195"/>
      <c r="J9" s="199"/>
      <c r="L9" s="77"/>
      <c r="M9" s="77"/>
      <c r="N9" s="78"/>
      <c r="O9" s="77"/>
      <c r="P9" s="77"/>
      <c r="Q9" s="77"/>
    </row>
    <row r="10" spans="2:17" ht="13.8" thickBot="1" x14ac:dyDescent="0.3">
      <c r="B10" s="172"/>
      <c r="C10" s="173"/>
      <c r="D10" s="174"/>
      <c r="E10" s="174"/>
      <c r="F10" s="174"/>
      <c r="G10" s="174"/>
      <c r="H10" s="175"/>
      <c r="I10" s="174"/>
      <c r="J10" s="176"/>
      <c r="L10" s="77"/>
      <c r="M10" s="77"/>
      <c r="N10" s="78"/>
      <c r="O10" s="77"/>
      <c r="P10" s="77"/>
      <c r="Q10" s="77"/>
    </row>
    <row r="11" spans="2:17" x14ac:dyDescent="0.25">
      <c r="B11" s="310" t="s">
        <v>152</v>
      </c>
      <c r="C11" s="169" t="s">
        <v>193</v>
      </c>
      <c r="D11" s="169" t="s">
        <v>196</v>
      </c>
      <c r="E11" s="170" t="s">
        <v>111</v>
      </c>
      <c r="F11" s="170" t="s">
        <v>164</v>
      </c>
      <c r="G11" s="170"/>
      <c r="H11" s="171"/>
      <c r="I11" s="170"/>
      <c r="J11" s="200"/>
      <c r="L11" s="77"/>
      <c r="M11" s="77"/>
      <c r="N11" s="78"/>
      <c r="O11" s="77"/>
      <c r="P11" s="77"/>
      <c r="Q11" s="77"/>
    </row>
    <row r="12" spans="2:17" x14ac:dyDescent="0.25">
      <c r="B12" s="311"/>
      <c r="C12" s="165" t="s">
        <v>194</v>
      </c>
      <c r="D12" s="94" t="s">
        <v>117</v>
      </c>
      <c r="E12" s="166" t="s">
        <v>111</v>
      </c>
      <c r="F12" s="94"/>
      <c r="G12" s="94"/>
      <c r="H12" s="99"/>
      <c r="I12" s="94"/>
      <c r="J12" s="217" t="s">
        <v>122</v>
      </c>
      <c r="L12" s="77"/>
      <c r="M12" s="77"/>
      <c r="N12" s="78"/>
      <c r="O12" s="77"/>
      <c r="P12" s="77"/>
      <c r="Q12" s="77"/>
    </row>
    <row r="13" spans="2:17" x14ac:dyDescent="0.25">
      <c r="B13" s="311"/>
      <c r="C13" s="165" t="s">
        <v>96</v>
      </c>
      <c r="D13" s="94" t="s">
        <v>117</v>
      </c>
      <c r="E13" s="166" t="s">
        <v>111</v>
      </c>
      <c r="F13" s="94"/>
      <c r="G13" s="94"/>
      <c r="H13" s="215"/>
      <c r="I13" s="209">
        <f>H13*1/100</f>
        <v>0</v>
      </c>
      <c r="J13" s="217" t="s">
        <v>121</v>
      </c>
      <c r="L13" s="77"/>
      <c r="M13" s="77"/>
      <c r="N13" s="78"/>
      <c r="O13" s="77"/>
      <c r="P13" s="77"/>
      <c r="Q13" s="77"/>
    </row>
    <row r="14" spans="2:17" x14ac:dyDescent="0.25">
      <c r="B14" s="311"/>
      <c r="C14" s="165" t="s">
        <v>173</v>
      </c>
      <c r="D14" s="94" t="s">
        <v>117</v>
      </c>
      <c r="E14" s="166" t="s">
        <v>111</v>
      </c>
      <c r="F14" s="94"/>
      <c r="G14" s="94"/>
      <c r="H14" s="215"/>
      <c r="I14" s="210">
        <f>(H14+H14*18/100)*1/100</f>
        <v>0</v>
      </c>
      <c r="J14" s="217" t="s">
        <v>120</v>
      </c>
      <c r="L14" s="77"/>
      <c r="M14" s="77"/>
      <c r="N14" s="78"/>
      <c r="O14" s="77"/>
      <c r="P14" s="77"/>
      <c r="Q14" s="77"/>
    </row>
    <row r="15" spans="2:17" ht="13.8" thickBot="1" x14ac:dyDescent="0.3">
      <c r="B15" s="312"/>
      <c r="C15" s="167" t="s">
        <v>106</v>
      </c>
      <c r="D15" s="128" t="s">
        <v>117</v>
      </c>
      <c r="E15" s="168" t="s">
        <v>111</v>
      </c>
      <c r="F15" s="128"/>
      <c r="G15" s="128" t="s">
        <v>215</v>
      </c>
      <c r="H15" s="216"/>
      <c r="I15" s="211">
        <f>H15*1/100</f>
        <v>0</v>
      </c>
      <c r="J15" s="218" t="s">
        <v>124</v>
      </c>
      <c r="L15" s="77"/>
      <c r="M15" s="77"/>
      <c r="N15" s="78"/>
      <c r="O15" s="77"/>
      <c r="P15" s="77"/>
      <c r="Q15" s="77"/>
    </row>
    <row r="16" spans="2:17" ht="13.8" thickBot="1" x14ac:dyDescent="0.3">
      <c r="B16" s="172"/>
      <c r="C16" s="173"/>
      <c r="D16" s="174"/>
      <c r="E16" s="174"/>
      <c r="F16" s="174"/>
      <c r="G16" s="174"/>
      <c r="H16" s="175"/>
      <c r="I16" s="174"/>
      <c r="J16" s="176"/>
      <c r="L16" s="77"/>
      <c r="M16" s="77"/>
      <c r="N16" s="78"/>
      <c r="O16" s="77"/>
      <c r="P16" s="77"/>
      <c r="Q16" s="77"/>
    </row>
    <row r="17" spans="1:17" x14ac:dyDescent="0.25">
      <c r="B17" s="313" t="s">
        <v>195</v>
      </c>
      <c r="C17" s="169" t="s">
        <v>148</v>
      </c>
      <c r="D17" s="169" t="s">
        <v>196</v>
      </c>
      <c r="E17" s="170" t="s">
        <v>111</v>
      </c>
      <c r="F17" s="170" t="s">
        <v>217</v>
      </c>
      <c r="G17" s="169"/>
      <c r="H17" s="171"/>
      <c r="I17" s="170"/>
      <c r="J17" s="201" t="s">
        <v>209</v>
      </c>
      <c r="K17" s="302" t="s">
        <v>174</v>
      </c>
      <c r="L17" s="303"/>
      <c r="M17" s="77"/>
      <c r="N17" s="78"/>
      <c r="O17" s="77"/>
      <c r="P17" s="77"/>
      <c r="Q17" s="77"/>
    </row>
    <row r="18" spans="1:17" x14ac:dyDescent="0.25">
      <c r="B18" s="313"/>
      <c r="C18" s="92" t="s">
        <v>149</v>
      </c>
      <c r="D18" s="92" t="s">
        <v>196</v>
      </c>
      <c r="E18" s="94" t="s">
        <v>111</v>
      </c>
      <c r="F18" s="94" t="s">
        <v>217</v>
      </c>
      <c r="G18" s="92"/>
      <c r="H18" s="99"/>
      <c r="I18" s="94"/>
      <c r="J18" s="202" t="s">
        <v>104</v>
      </c>
      <c r="L18" s="77"/>
      <c r="M18" s="77"/>
      <c r="N18" s="78"/>
      <c r="O18" s="77"/>
      <c r="P18" s="77"/>
      <c r="Q18" s="77"/>
    </row>
    <row r="19" spans="1:17" x14ac:dyDescent="0.25">
      <c r="B19" s="313"/>
      <c r="C19" s="92" t="s">
        <v>150</v>
      </c>
      <c r="D19" s="92" t="s">
        <v>196</v>
      </c>
      <c r="E19" s="94" t="s">
        <v>111</v>
      </c>
      <c r="F19" s="94" t="s">
        <v>217</v>
      </c>
      <c r="G19" s="92"/>
      <c r="H19" s="99"/>
      <c r="I19" s="94"/>
      <c r="J19" s="202" t="s">
        <v>94</v>
      </c>
      <c r="L19" s="77"/>
      <c r="M19" s="77"/>
      <c r="N19" s="78"/>
      <c r="O19" s="77"/>
      <c r="P19" s="77"/>
      <c r="Q19" s="77"/>
    </row>
    <row r="20" spans="1:17" ht="13.8" thickBot="1" x14ac:dyDescent="0.3">
      <c r="B20" s="313"/>
      <c r="C20" s="177" t="s">
        <v>151</v>
      </c>
      <c r="D20" s="177" t="s">
        <v>196</v>
      </c>
      <c r="E20" s="128" t="s">
        <v>111</v>
      </c>
      <c r="F20" s="128" t="s">
        <v>217</v>
      </c>
      <c r="G20" s="177"/>
      <c r="H20" s="129"/>
      <c r="I20" s="128"/>
      <c r="J20" s="203" t="s">
        <v>94</v>
      </c>
      <c r="M20" s="77"/>
      <c r="N20" s="78"/>
      <c r="O20" s="77"/>
      <c r="P20" s="77"/>
      <c r="Q20" s="77"/>
    </row>
    <row r="21" spans="1:17" ht="13.8" thickBot="1" x14ac:dyDescent="0.3">
      <c r="A21" s="77"/>
      <c r="B21" s="172"/>
      <c r="C21" s="173">
        <f>I17</f>
        <v>0</v>
      </c>
      <c r="D21" s="178"/>
      <c r="E21" s="178"/>
      <c r="F21" s="180"/>
      <c r="G21" s="180"/>
      <c r="H21" s="181"/>
      <c r="I21" s="178"/>
      <c r="J21" s="179"/>
      <c r="L21" s="77"/>
    </row>
    <row r="22" spans="1:17" ht="15" customHeight="1" x14ac:dyDescent="0.35">
      <c r="B22" s="314" t="s">
        <v>210</v>
      </c>
      <c r="C22" s="184" t="s">
        <v>182</v>
      </c>
      <c r="D22" s="182" t="s">
        <v>117</v>
      </c>
      <c r="E22" s="170" t="s">
        <v>111</v>
      </c>
      <c r="F22" s="92"/>
      <c r="G22" s="92"/>
      <c r="H22" s="214"/>
      <c r="I22" s="204"/>
      <c r="J22" s="207"/>
      <c r="L22" s="77"/>
      <c r="N22" s="138"/>
      <c r="O22" s="138"/>
      <c r="P22" s="138"/>
      <c r="Q22" s="138"/>
    </row>
    <row r="23" spans="1:17" ht="15" customHeight="1" x14ac:dyDescent="0.35">
      <c r="B23" s="314"/>
      <c r="C23" s="185" t="s">
        <v>1</v>
      </c>
      <c r="D23" s="183" t="s">
        <v>117</v>
      </c>
      <c r="E23" s="94" t="s">
        <v>111</v>
      </c>
      <c r="F23" s="92"/>
      <c r="G23" s="92"/>
      <c r="H23" s="214"/>
      <c r="I23" s="205"/>
      <c r="J23" s="207"/>
      <c r="L23" s="77"/>
      <c r="N23" s="138"/>
      <c r="O23" s="138"/>
      <c r="P23" s="138"/>
      <c r="Q23" s="138"/>
    </row>
    <row r="24" spans="1:17" ht="15" customHeight="1" x14ac:dyDescent="0.35">
      <c r="A24" s="304" t="s">
        <v>211</v>
      </c>
      <c r="B24" s="314"/>
      <c r="C24" s="185" t="s">
        <v>92</v>
      </c>
      <c r="D24" s="183" t="s">
        <v>117</v>
      </c>
      <c r="E24" s="94" t="s">
        <v>111</v>
      </c>
      <c r="F24" s="92"/>
      <c r="G24" s="92"/>
      <c r="H24" s="214"/>
      <c r="I24" s="205">
        <f>9559250+1200000</f>
        <v>10759250</v>
      </c>
      <c r="J24" s="207"/>
      <c r="L24" s="77"/>
      <c r="N24" s="138"/>
      <c r="O24" s="138"/>
      <c r="P24" s="138"/>
      <c r="Q24" s="138"/>
    </row>
    <row r="25" spans="1:17" ht="15" customHeight="1" x14ac:dyDescent="0.35">
      <c r="A25" s="304"/>
      <c r="B25" s="314"/>
      <c r="C25" s="185" t="s">
        <v>2</v>
      </c>
      <c r="D25" s="183" t="s">
        <v>117</v>
      </c>
      <c r="E25" s="94" t="s">
        <v>111</v>
      </c>
      <c r="F25" s="92"/>
      <c r="G25" s="92"/>
      <c r="H25" s="214"/>
      <c r="I25" s="205"/>
      <c r="J25" s="207"/>
      <c r="L25" s="77"/>
      <c r="N25" s="138"/>
      <c r="O25" s="138"/>
      <c r="P25" s="138"/>
      <c r="Q25" s="138"/>
    </row>
    <row r="26" spans="1:17" ht="15" customHeight="1" x14ac:dyDescent="0.35">
      <c r="A26" s="304"/>
      <c r="B26" s="314"/>
      <c r="C26" s="185" t="s">
        <v>183</v>
      </c>
      <c r="D26" s="183" t="s">
        <v>117</v>
      </c>
      <c r="E26" s="94" t="s">
        <v>111</v>
      </c>
      <c r="F26" s="92"/>
      <c r="G26" s="92"/>
      <c r="H26" s="214"/>
      <c r="I26" s="191"/>
      <c r="J26" s="207"/>
      <c r="L26" s="77"/>
      <c r="N26" s="138"/>
      <c r="O26" s="138"/>
      <c r="P26" s="138"/>
      <c r="Q26" s="138"/>
    </row>
    <row r="27" spans="1:17" ht="15" customHeight="1" x14ac:dyDescent="0.35">
      <c r="B27" s="314"/>
      <c r="C27" s="185" t="s">
        <v>69</v>
      </c>
      <c r="D27" s="183" t="s">
        <v>117</v>
      </c>
      <c r="E27" s="94" t="s">
        <v>111</v>
      </c>
      <c r="F27" s="92"/>
      <c r="G27" s="92"/>
      <c r="H27" s="214"/>
      <c r="I27" s="205"/>
      <c r="J27" s="207"/>
      <c r="L27" s="77"/>
      <c r="N27" s="138"/>
      <c r="O27" s="138"/>
      <c r="P27" s="138"/>
      <c r="Q27" s="138"/>
    </row>
    <row r="28" spans="1:17" ht="15" customHeight="1" x14ac:dyDescent="0.35">
      <c r="B28" s="314"/>
      <c r="C28" s="185" t="s">
        <v>33</v>
      </c>
      <c r="D28" s="183" t="s">
        <v>117</v>
      </c>
      <c r="E28" s="94" t="s">
        <v>111</v>
      </c>
      <c r="F28" s="92"/>
      <c r="G28" s="92"/>
      <c r="H28" s="214"/>
      <c r="I28" s="205"/>
      <c r="J28" s="207"/>
      <c r="L28" s="77"/>
      <c r="N28" s="138"/>
      <c r="O28" s="138"/>
      <c r="P28" s="138"/>
      <c r="Q28" s="138"/>
    </row>
    <row r="29" spans="1:17" ht="15" customHeight="1" x14ac:dyDescent="0.35">
      <c r="B29" s="314"/>
      <c r="C29" s="185" t="s">
        <v>156</v>
      </c>
      <c r="D29" s="183" t="s">
        <v>117</v>
      </c>
      <c r="E29" s="94" t="s">
        <v>111</v>
      </c>
      <c r="F29" s="92"/>
      <c r="G29" s="92"/>
      <c r="H29" s="214"/>
      <c r="I29" s="205"/>
      <c r="J29" s="207"/>
      <c r="L29" s="77"/>
      <c r="N29" s="138"/>
      <c r="O29" s="138"/>
      <c r="P29" s="138"/>
      <c r="Q29" s="138"/>
    </row>
    <row r="30" spans="1:17" ht="15" customHeight="1" x14ac:dyDescent="0.35">
      <c r="B30" s="314"/>
      <c r="C30" s="185" t="s">
        <v>70</v>
      </c>
      <c r="D30" s="183" t="s">
        <v>117</v>
      </c>
      <c r="E30" s="94" t="s">
        <v>111</v>
      </c>
      <c r="F30" s="92"/>
      <c r="G30" s="92"/>
      <c r="H30" s="214"/>
      <c r="I30" s="205"/>
      <c r="J30" s="207"/>
      <c r="L30" s="77"/>
      <c r="N30" s="138"/>
      <c r="O30" s="138"/>
      <c r="P30" s="138"/>
      <c r="Q30" s="138"/>
    </row>
    <row r="31" spans="1:17" ht="15" customHeight="1" x14ac:dyDescent="0.35">
      <c r="B31" s="314"/>
      <c r="C31" s="186" t="s">
        <v>129</v>
      </c>
      <c r="D31" s="183" t="s">
        <v>117</v>
      </c>
      <c r="E31" s="94" t="s">
        <v>111</v>
      </c>
      <c r="F31" s="92"/>
      <c r="G31" s="92"/>
      <c r="H31" s="214"/>
      <c r="I31" s="191"/>
      <c r="J31" s="207"/>
      <c r="L31" s="77"/>
      <c r="N31" s="138"/>
      <c r="O31" s="138"/>
      <c r="P31" s="138"/>
      <c r="Q31" s="138"/>
    </row>
    <row r="32" spans="1:17" ht="15" customHeight="1" x14ac:dyDescent="0.35">
      <c r="B32" s="314"/>
      <c r="C32" s="185" t="s">
        <v>231</v>
      </c>
      <c r="D32" s="183" t="s">
        <v>117</v>
      </c>
      <c r="E32" s="94" t="s">
        <v>111</v>
      </c>
      <c r="F32" s="92"/>
      <c r="G32" s="92"/>
      <c r="H32" s="214"/>
      <c r="I32" s="205"/>
      <c r="J32" s="207"/>
      <c r="L32" s="77"/>
      <c r="N32" s="138"/>
      <c r="O32" s="138"/>
      <c r="P32" s="138"/>
      <c r="Q32" s="138"/>
    </row>
    <row r="33" spans="2:17" ht="15" thickBot="1" x14ac:dyDescent="0.4">
      <c r="B33" s="314"/>
      <c r="C33" s="187" t="s">
        <v>232</v>
      </c>
      <c r="D33" s="166" t="s">
        <v>233</v>
      </c>
      <c r="E33" s="94" t="s">
        <v>234</v>
      </c>
      <c r="F33" s="92"/>
      <c r="G33" s="92"/>
      <c r="H33" s="165"/>
      <c r="I33" s="190">
        <f>I22+I25+I26-I23-I24-I27-I28-I29-I30-I31-I32</f>
        <v>-10759250</v>
      </c>
      <c r="J33" s="207"/>
      <c r="L33" s="77"/>
      <c r="N33" s="138"/>
      <c r="O33" s="138"/>
      <c r="P33" s="138"/>
      <c r="Q33" s="138"/>
    </row>
    <row r="34" spans="2:17" ht="15" customHeight="1" x14ac:dyDescent="0.35">
      <c r="B34" s="314"/>
      <c r="C34" s="188" t="s">
        <v>184</v>
      </c>
      <c r="D34" s="183" t="s">
        <v>117</v>
      </c>
      <c r="E34" s="94" t="s">
        <v>111</v>
      </c>
      <c r="F34" s="92"/>
      <c r="G34" s="92"/>
      <c r="H34" s="214"/>
      <c r="I34" s="204"/>
      <c r="J34" s="207"/>
      <c r="L34" s="77"/>
      <c r="N34" s="138"/>
      <c r="O34" s="138"/>
      <c r="P34" s="138"/>
      <c r="Q34" s="138"/>
    </row>
    <row r="35" spans="2:17" ht="15" customHeight="1" x14ac:dyDescent="0.35">
      <c r="B35" s="314"/>
      <c r="C35" s="186" t="s">
        <v>185</v>
      </c>
      <c r="D35" s="183" t="s">
        <v>117</v>
      </c>
      <c r="E35" s="94" t="s">
        <v>111</v>
      </c>
      <c r="F35" s="92"/>
      <c r="G35" s="92"/>
      <c r="H35" s="214"/>
      <c r="I35" s="205"/>
      <c r="J35" s="207"/>
      <c r="L35" s="77"/>
      <c r="N35" s="138"/>
      <c r="O35" s="138"/>
      <c r="P35" s="138"/>
      <c r="Q35" s="138"/>
    </row>
    <row r="36" spans="2:17" ht="15" customHeight="1" x14ac:dyDescent="0.35">
      <c r="B36" s="314"/>
      <c r="C36" s="186" t="s">
        <v>186</v>
      </c>
      <c r="D36" s="183" t="s">
        <v>117</v>
      </c>
      <c r="E36" s="94" t="s">
        <v>111</v>
      </c>
      <c r="F36" s="92"/>
      <c r="G36" s="92"/>
      <c r="H36" s="214"/>
      <c r="I36" s="205"/>
      <c r="J36" s="207"/>
      <c r="L36" s="77"/>
      <c r="N36" s="138"/>
      <c r="O36" s="138"/>
      <c r="P36" s="138"/>
      <c r="Q36" s="138"/>
    </row>
    <row r="37" spans="2:17" ht="15" customHeight="1" x14ac:dyDescent="0.35">
      <c r="B37" s="314"/>
      <c r="C37" s="186" t="s">
        <v>188</v>
      </c>
      <c r="D37" s="166" t="s">
        <v>233</v>
      </c>
      <c r="E37" s="94" t="s">
        <v>111</v>
      </c>
      <c r="F37" s="271" t="s">
        <v>283</v>
      </c>
      <c r="G37" s="92"/>
      <c r="H37" s="270"/>
      <c r="I37" s="191">
        <f>F197</f>
        <v>0</v>
      </c>
      <c r="J37" s="207"/>
      <c r="L37" s="77"/>
      <c r="N37" s="138"/>
      <c r="O37" s="138"/>
      <c r="P37" s="138"/>
      <c r="Q37" s="138"/>
    </row>
    <row r="38" spans="2:17" ht="15" customHeight="1" x14ac:dyDescent="0.35">
      <c r="B38" s="314"/>
      <c r="C38" s="186" t="s">
        <v>33</v>
      </c>
      <c r="D38" s="166" t="s">
        <v>233</v>
      </c>
      <c r="E38" s="94" t="s">
        <v>234</v>
      </c>
      <c r="F38" s="92"/>
      <c r="G38" s="92"/>
      <c r="H38" s="165"/>
      <c r="I38" s="191">
        <f>I28</f>
        <v>0</v>
      </c>
      <c r="J38" s="207"/>
      <c r="L38" s="77"/>
      <c r="N38" s="138"/>
      <c r="O38" s="138"/>
      <c r="P38" s="138"/>
      <c r="Q38" s="138"/>
    </row>
    <row r="39" spans="2:17" ht="15" customHeight="1" x14ac:dyDescent="0.35">
      <c r="B39" s="314"/>
      <c r="C39" s="186" t="s">
        <v>187</v>
      </c>
      <c r="D39" s="166" t="s">
        <v>233</v>
      </c>
      <c r="E39" s="94" t="s">
        <v>234</v>
      </c>
      <c r="F39" s="92"/>
      <c r="G39" s="92"/>
      <c r="H39" s="165"/>
      <c r="I39" s="191">
        <f>I37+I38</f>
        <v>0</v>
      </c>
      <c r="J39" s="207"/>
      <c r="L39" s="77"/>
      <c r="N39" s="138"/>
      <c r="O39" s="138"/>
      <c r="P39" s="138"/>
      <c r="Q39" s="138"/>
    </row>
    <row r="40" spans="2:17" ht="15" customHeight="1" x14ac:dyDescent="0.35">
      <c r="B40" s="314"/>
      <c r="C40" s="186" t="s">
        <v>189</v>
      </c>
      <c r="D40" s="183" t="s">
        <v>117</v>
      </c>
      <c r="E40" s="94" t="s">
        <v>111</v>
      </c>
      <c r="F40" s="92"/>
      <c r="G40" s="92"/>
      <c r="H40" s="214"/>
      <c r="I40" s="205"/>
      <c r="J40" s="207"/>
      <c r="L40" s="77"/>
      <c r="N40" s="138"/>
      <c r="O40" s="138"/>
      <c r="P40" s="138"/>
      <c r="Q40" s="138"/>
    </row>
    <row r="41" spans="2:17" ht="15" customHeight="1" x14ac:dyDescent="0.35">
      <c r="B41" s="314"/>
      <c r="C41" s="186" t="s">
        <v>4</v>
      </c>
      <c r="D41" s="183" t="s">
        <v>117</v>
      </c>
      <c r="E41" s="128" t="s">
        <v>111</v>
      </c>
      <c r="F41" s="92"/>
      <c r="G41" s="92"/>
      <c r="H41" s="214"/>
      <c r="I41" s="205"/>
      <c r="J41" s="207"/>
      <c r="L41" s="77"/>
      <c r="N41" s="138"/>
      <c r="O41" s="138"/>
      <c r="P41" s="138"/>
      <c r="Q41" s="138"/>
    </row>
    <row r="42" spans="2:17" ht="15" customHeight="1" x14ac:dyDescent="0.35">
      <c r="B42" s="314"/>
      <c r="C42" s="186" t="s">
        <v>66</v>
      </c>
      <c r="D42" s="183" t="s">
        <v>117</v>
      </c>
      <c r="E42" s="128" t="s">
        <v>111</v>
      </c>
      <c r="F42" s="92"/>
      <c r="G42" s="92"/>
      <c r="H42" s="214"/>
      <c r="I42" s="205"/>
      <c r="J42" s="207"/>
      <c r="L42" s="77"/>
      <c r="N42" s="138"/>
      <c r="O42" s="138"/>
      <c r="P42" s="138"/>
      <c r="Q42" s="138"/>
    </row>
    <row r="43" spans="2:17" ht="15" customHeight="1" thickBot="1" x14ac:dyDescent="0.4">
      <c r="B43" s="315"/>
      <c r="C43" s="189" t="s">
        <v>190</v>
      </c>
      <c r="D43" s="183" t="s">
        <v>117</v>
      </c>
      <c r="E43" s="94" t="s">
        <v>111</v>
      </c>
      <c r="F43" s="92"/>
      <c r="G43" s="92"/>
      <c r="H43" s="214"/>
      <c r="I43" s="206"/>
      <c r="J43" s="208"/>
      <c r="L43" s="77"/>
      <c r="N43" s="138"/>
      <c r="O43" s="138"/>
      <c r="P43" s="138"/>
      <c r="Q43" s="138"/>
    </row>
    <row r="44" spans="2:17" ht="24.75" customHeight="1" thickBot="1" x14ac:dyDescent="0.3">
      <c r="B44" s="134"/>
      <c r="C44" s="96"/>
      <c r="D44" s="135"/>
      <c r="E44" s="135"/>
      <c r="F44" s="135"/>
      <c r="G44" s="135"/>
      <c r="H44" s="134"/>
      <c r="I44" s="135"/>
      <c r="J44" s="134"/>
      <c r="L44" s="77"/>
      <c r="N44" s="138"/>
      <c r="O44" s="138"/>
      <c r="P44" s="138"/>
      <c r="Q44" s="138"/>
    </row>
    <row r="45" spans="2:17" x14ac:dyDescent="0.25">
      <c r="B45" s="305" t="s">
        <v>212</v>
      </c>
      <c r="C45" s="139" t="s">
        <v>123</v>
      </c>
      <c r="D45" s="306" t="s">
        <v>235</v>
      </c>
      <c r="E45" s="143"/>
      <c r="F45" s="144"/>
      <c r="G45" s="144"/>
      <c r="H45" s="145"/>
      <c r="I45" s="148" t="e">
        <f>100/I15/100</f>
        <v>#DIV/0!</v>
      </c>
      <c r="J45" s="146" t="s">
        <v>105</v>
      </c>
      <c r="L45" s="77"/>
      <c r="M45" s="77"/>
      <c r="N45" s="78"/>
      <c r="O45" s="77"/>
      <c r="P45" s="77"/>
      <c r="Q45" s="77"/>
    </row>
    <row r="46" spans="2:17" x14ac:dyDescent="0.25">
      <c r="B46" s="305"/>
      <c r="C46" s="139" t="s">
        <v>95</v>
      </c>
      <c r="D46" s="307"/>
      <c r="E46" s="143"/>
      <c r="F46" s="144"/>
      <c r="G46" s="144"/>
      <c r="H46" s="145"/>
      <c r="I46" s="148">
        <v>1.05</v>
      </c>
      <c r="J46" s="146" t="s">
        <v>119</v>
      </c>
      <c r="L46" s="77"/>
      <c r="M46" s="77"/>
      <c r="N46" s="78"/>
      <c r="O46" s="77"/>
      <c r="P46" s="77"/>
      <c r="Q46" s="77"/>
    </row>
    <row r="47" spans="2:17" x14ac:dyDescent="0.25">
      <c r="B47" s="305"/>
      <c r="C47" s="139" t="s">
        <v>97</v>
      </c>
      <c r="D47" s="307"/>
      <c r="E47" s="143"/>
      <c r="F47" s="144"/>
      <c r="G47" s="144"/>
      <c r="H47" s="145"/>
      <c r="I47" s="148">
        <v>1.0049999999999999</v>
      </c>
      <c r="J47" s="146" t="s">
        <v>119</v>
      </c>
      <c r="L47" s="77"/>
      <c r="M47" s="77"/>
      <c r="N47" s="78"/>
      <c r="O47" s="77"/>
      <c r="P47" s="77"/>
      <c r="Q47" s="77"/>
    </row>
    <row r="48" spans="2:17" x14ac:dyDescent="0.25">
      <c r="B48" s="305"/>
      <c r="C48" s="139" t="s">
        <v>154</v>
      </c>
      <c r="D48" s="307"/>
      <c r="E48" s="143"/>
      <c r="F48" s="144"/>
      <c r="G48" s="144"/>
      <c r="H48" s="145"/>
      <c r="I48" s="148">
        <v>1.05</v>
      </c>
      <c r="J48" s="146" t="s">
        <v>119</v>
      </c>
      <c r="L48" s="77"/>
      <c r="M48" s="77"/>
      <c r="N48" s="78"/>
      <c r="O48" s="77"/>
      <c r="P48" s="77"/>
      <c r="Q48" s="77"/>
    </row>
    <row r="49" spans="2:18" x14ac:dyDescent="0.25">
      <c r="B49" s="305"/>
      <c r="C49" s="139" t="s">
        <v>100</v>
      </c>
      <c r="D49" s="307"/>
      <c r="E49" s="143"/>
      <c r="F49" s="144"/>
      <c r="G49" s="144"/>
      <c r="H49" s="145"/>
      <c r="I49" s="148">
        <v>1.3</v>
      </c>
      <c r="J49" s="146" t="s">
        <v>109</v>
      </c>
    </row>
    <row r="50" spans="2:18" x14ac:dyDescent="0.25">
      <c r="B50" s="305"/>
      <c r="C50" s="139" t="s">
        <v>93</v>
      </c>
      <c r="D50" s="307"/>
      <c r="E50" s="143"/>
      <c r="F50" s="144"/>
      <c r="G50" s="144"/>
      <c r="H50" s="145"/>
      <c r="I50" s="148">
        <v>1.01</v>
      </c>
      <c r="J50" s="146" t="s">
        <v>110</v>
      </c>
    </row>
    <row r="51" spans="2:18" x14ac:dyDescent="0.25">
      <c r="B51" s="305"/>
      <c r="C51" s="121"/>
      <c r="D51" s="307"/>
      <c r="E51" s="122"/>
      <c r="F51" s="106"/>
      <c r="G51" s="106"/>
      <c r="H51" s="107"/>
      <c r="I51" s="106"/>
      <c r="J51" s="110"/>
    </row>
    <row r="52" spans="2:18" x14ac:dyDescent="0.25">
      <c r="B52" s="305"/>
      <c r="C52" s="139" t="s">
        <v>127</v>
      </c>
      <c r="D52" s="307"/>
      <c r="E52" s="143"/>
      <c r="F52" s="144"/>
      <c r="G52" s="144"/>
      <c r="H52" s="145"/>
      <c r="I52" s="147" t="e">
        <f>I12/I15</f>
        <v>#DIV/0!</v>
      </c>
      <c r="J52" s="149"/>
    </row>
    <row r="53" spans="2:18" x14ac:dyDescent="0.25">
      <c r="B53" s="305"/>
      <c r="C53" s="139" t="s">
        <v>165</v>
      </c>
      <c r="D53" s="307"/>
      <c r="E53" s="143"/>
      <c r="F53" s="144"/>
      <c r="G53" s="144"/>
      <c r="H53" s="145"/>
      <c r="I53" s="147">
        <f>I22</f>
        <v>0</v>
      </c>
      <c r="J53" s="149"/>
    </row>
    <row r="54" spans="2:18" ht="15.75" customHeight="1" x14ac:dyDescent="0.25">
      <c r="B54" s="305"/>
      <c r="C54" s="139" t="s">
        <v>168</v>
      </c>
      <c r="D54" s="307"/>
      <c r="E54" s="143"/>
      <c r="F54" s="144"/>
      <c r="G54" s="144"/>
      <c r="H54" s="145"/>
      <c r="I54" s="147">
        <f>I53*120/100</f>
        <v>0</v>
      </c>
      <c r="J54" s="149"/>
    </row>
    <row r="55" spans="2:18" ht="17.25" customHeight="1" x14ac:dyDescent="0.25">
      <c r="B55" s="305"/>
      <c r="C55" s="139" t="s">
        <v>126</v>
      </c>
      <c r="D55" s="307"/>
      <c r="E55" s="143"/>
      <c r="F55" s="144"/>
      <c r="G55" s="144"/>
      <c r="H55" s="145"/>
      <c r="I55" s="147" t="e">
        <f>MAX(I52,I54)</f>
        <v>#DIV/0!</v>
      </c>
      <c r="J55" s="149"/>
    </row>
    <row r="56" spans="2:18" ht="14.25" customHeight="1" x14ac:dyDescent="0.25">
      <c r="B56" s="305"/>
      <c r="C56" s="121"/>
      <c r="D56" s="307"/>
      <c r="E56" s="122"/>
      <c r="F56" s="106"/>
      <c r="G56" s="106"/>
      <c r="H56" s="107"/>
      <c r="I56" s="106"/>
      <c r="J56" s="110"/>
      <c r="R56" s="68"/>
    </row>
    <row r="57" spans="2:18" ht="12" customHeight="1" x14ac:dyDescent="0.25">
      <c r="B57" s="305"/>
      <c r="C57" s="139" t="s">
        <v>131</v>
      </c>
      <c r="D57" s="307"/>
      <c r="E57" s="150"/>
      <c r="F57" s="151"/>
      <c r="G57" s="151"/>
      <c r="H57" s="145"/>
      <c r="I57" s="151">
        <f>I12*I49</f>
        <v>0</v>
      </c>
      <c r="J57" s="149"/>
    </row>
    <row r="58" spans="2:18" ht="20.25" customHeight="1" x14ac:dyDescent="0.35">
      <c r="B58" s="305"/>
      <c r="C58" s="139" t="s">
        <v>166</v>
      </c>
      <c r="D58" s="307"/>
      <c r="E58" s="150"/>
      <c r="F58" s="151"/>
      <c r="G58" s="151"/>
      <c r="H58" s="152"/>
      <c r="I58" s="147">
        <f>I25</f>
        <v>0</v>
      </c>
      <c r="J58" s="149"/>
    </row>
    <row r="59" spans="2:18" ht="12" customHeight="1" x14ac:dyDescent="0.25">
      <c r="B59" s="305"/>
      <c r="C59" s="139" t="s">
        <v>135</v>
      </c>
      <c r="D59" s="307"/>
      <c r="E59" s="150"/>
      <c r="F59" s="151"/>
      <c r="G59" s="151"/>
      <c r="H59" s="153"/>
      <c r="I59" s="151">
        <f>MAX(I57:I58)</f>
        <v>0</v>
      </c>
      <c r="J59" s="149"/>
    </row>
    <row r="60" spans="2:18" ht="14.4" x14ac:dyDescent="0.25">
      <c r="B60" s="305"/>
      <c r="C60" s="121"/>
      <c r="D60" s="307"/>
      <c r="E60" s="123"/>
      <c r="F60" s="108"/>
      <c r="G60" s="108"/>
      <c r="H60" s="109"/>
      <c r="I60" s="108"/>
      <c r="J60" s="111"/>
    </row>
    <row r="61" spans="2:18" ht="18.75" customHeight="1" x14ac:dyDescent="0.25">
      <c r="B61" s="305"/>
      <c r="C61" s="139" t="s">
        <v>167</v>
      </c>
      <c r="D61" s="307"/>
      <c r="E61" s="150"/>
      <c r="F61" s="151"/>
      <c r="G61" s="151"/>
      <c r="H61" s="145"/>
      <c r="I61" s="151">
        <f>I35</f>
        <v>0</v>
      </c>
      <c r="J61" s="149"/>
      <c r="P61" s="103"/>
      <c r="Q61" s="103"/>
    </row>
    <row r="62" spans="2:18" x14ac:dyDescent="0.25">
      <c r="B62" s="305"/>
      <c r="C62" s="139" t="s">
        <v>136</v>
      </c>
      <c r="D62" s="307"/>
      <c r="E62" s="150"/>
      <c r="F62" s="151"/>
      <c r="G62" s="151"/>
      <c r="H62" s="145"/>
      <c r="I62" s="151">
        <v>4</v>
      </c>
      <c r="J62" s="149"/>
      <c r="P62" s="103"/>
      <c r="Q62" s="102"/>
    </row>
    <row r="63" spans="2:18" ht="14.4" x14ac:dyDescent="0.35">
      <c r="B63" s="305"/>
      <c r="C63" s="140" t="s">
        <v>128</v>
      </c>
      <c r="D63" s="307"/>
      <c r="E63" s="154"/>
      <c r="F63" s="155"/>
      <c r="G63" s="155"/>
      <c r="H63" s="156"/>
      <c r="I63" s="212">
        <f>I61/I62</f>
        <v>0</v>
      </c>
      <c r="J63" s="157"/>
      <c r="P63" s="120"/>
      <c r="Q63" s="77"/>
    </row>
    <row r="64" spans="2:18" x14ac:dyDescent="0.25">
      <c r="B64" s="305"/>
      <c r="C64" s="105" t="s">
        <v>214</v>
      </c>
      <c r="D64" s="307"/>
      <c r="E64" s="106"/>
      <c r="F64" s="106"/>
      <c r="G64" s="106"/>
      <c r="H64" s="107"/>
      <c r="I64" s="124" t="s">
        <v>116</v>
      </c>
      <c r="J64" s="110"/>
      <c r="P64" s="77"/>
      <c r="Q64" s="77"/>
    </row>
    <row r="65" spans="2:20" x14ac:dyDescent="0.25">
      <c r="B65" s="305"/>
      <c r="C65" s="141" t="s">
        <v>99</v>
      </c>
      <c r="D65" s="307"/>
      <c r="E65" s="151"/>
      <c r="F65" s="151"/>
      <c r="G65" s="151"/>
      <c r="H65" s="145"/>
      <c r="I65" s="148">
        <v>0.15</v>
      </c>
      <c r="J65" s="149"/>
      <c r="P65" s="77"/>
      <c r="Q65" s="77"/>
    </row>
    <row r="66" spans="2:20" x14ac:dyDescent="0.25">
      <c r="B66" s="305"/>
      <c r="C66" s="141" t="s">
        <v>163</v>
      </c>
      <c r="D66" s="307"/>
      <c r="E66" s="151"/>
      <c r="F66" s="151"/>
      <c r="G66" s="151"/>
      <c r="H66" s="145"/>
      <c r="I66" s="148">
        <v>0.15</v>
      </c>
      <c r="J66" s="149"/>
    </row>
    <row r="67" spans="2:20" x14ac:dyDescent="0.25">
      <c r="B67" s="305"/>
      <c r="C67" s="141" t="s">
        <v>262</v>
      </c>
      <c r="D67" s="307"/>
      <c r="E67" s="151"/>
      <c r="F67" s="151"/>
      <c r="G67" s="151"/>
      <c r="H67" s="145"/>
      <c r="I67" s="148">
        <v>0.1</v>
      </c>
      <c r="J67" s="149"/>
    </row>
    <row r="68" spans="2:20" x14ac:dyDescent="0.25">
      <c r="B68" s="305"/>
      <c r="C68" s="141" t="s">
        <v>263</v>
      </c>
      <c r="D68" s="307"/>
      <c r="E68" s="151"/>
      <c r="F68" s="151"/>
      <c r="G68" s="151"/>
      <c r="H68" s="145"/>
      <c r="I68" s="148">
        <v>0</v>
      </c>
      <c r="J68" s="149"/>
    </row>
    <row r="69" spans="2:20" x14ac:dyDescent="0.25">
      <c r="B69" s="305"/>
      <c r="C69" s="141" t="s">
        <v>98</v>
      </c>
      <c r="D69" s="307"/>
      <c r="E69" s="151"/>
      <c r="F69" s="151"/>
      <c r="G69" s="151"/>
      <c r="H69" s="145"/>
      <c r="I69" s="148">
        <v>0.1</v>
      </c>
      <c r="J69" s="149"/>
    </row>
    <row r="70" spans="2:20" x14ac:dyDescent="0.25">
      <c r="B70" s="305"/>
      <c r="C70" s="141" t="s">
        <v>264</v>
      </c>
      <c r="D70" s="307"/>
      <c r="E70" s="151"/>
      <c r="F70" s="151"/>
      <c r="G70" s="151"/>
      <c r="H70" s="145"/>
      <c r="I70" s="148">
        <v>0.15</v>
      </c>
      <c r="J70" s="149"/>
    </row>
    <row r="71" spans="2:20" x14ac:dyDescent="0.25">
      <c r="B71" s="305"/>
      <c r="C71" s="141" t="s">
        <v>271</v>
      </c>
      <c r="D71" s="307"/>
      <c r="E71" s="151"/>
      <c r="F71" s="151"/>
      <c r="G71" s="151"/>
      <c r="H71" s="145"/>
      <c r="I71" s="148">
        <v>0.15</v>
      </c>
      <c r="J71" s="149"/>
    </row>
    <row r="72" spans="2:20" x14ac:dyDescent="0.25">
      <c r="B72" s="305"/>
      <c r="C72" s="141" t="s">
        <v>108</v>
      </c>
      <c r="D72" s="307"/>
      <c r="E72" s="151"/>
      <c r="F72" s="151"/>
      <c r="G72" s="151"/>
      <c r="H72" s="145"/>
      <c r="I72" s="148">
        <v>0.15</v>
      </c>
      <c r="J72" s="149"/>
    </row>
    <row r="73" spans="2:20" x14ac:dyDescent="0.25">
      <c r="B73" s="305"/>
      <c r="C73" s="141" t="s">
        <v>268</v>
      </c>
      <c r="D73" s="307"/>
      <c r="E73" s="151"/>
      <c r="F73" s="151"/>
      <c r="G73" s="151"/>
      <c r="H73" s="145"/>
      <c r="I73" s="148">
        <v>0</v>
      </c>
      <c r="J73" s="149"/>
      <c r="P73" s="88"/>
    </row>
    <row r="74" spans="2:20" x14ac:dyDescent="0.25">
      <c r="B74" s="305"/>
      <c r="C74" s="142" t="s">
        <v>269</v>
      </c>
      <c r="D74" s="307"/>
      <c r="E74" s="151"/>
      <c r="F74" s="155"/>
      <c r="G74" s="155"/>
      <c r="H74" s="156"/>
      <c r="I74" s="213">
        <v>0</v>
      </c>
      <c r="J74" s="157"/>
      <c r="P74" s="88"/>
    </row>
    <row r="75" spans="2:20" x14ac:dyDescent="0.25">
      <c r="B75" s="305"/>
      <c r="C75" s="142" t="s">
        <v>107</v>
      </c>
      <c r="D75" s="307"/>
      <c r="E75" s="151"/>
      <c r="F75" s="155"/>
      <c r="G75" s="155"/>
      <c r="H75" s="156"/>
      <c r="I75" s="213">
        <v>0.1</v>
      </c>
      <c r="J75" s="157"/>
    </row>
    <row r="76" spans="2:20" x14ac:dyDescent="0.25">
      <c r="B76" s="305"/>
      <c r="C76" s="105" t="s">
        <v>205</v>
      </c>
      <c r="D76" s="307"/>
      <c r="E76" s="106"/>
      <c r="F76" s="106"/>
      <c r="G76" s="106"/>
      <c r="H76" s="107"/>
      <c r="I76" s="106"/>
      <c r="J76" s="107"/>
    </row>
    <row r="77" spans="2:20" x14ac:dyDescent="0.25">
      <c r="B77" s="305"/>
      <c r="C77" s="141">
        <f>I17</f>
        <v>0</v>
      </c>
      <c r="D77" s="307"/>
      <c r="E77" s="151"/>
      <c r="F77" s="151"/>
      <c r="G77" s="151"/>
      <c r="H77" s="145"/>
      <c r="I77" s="148" t="e">
        <f>wp!C22/wp!C11</f>
        <v>#DIV/0!</v>
      </c>
      <c r="J77" s="145"/>
      <c r="O77" s="77"/>
    </row>
    <row r="78" spans="2:20" x14ac:dyDescent="0.25">
      <c r="B78" s="305"/>
      <c r="C78" s="141">
        <f>I18</f>
        <v>0</v>
      </c>
      <c r="D78" s="307"/>
      <c r="E78" s="151"/>
      <c r="F78" s="151"/>
      <c r="G78" s="151"/>
      <c r="H78" s="145"/>
      <c r="I78" s="148" t="e">
        <f>I77*100.5/100</f>
        <v>#DIV/0!</v>
      </c>
      <c r="J78" s="145"/>
      <c r="O78" s="77"/>
    </row>
    <row r="79" spans="2:20" x14ac:dyDescent="0.25">
      <c r="B79" s="305"/>
      <c r="C79" s="141">
        <f>I19</f>
        <v>0</v>
      </c>
      <c r="D79" s="307"/>
      <c r="E79" s="151"/>
      <c r="F79" s="151"/>
      <c r="G79" s="151"/>
      <c r="H79" s="145"/>
      <c r="I79" s="148" t="e">
        <f>I78*100.5/100</f>
        <v>#DIV/0!</v>
      </c>
      <c r="J79" s="145"/>
      <c r="O79" s="77"/>
      <c r="P79" s="104"/>
    </row>
    <row r="80" spans="2:20" ht="14.4" x14ac:dyDescent="0.3">
      <c r="B80" s="305"/>
      <c r="C80" s="141">
        <f>I20</f>
        <v>0</v>
      </c>
      <c r="D80" s="307"/>
      <c r="E80" s="151"/>
      <c r="F80" s="151"/>
      <c r="G80" s="151"/>
      <c r="H80" s="145"/>
      <c r="I80" s="148" t="e">
        <f>I79*100.5/100</f>
        <v>#DIV/0!</v>
      </c>
      <c r="J80" s="145"/>
      <c r="O80" s="77"/>
      <c r="R80" s="39"/>
      <c r="S80" s="39"/>
      <c r="T80" s="39"/>
    </row>
    <row r="81" spans="1:20" ht="14.4" x14ac:dyDescent="0.3">
      <c r="B81" s="305"/>
      <c r="C81" s="105" t="s">
        <v>206</v>
      </c>
      <c r="D81" s="307"/>
      <c r="E81" s="106"/>
      <c r="F81" s="106"/>
      <c r="G81" s="106"/>
      <c r="H81" s="107"/>
      <c r="I81" s="106"/>
      <c r="J81" s="107"/>
      <c r="R81" s="38"/>
      <c r="S81" s="38"/>
      <c r="T81" s="38"/>
    </row>
    <row r="82" spans="1:20" x14ac:dyDescent="0.25">
      <c r="B82" s="305"/>
      <c r="C82" s="141">
        <f>C77</f>
        <v>0</v>
      </c>
      <c r="D82" s="307"/>
      <c r="E82" s="151"/>
      <c r="F82" s="151"/>
      <c r="G82" s="151"/>
      <c r="H82" s="145"/>
      <c r="I82" s="164" t="s">
        <v>207</v>
      </c>
      <c r="J82" s="145"/>
    </row>
    <row r="83" spans="1:20" x14ac:dyDescent="0.25">
      <c r="B83" s="305"/>
      <c r="C83" s="141">
        <f>C78</f>
        <v>0</v>
      </c>
      <c r="D83" s="307"/>
      <c r="E83" s="151"/>
      <c r="F83" s="151"/>
      <c r="G83" s="151"/>
      <c r="H83" s="145"/>
      <c r="I83" s="151">
        <v>30</v>
      </c>
      <c r="J83" s="145"/>
    </row>
    <row r="84" spans="1:20" x14ac:dyDescent="0.25">
      <c r="B84" s="305"/>
      <c r="C84" s="141">
        <f>C79</f>
        <v>0</v>
      </c>
      <c r="D84" s="307"/>
      <c r="E84" s="151"/>
      <c r="F84" s="151"/>
      <c r="G84" s="151"/>
      <c r="H84" s="145"/>
      <c r="I84" s="151">
        <v>35</v>
      </c>
      <c r="J84" s="145"/>
    </row>
    <row r="85" spans="1:20" x14ac:dyDescent="0.25">
      <c r="A85" s="77"/>
      <c r="B85" s="305"/>
      <c r="C85" s="141">
        <f>C80</f>
        <v>0</v>
      </c>
      <c r="D85" s="307"/>
      <c r="E85" s="151"/>
      <c r="F85" s="151"/>
      <c r="G85" s="151"/>
      <c r="H85" s="145"/>
      <c r="I85" s="151">
        <v>40</v>
      </c>
      <c r="J85" s="145"/>
    </row>
    <row r="86" spans="1:20" x14ac:dyDescent="0.25">
      <c r="B86" s="305"/>
      <c r="C86" s="105" t="s">
        <v>208</v>
      </c>
      <c r="D86" s="307"/>
      <c r="E86" s="106"/>
      <c r="F86" s="106"/>
      <c r="G86" s="106"/>
      <c r="H86" s="107"/>
      <c r="I86" s="106"/>
      <c r="J86" s="107"/>
    </row>
    <row r="87" spans="1:20" x14ac:dyDescent="0.25">
      <c r="B87" s="305"/>
      <c r="C87" s="141">
        <f>C82</f>
        <v>0</v>
      </c>
      <c r="D87" s="307"/>
      <c r="E87" s="151"/>
      <c r="F87" s="151"/>
      <c r="G87" s="151"/>
      <c r="H87" s="145"/>
      <c r="I87" s="164" t="s">
        <v>207</v>
      </c>
      <c r="J87" s="145"/>
    </row>
    <row r="88" spans="1:20" x14ac:dyDescent="0.25">
      <c r="B88" s="305"/>
      <c r="C88" s="141">
        <f>C83</f>
        <v>0</v>
      </c>
      <c r="D88" s="307"/>
      <c r="E88" s="151"/>
      <c r="F88" s="151"/>
      <c r="G88" s="151"/>
      <c r="H88" s="145"/>
      <c r="I88" s="148">
        <v>0.05</v>
      </c>
      <c r="J88" s="145"/>
    </row>
    <row r="89" spans="1:20" x14ac:dyDescent="0.25">
      <c r="B89" s="305"/>
      <c r="C89" s="141">
        <f>C84</f>
        <v>0</v>
      </c>
      <c r="D89" s="307"/>
      <c r="E89" s="151"/>
      <c r="F89" s="151"/>
      <c r="G89" s="151"/>
      <c r="H89" s="145"/>
      <c r="I89" s="148">
        <v>7.0000000000000007E-2</v>
      </c>
      <c r="J89" s="145"/>
    </row>
    <row r="90" spans="1:20" ht="13.8" thickBot="1" x14ac:dyDescent="0.3">
      <c r="B90" s="305"/>
      <c r="C90" s="141">
        <f>C85</f>
        <v>0</v>
      </c>
      <c r="D90" s="308"/>
      <c r="E90" s="151"/>
      <c r="F90" s="151"/>
      <c r="G90" s="151"/>
      <c r="H90" s="145"/>
      <c r="I90" s="148">
        <v>0.1</v>
      </c>
      <c r="J90" s="145"/>
    </row>
    <row r="94" spans="1:20" ht="23.4" thickBot="1" x14ac:dyDescent="0.45">
      <c r="B94" s="229" t="s">
        <v>272</v>
      </c>
      <c r="C94"/>
      <c r="D94"/>
      <c r="E94"/>
      <c r="F94"/>
    </row>
    <row r="95" spans="1:20" ht="40.200000000000003" thickBot="1" x14ac:dyDescent="0.3">
      <c r="B95" s="230" t="s">
        <v>257</v>
      </c>
      <c r="C95" s="231" t="s">
        <v>258</v>
      </c>
      <c r="D95" s="232" t="s">
        <v>259</v>
      </c>
      <c r="E95" s="233" t="s">
        <v>260</v>
      </c>
      <c r="F95" s="233" t="s">
        <v>261</v>
      </c>
    </row>
    <row r="96" spans="1:20" ht="12.75" customHeight="1" x14ac:dyDescent="0.25">
      <c r="B96" s="289" t="s">
        <v>99</v>
      </c>
      <c r="C96" s="234">
        <v>1</v>
      </c>
      <c r="D96" s="235"/>
      <c r="E96" s="236"/>
      <c r="F96" s="301">
        <f>SUM(E96:E105)</f>
        <v>0</v>
      </c>
    </row>
    <row r="97" spans="2:10" ht="12.75" customHeight="1" x14ac:dyDescent="0.25">
      <c r="B97" s="290"/>
      <c r="C97" s="237">
        <v>2</v>
      </c>
      <c r="D97" s="215"/>
      <c r="E97" s="238"/>
      <c r="F97" s="296"/>
      <c r="G97" s="89"/>
      <c r="H97" s="75"/>
      <c r="I97" s="89"/>
      <c r="J97" s="75"/>
    </row>
    <row r="98" spans="2:10" x14ac:dyDescent="0.25">
      <c r="B98" s="290"/>
      <c r="C98" s="237">
        <v>3</v>
      </c>
      <c r="D98" s="215"/>
      <c r="E98" s="238"/>
      <c r="F98" s="296"/>
    </row>
    <row r="99" spans="2:10" x14ac:dyDescent="0.25">
      <c r="B99" s="290"/>
      <c r="C99" s="237">
        <v>4</v>
      </c>
      <c r="D99" s="215"/>
      <c r="E99" s="238"/>
      <c r="F99" s="296"/>
    </row>
    <row r="100" spans="2:10" x14ac:dyDescent="0.25">
      <c r="B100" s="290"/>
      <c r="C100" s="237">
        <v>5</v>
      </c>
      <c r="D100" s="215"/>
      <c r="E100" s="238"/>
      <c r="F100" s="296"/>
    </row>
    <row r="101" spans="2:10" x14ac:dyDescent="0.25">
      <c r="B101" s="290"/>
      <c r="C101" s="237">
        <v>6</v>
      </c>
      <c r="D101" s="215"/>
      <c r="E101" s="238"/>
      <c r="F101" s="296"/>
    </row>
    <row r="102" spans="2:10" x14ac:dyDescent="0.25">
      <c r="B102" s="290"/>
      <c r="C102" s="237">
        <v>7</v>
      </c>
      <c r="D102" s="215"/>
      <c r="E102" s="238"/>
      <c r="F102" s="296"/>
    </row>
    <row r="103" spans="2:10" x14ac:dyDescent="0.25">
      <c r="B103" s="290"/>
      <c r="C103" s="237">
        <v>8</v>
      </c>
      <c r="D103" s="215"/>
      <c r="E103" s="238"/>
      <c r="F103" s="296"/>
    </row>
    <row r="104" spans="2:10" x14ac:dyDescent="0.25">
      <c r="B104" s="290"/>
      <c r="C104" s="237">
        <v>9</v>
      </c>
      <c r="D104" s="215"/>
      <c r="E104" s="238"/>
      <c r="F104" s="296"/>
    </row>
    <row r="105" spans="2:10" ht="13.8" thickBot="1" x14ac:dyDescent="0.3">
      <c r="B105" s="291"/>
      <c r="C105" s="239">
        <v>10</v>
      </c>
      <c r="D105" s="240"/>
      <c r="E105" s="241"/>
      <c r="F105" s="300"/>
    </row>
    <row r="106" spans="2:10" x14ac:dyDescent="0.25">
      <c r="B106" s="289" t="s">
        <v>163</v>
      </c>
      <c r="C106" s="234">
        <v>1</v>
      </c>
      <c r="D106" s="235"/>
      <c r="E106" s="242"/>
      <c r="F106" s="295">
        <f>SUM(E106:E115)</f>
        <v>0</v>
      </c>
    </row>
    <row r="107" spans="2:10" x14ac:dyDescent="0.25">
      <c r="B107" s="290"/>
      <c r="C107" s="237">
        <v>2</v>
      </c>
      <c r="D107" s="215"/>
      <c r="E107" s="238"/>
      <c r="F107" s="296"/>
    </row>
    <row r="108" spans="2:10" x14ac:dyDescent="0.25">
      <c r="B108" s="290"/>
      <c r="C108" s="237">
        <v>3</v>
      </c>
      <c r="D108" s="215"/>
      <c r="E108" s="238"/>
      <c r="F108" s="296"/>
    </row>
    <row r="109" spans="2:10" x14ac:dyDescent="0.25">
      <c r="B109" s="290"/>
      <c r="C109" s="237">
        <v>4</v>
      </c>
      <c r="D109" s="215"/>
      <c r="E109" s="238"/>
      <c r="F109" s="296"/>
    </row>
    <row r="110" spans="2:10" x14ac:dyDescent="0.25">
      <c r="B110" s="290"/>
      <c r="C110" s="237">
        <v>5</v>
      </c>
      <c r="D110" s="215"/>
      <c r="E110" s="238"/>
      <c r="F110" s="296"/>
    </row>
    <row r="111" spans="2:10" x14ac:dyDescent="0.25">
      <c r="B111" s="290"/>
      <c r="C111" s="237">
        <v>6</v>
      </c>
      <c r="D111" s="215"/>
      <c r="E111" s="238"/>
      <c r="F111" s="296"/>
    </row>
    <row r="112" spans="2:10" x14ac:dyDescent="0.25">
      <c r="B112" s="290"/>
      <c r="C112" s="237">
        <v>7</v>
      </c>
      <c r="D112" s="215"/>
      <c r="E112" s="238"/>
      <c r="F112" s="296"/>
    </row>
    <row r="113" spans="2:6" x14ac:dyDescent="0.25">
      <c r="B113" s="290"/>
      <c r="C113" s="237">
        <v>8</v>
      </c>
      <c r="D113" s="215"/>
      <c r="E113" s="238"/>
      <c r="F113" s="296"/>
    </row>
    <row r="114" spans="2:6" x14ac:dyDescent="0.25">
      <c r="B114" s="290"/>
      <c r="C114" s="237">
        <v>9</v>
      </c>
      <c r="D114" s="215"/>
      <c r="E114" s="238"/>
      <c r="F114" s="296"/>
    </row>
    <row r="115" spans="2:6" ht="13.8" thickBot="1" x14ac:dyDescent="0.3">
      <c r="B115" s="291"/>
      <c r="C115" s="239">
        <v>10</v>
      </c>
      <c r="D115" s="240"/>
      <c r="E115" s="241"/>
      <c r="F115" s="300"/>
    </row>
    <row r="116" spans="2:6" x14ac:dyDescent="0.25">
      <c r="B116" s="289" t="s">
        <v>262</v>
      </c>
      <c r="C116" s="234">
        <v>1</v>
      </c>
      <c r="D116" s="235"/>
      <c r="E116" s="242"/>
      <c r="F116" s="295">
        <f>SUM(E116:E125)</f>
        <v>0</v>
      </c>
    </row>
    <row r="117" spans="2:6" x14ac:dyDescent="0.25">
      <c r="B117" s="290"/>
      <c r="C117" s="237">
        <v>2</v>
      </c>
      <c r="D117" s="215"/>
      <c r="E117" s="238"/>
      <c r="F117" s="296"/>
    </row>
    <row r="118" spans="2:6" x14ac:dyDescent="0.25">
      <c r="B118" s="290"/>
      <c r="C118" s="237">
        <v>3</v>
      </c>
      <c r="D118" s="215"/>
      <c r="E118" s="238"/>
      <c r="F118" s="296"/>
    </row>
    <row r="119" spans="2:6" x14ac:dyDescent="0.25">
      <c r="B119" s="290"/>
      <c r="C119" s="237">
        <v>4</v>
      </c>
      <c r="D119" s="215"/>
      <c r="E119" s="238"/>
      <c r="F119" s="296"/>
    </row>
    <row r="120" spans="2:6" x14ac:dyDescent="0.25">
      <c r="B120" s="290"/>
      <c r="C120" s="237">
        <v>5</v>
      </c>
      <c r="D120" s="215"/>
      <c r="E120" s="238"/>
      <c r="F120" s="296"/>
    </row>
    <row r="121" spans="2:6" x14ac:dyDescent="0.25">
      <c r="B121" s="290"/>
      <c r="C121" s="237">
        <v>6</v>
      </c>
      <c r="D121" s="215"/>
      <c r="E121" s="238"/>
      <c r="F121" s="296"/>
    </row>
    <row r="122" spans="2:6" x14ac:dyDescent="0.25">
      <c r="B122" s="290"/>
      <c r="C122" s="237">
        <v>7</v>
      </c>
      <c r="D122" s="215"/>
      <c r="E122" s="238"/>
      <c r="F122" s="296"/>
    </row>
    <row r="123" spans="2:6" x14ac:dyDescent="0.25">
      <c r="B123" s="290"/>
      <c r="C123" s="237">
        <v>8</v>
      </c>
      <c r="D123" s="215"/>
      <c r="E123" s="238"/>
      <c r="F123" s="296"/>
    </row>
    <row r="124" spans="2:6" x14ac:dyDescent="0.25">
      <c r="B124" s="290"/>
      <c r="C124" s="237">
        <v>9</v>
      </c>
      <c r="D124" s="215"/>
      <c r="E124" s="238"/>
      <c r="F124" s="296"/>
    </row>
    <row r="125" spans="2:6" ht="13.8" thickBot="1" x14ac:dyDescent="0.3">
      <c r="B125" s="291"/>
      <c r="C125" s="239">
        <v>10</v>
      </c>
      <c r="D125" s="240"/>
      <c r="E125" s="241"/>
      <c r="F125" s="300"/>
    </row>
    <row r="126" spans="2:6" x14ac:dyDescent="0.25">
      <c r="B126" s="289" t="s">
        <v>263</v>
      </c>
      <c r="C126" s="234">
        <v>1</v>
      </c>
      <c r="D126" s="235"/>
      <c r="E126" s="242"/>
      <c r="F126" s="295">
        <f>SUM(E126:E128)</f>
        <v>0</v>
      </c>
    </row>
    <row r="127" spans="2:6" x14ac:dyDescent="0.25">
      <c r="B127" s="290"/>
      <c r="C127" s="237">
        <v>2</v>
      </c>
      <c r="D127" s="215"/>
      <c r="E127" s="238"/>
      <c r="F127" s="296"/>
    </row>
    <row r="128" spans="2:6" ht="13.8" thickBot="1" x14ac:dyDescent="0.3">
      <c r="B128" s="290"/>
      <c r="C128" s="237">
        <v>3</v>
      </c>
      <c r="D128" s="215"/>
      <c r="E128" s="238"/>
      <c r="F128" s="296"/>
    </row>
    <row r="129" spans="2:6" x14ac:dyDescent="0.25">
      <c r="B129" s="280" t="s">
        <v>264</v>
      </c>
      <c r="C129" s="243">
        <v>1</v>
      </c>
      <c r="D129" s="244"/>
      <c r="E129" s="245"/>
      <c r="F129" s="297">
        <f>SUM(E129:E137)</f>
        <v>0</v>
      </c>
    </row>
    <row r="130" spans="2:6" x14ac:dyDescent="0.25">
      <c r="B130" s="281"/>
      <c r="C130" s="246">
        <v>2</v>
      </c>
      <c r="D130" s="247"/>
      <c r="E130" s="248"/>
      <c r="F130" s="298"/>
    </row>
    <row r="131" spans="2:6" x14ac:dyDescent="0.25">
      <c r="B131" s="281"/>
      <c r="C131" s="246">
        <v>3</v>
      </c>
      <c r="D131" s="247"/>
      <c r="E131" s="248"/>
      <c r="F131" s="298"/>
    </row>
    <row r="132" spans="2:6" x14ac:dyDescent="0.25">
      <c r="B132" s="281"/>
      <c r="C132" s="246">
        <v>4</v>
      </c>
      <c r="D132" s="247"/>
      <c r="E132" s="248"/>
      <c r="F132" s="298"/>
    </row>
    <row r="133" spans="2:6" x14ac:dyDescent="0.25">
      <c r="B133" s="281"/>
      <c r="C133" s="246">
        <v>5</v>
      </c>
      <c r="D133" s="247"/>
      <c r="E133" s="248"/>
      <c r="F133" s="298"/>
    </row>
    <row r="134" spans="2:6" x14ac:dyDescent="0.25">
      <c r="B134" s="281"/>
      <c r="C134" s="246">
        <v>6</v>
      </c>
      <c r="D134" s="247"/>
      <c r="E134" s="248"/>
      <c r="F134" s="298"/>
    </row>
    <row r="135" spans="2:6" x14ac:dyDescent="0.25">
      <c r="B135" s="281"/>
      <c r="C135" s="246">
        <v>7</v>
      </c>
      <c r="D135" s="247"/>
      <c r="E135" s="248"/>
      <c r="F135" s="298"/>
    </row>
    <row r="136" spans="2:6" x14ac:dyDescent="0.25">
      <c r="B136" s="281"/>
      <c r="C136" s="249">
        <v>8</v>
      </c>
      <c r="D136" s="250"/>
      <c r="E136" s="251"/>
      <c r="F136" s="298"/>
    </row>
    <row r="137" spans="2:6" ht="13.8" thickBot="1" x14ac:dyDescent="0.3">
      <c r="B137" s="282"/>
      <c r="C137" s="252">
        <v>9</v>
      </c>
      <c r="D137" s="253"/>
      <c r="E137" s="254"/>
      <c r="F137" s="299"/>
    </row>
    <row r="138" spans="2:6" x14ac:dyDescent="0.25">
      <c r="B138" s="289" t="s">
        <v>265</v>
      </c>
      <c r="C138" s="255">
        <v>1</v>
      </c>
      <c r="D138" s="256"/>
      <c r="E138" s="257"/>
      <c r="F138" s="295">
        <f>SUM(E138:E147)</f>
        <v>0</v>
      </c>
    </row>
    <row r="139" spans="2:6" x14ac:dyDescent="0.25">
      <c r="B139" s="290"/>
      <c r="C139" s="237">
        <v>2</v>
      </c>
      <c r="D139" s="215"/>
      <c r="E139" s="238"/>
      <c r="F139" s="296"/>
    </row>
    <row r="140" spans="2:6" x14ac:dyDescent="0.25">
      <c r="B140" s="290"/>
      <c r="C140" s="237">
        <v>3</v>
      </c>
      <c r="D140" s="215"/>
      <c r="E140" s="238"/>
      <c r="F140" s="296"/>
    </row>
    <row r="141" spans="2:6" x14ac:dyDescent="0.25">
      <c r="B141" s="290"/>
      <c r="C141" s="237">
        <v>4</v>
      </c>
      <c r="D141" s="215"/>
      <c r="E141" s="238"/>
      <c r="F141" s="296"/>
    </row>
    <row r="142" spans="2:6" x14ac:dyDescent="0.25">
      <c r="B142" s="290"/>
      <c r="C142" s="237">
        <v>5</v>
      </c>
      <c r="D142" s="215"/>
      <c r="E142" s="238"/>
      <c r="F142" s="296"/>
    </row>
    <row r="143" spans="2:6" x14ac:dyDescent="0.25">
      <c r="B143" s="290"/>
      <c r="C143" s="237">
        <v>6</v>
      </c>
      <c r="D143" s="215"/>
      <c r="E143" s="238"/>
      <c r="F143" s="296"/>
    </row>
    <row r="144" spans="2:6" x14ac:dyDescent="0.25">
      <c r="B144" s="290"/>
      <c r="C144" s="237">
        <v>7</v>
      </c>
      <c r="D144" s="215"/>
      <c r="E144" s="238"/>
      <c r="F144" s="296"/>
    </row>
    <row r="145" spans="2:6" x14ac:dyDescent="0.25">
      <c r="B145" s="290"/>
      <c r="C145" s="237">
        <v>8</v>
      </c>
      <c r="D145" s="215"/>
      <c r="E145" s="238"/>
      <c r="F145" s="296"/>
    </row>
    <row r="146" spans="2:6" x14ac:dyDescent="0.25">
      <c r="B146" s="290"/>
      <c r="C146" s="237">
        <v>9</v>
      </c>
      <c r="D146" s="215"/>
      <c r="E146" s="238"/>
      <c r="F146" s="296"/>
    </row>
    <row r="147" spans="2:6" ht="13.8" thickBot="1" x14ac:dyDescent="0.3">
      <c r="B147" s="291"/>
      <c r="C147" s="258">
        <v>10</v>
      </c>
      <c r="D147" s="216"/>
      <c r="E147" s="259"/>
      <c r="F147" s="300"/>
    </row>
    <row r="148" spans="2:6" x14ac:dyDescent="0.25">
      <c r="B148" s="289" t="s">
        <v>266</v>
      </c>
      <c r="C148" s="260">
        <v>1</v>
      </c>
      <c r="D148" s="235"/>
      <c r="E148" s="261"/>
      <c r="F148" s="292">
        <f>SUM(E148:E157)</f>
        <v>0</v>
      </c>
    </row>
    <row r="149" spans="2:6" x14ac:dyDescent="0.25">
      <c r="B149" s="290"/>
      <c r="C149" s="262">
        <v>2</v>
      </c>
      <c r="D149" s="215"/>
      <c r="E149" s="263"/>
      <c r="F149" s="293"/>
    </row>
    <row r="150" spans="2:6" x14ac:dyDescent="0.25">
      <c r="B150" s="290"/>
      <c r="C150" s="262">
        <v>3</v>
      </c>
      <c r="D150" s="215"/>
      <c r="E150" s="263"/>
      <c r="F150" s="293"/>
    </row>
    <row r="151" spans="2:6" x14ac:dyDescent="0.25">
      <c r="B151" s="290"/>
      <c r="C151" s="262">
        <v>4</v>
      </c>
      <c r="D151" s="215"/>
      <c r="E151" s="263"/>
      <c r="F151" s="293"/>
    </row>
    <row r="152" spans="2:6" x14ac:dyDescent="0.25">
      <c r="B152" s="290"/>
      <c r="C152" s="262">
        <v>5</v>
      </c>
      <c r="D152" s="215"/>
      <c r="E152" s="263"/>
      <c r="F152" s="293"/>
    </row>
    <row r="153" spans="2:6" x14ac:dyDescent="0.25">
      <c r="B153" s="290"/>
      <c r="C153" s="262">
        <v>6</v>
      </c>
      <c r="D153" s="215"/>
      <c r="E153" s="263"/>
      <c r="F153" s="293"/>
    </row>
    <row r="154" spans="2:6" x14ac:dyDescent="0.25">
      <c r="B154" s="290"/>
      <c r="C154" s="262">
        <v>7</v>
      </c>
      <c r="D154" s="215"/>
      <c r="E154" s="263"/>
      <c r="F154" s="293"/>
    </row>
    <row r="155" spans="2:6" x14ac:dyDescent="0.25">
      <c r="B155" s="290"/>
      <c r="C155" s="262">
        <v>8</v>
      </c>
      <c r="D155" s="215"/>
      <c r="E155" s="263"/>
      <c r="F155" s="293"/>
    </row>
    <row r="156" spans="2:6" x14ac:dyDescent="0.25">
      <c r="B156" s="290"/>
      <c r="C156" s="262">
        <v>9</v>
      </c>
      <c r="D156" s="215"/>
      <c r="E156" s="263"/>
      <c r="F156" s="293"/>
    </row>
    <row r="157" spans="2:6" ht="13.8" thickBot="1" x14ac:dyDescent="0.3">
      <c r="B157" s="291"/>
      <c r="C157" s="264">
        <v>10</v>
      </c>
      <c r="D157" s="240"/>
      <c r="E157" s="265"/>
      <c r="F157" s="294"/>
    </row>
    <row r="158" spans="2:6" x14ac:dyDescent="0.25">
      <c r="B158" s="290" t="s">
        <v>267</v>
      </c>
      <c r="C158" s="260">
        <v>1</v>
      </c>
      <c r="D158" s="235"/>
      <c r="E158" s="242"/>
      <c r="F158" s="283">
        <f>SUM(E158:E167)</f>
        <v>0</v>
      </c>
    </row>
    <row r="159" spans="2:6" x14ac:dyDescent="0.25">
      <c r="B159" s="290"/>
      <c r="C159" s="262">
        <v>2</v>
      </c>
      <c r="D159" s="215"/>
      <c r="E159" s="238"/>
      <c r="F159" s="284"/>
    </row>
    <row r="160" spans="2:6" x14ac:dyDescent="0.25">
      <c r="B160" s="290"/>
      <c r="C160" s="262">
        <v>3</v>
      </c>
      <c r="D160" s="215"/>
      <c r="E160" s="238"/>
      <c r="F160" s="284"/>
    </row>
    <row r="161" spans="2:6" x14ac:dyDescent="0.25">
      <c r="B161" s="290"/>
      <c r="C161" s="262">
        <v>4</v>
      </c>
      <c r="D161" s="215"/>
      <c r="E161" s="238"/>
      <c r="F161" s="284"/>
    </row>
    <row r="162" spans="2:6" x14ac:dyDescent="0.25">
      <c r="B162" s="290"/>
      <c r="C162" s="262">
        <v>5</v>
      </c>
      <c r="D162" s="215"/>
      <c r="E162" s="238"/>
      <c r="F162" s="284"/>
    </row>
    <row r="163" spans="2:6" x14ac:dyDescent="0.25">
      <c r="B163" s="290"/>
      <c r="C163" s="262">
        <v>6</v>
      </c>
      <c r="D163" s="215"/>
      <c r="E163" s="238"/>
      <c r="F163" s="284"/>
    </row>
    <row r="164" spans="2:6" x14ac:dyDescent="0.25">
      <c r="B164" s="290"/>
      <c r="C164" s="262">
        <v>7</v>
      </c>
      <c r="D164" s="215"/>
      <c r="E164" s="238"/>
      <c r="F164" s="284"/>
    </row>
    <row r="165" spans="2:6" x14ac:dyDescent="0.25">
      <c r="B165" s="290"/>
      <c r="C165" s="262">
        <v>8</v>
      </c>
      <c r="D165" s="215"/>
      <c r="E165" s="238"/>
      <c r="F165" s="284"/>
    </row>
    <row r="166" spans="2:6" x14ac:dyDescent="0.25">
      <c r="B166" s="290"/>
      <c r="C166" s="262">
        <v>9</v>
      </c>
      <c r="D166" s="215"/>
      <c r="E166" s="238"/>
      <c r="F166" s="284"/>
    </row>
    <row r="167" spans="2:6" ht="13.8" thickBot="1" x14ac:dyDescent="0.3">
      <c r="B167" s="291"/>
      <c r="C167" s="264">
        <v>10</v>
      </c>
      <c r="D167" s="240"/>
      <c r="E167" s="241"/>
      <c r="F167" s="285"/>
    </row>
    <row r="168" spans="2:6" x14ac:dyDescent="0.25">
      <c r="B168" s="289" t="s">
        <v>268</v>
      </c>
      <c r="C168" s="255">
        <v>1</v>
      </c>
      <c r="D168" s="256"/>
      <c r="E168" s="257"/>
      <c r="F168" s="283">
        <f>SUM(E168:E176)</f>
        <v>0</v>
      </c>
    </row>
    <row r="169" spans="2:6" x14ac:dyDescent="0.25">
      <c r="B169" s="290"/>
      <c r="C169" s="237">
        <v>2</v>
      </c>
      <c r="D169" s="215"/>
      <c r="E169" s="238"/>
      <c r="F169" s="284"/>
    </row>
    <row r="170" spans="2:6" x14ac:dyDescent="0.25">
      <c r="B170" s="290"/>
      <c r="C170" s="237">
        <v>3</v>
      </c>
      <c r="D170" s="215"/>
      <c r="E170" s="238"/>
      <c r="F170" s="284"/>
    </row>
    <row r="171" spans="2:6" x14ac:dyDescent="0.25">
      <c r="B171" s="290"/>
      <c r="C171" s="237">
        <v>4</v>
      </c>
      <c r="D171" s="215"/>
      <c r="E171" s="238"/>
      <c r="F171" s="284"/>
    </row>
    <row r="172" spans="2:6" x14ac:dyDescent="0.25">
      <c r="B172" s="290"/>
      <c r="C172" s="237">
        <v>5</v>
      </c>
      <c r="D172" s="215"/>
      <c r="E172" s="238"/>
      <c r="F172" s="284"/>
    </row>
    <row r="173" spans="2:6" x14ac:dyDescent="0.25">
      <c r="B173" s="290"/>
      <c r="C173" s="237">
        <v>6</v>
      </c>
      <c r="D173" s="215"/>
      <c r="E173" s="238"/>
      <c r="F173" s="284"/>
    </row>
    <row r="174" spans="2:6" x14ac:dyDescent="0.25">
      <c r="B174" s="290"/>
      <c r="C174" s="237">
        <v>7</v>
      </c>
      <c r="D174" s="215"/>
      <c r="E174" s="238"/>
      <c r="F174" s="284"/>
    </row>
    <row r="175" spans="2:6" x14ac:dyDescent="0.25">
      <c r="B175" s="290"/>
      <c r="C175" s="237">
        <v>8</v>
      </c>
      <c r="D175" s="215"/>
      <c r="E175" s="238"/>
      <c r="F175" s="284"/>
    </row>
    <row r="176" spans="2:6" ht="13.8" thickBot="1" x14ac:dyDescent="0.3">
      <c r="B176" s="290"/>
      <c r="C176" s="258">
        <v>9</v>
      </c>
      <c r="D176" s="216"/>
      <c r="E176" s="259"/>
      <c r="F176" s="285"/>
    </row>
    <row r="177" spans="2:6" x14ac:dyDescent="0.25">
      <c r="B177" s="280" t="s">
        <v>107</v>
      </c>
      <c r="C177" s="243">
        <v>1</v>
      </c>
      <c r="D177" s="244"/>
      <c r="E177" s="266"/>
      <c r="F177" s="283">
        <f>SUM(E177:E186)</f>
        <v>0</v>
      </c>
    </row>
    <row r="178" spans="2:6" x14ac:dyDescent="0.25">
      <c r="B178" s="281"/>
      <c r="C178" s="249">
        <v>2</v>
      </c>
      <c r="D178" s="250"/>
      <c r="E178" s="267"/>
      <c r="F178" s="284"/>
    </row>
    <row r="179" spans="2:6" x14ac:dyDescent="0.25">
      <c r="B179" s="281"/>
      <c r="C179" s="249">
        <v>3</v>
      </c>
      <c r="D179" s="250"/>
      <c r="E179" s="267"/>
      <c r="F179" s="284"/>
    </row>
    <row r="180" spans="2:6" x14ac:dyDescent="0.25">
      <c r="B180" s="281"/>
      <c r="C180" s="249">
        <v>4</v>
      </c>
      <c r="D180" s="250"/>
      <c r="E180" s="267"/>
      <c r="F180" s="284"/>
    </row>
    <row r="181" spans="2:6" x14ac:dyDescent="0.25">
      <c r="B181" s="281"/>
      <c r="C181" s="249">
        <v>5</v>
      </c>
      <c r="D181" s="250"/>
      <c r="E181" s="267"/>
      <c r="F181" s="284"/>
    </row>
    <row r="182" spans="2:6" x14ac:dyDescent="0.25">
      <c r="B182" s="281"/>
      <c r="C182" s="249">
        <v>6</v>
      </c>
      <c r="D182" s="250"/>
      <c r="E182" s="267"/>
      <c r="F182" s="284"/>
    </row>
    <row r="183" spans="2:6" x14ac:dyDescent="0.25">
      <c r="B183" s="281"/>
      <c r="C183" s="249">
        <v>7</v>
      </c>
      <c r="D183" s="250"/>
      <c r="E183" s="267"/>
      <c r="F183" s="284"/>
    </row>
    <row r="184" spans="2:6" x14ac:dyDescent="0.25">
      <c r="B184" s="281"/>
      <c r="C184" s="249">
        <v>8</v>
      </c>
      <c r="D184" s="250"/>
      <c r="E184" s="267"/>
      <c r="F184" s="284"/>
    </row>
    <row r="185" spans="2:6" x14ac:dyDescent="0.25">
      <c r="B185" s="281"/>
      <c r="C185" s="249">
        <v>9</v>
      </c>
      <c r="D185" s="250"/>
      <c r="E185" s="267"/>
      <c r="F185" s="284"/>
    </row>
    <row r="186" spans="2:6" ht="13.8" thickBot="1" x14ac:dyDescent="0.3">
      <c r="B186" s="282"/>
      <c r="C186" s="252">
        <v>10</v>
      </c>
      <c r="D186" s="253"/>
      <c r="E186" s="268"/>
      <c r="F186" s="285"/>
    </row>
    <row r="187" spans="2:6" x14ac:dyDescent="0.25">
      <c r="B187" s="280" t="s">
        <v>269</v>
      </c>
      <c r="C187" s="243">
        <v>1</v>
      </c>
      <c r="D187" s="244"/>
      <c r="E187" s="266"/>
      <c r="F187" s="283">
        <f>SUM(E187:E196)</f>
        <v>0</v>
      </c>
    </row>
    <row r="188" spans="2:6" x14ac:dyDescent="0.25">
      <c r="B188" s="281"/>
      <c r="C188" s="249">
        <v>2</v>
      </c>
      <c r="D188" s="250"/>
      <c r="E188" s="267"/>
      <c r="F188" s="284"/>
    </row>
    <row r="189" spans="2:6" x14ac:dyDescent="0.25">
      <c r="B189" s="281"/>
      <c r="C189" s="249">
        <v>3</v>
      </c>
      <c r="D189" s="250"/>
      <c r="E189" s="267"/>
      <c r="F189" s="284"/>
    </row>
    <row r="190" spans="2:6" x14ac:dyDescent="0.25">
      <c r="B190" s="281"/>
      <c r="C190" s="249">
        <v>4</v>
      </c>
      <c r="D190" s="250"/>
      <c r="E190" s="267"/>
      <c r="F190" s="284"/>
    </row>
    <row r="191" spans="2:6" x14ac:dyDescent="0.25">
      <c r="B191" s="281"/>
      <c r="C191" s="249">
        <v>5</v>
      </c>
      <c r="D191" s="250"/>
      <c r="E191" s="267"/>
      <c r="F191" s="284"/>
    </row>
    <row r="192" spans="2:6" x14ac:dyDescent="0.25">
      <c r="B192" s="281"/>
      <c r="C192" s="249">
        <v>6</v>
      </c>
      <c r="D192" s="250"/>
      <c r="E192" s="267"/>
      <c r="F192" s="284"/>
    </row>
    <row r="193" spans="2:6" x14ac:dyDescent="0.25">
      <c r="B193" s="281"/>
      <c r="C193" s="249">
        <v>7</v>
      </c>
      <c r="D193" s="250"/>
      <c r="E193" s="267"/>
      <c r="F193" s="284"/>
    </row>
    <row r="194" spans="2:6" x14ac:dyDescent="0.25">
      <c r="B194" s="281"/>
      <c r="C194" s="249">
        <v>8</v>
      </c>
      <c r="D194" s="250"/>
      <c r="E194" s="267"/>
      <c r="F194" s="284"/>
    </row>
    <row r="195" spans="2:6" x14ac:dyDescent="0.25">
      <c r="B195" s="281"/>
      <c r="C195" s="249">
        <v>9</v>
      </c>
      <c r="D195" s="250"/>
      <c r="E195" s="267"/>
      <c r="F195" s="284"/>
    </row>
    <row r="196" spans="2:6" ht="13.8" thickBot="1" x14ac:dyDescent="0.3">
      <c r="B196" s="282"/>
      <c r="C196" s="252">
        <v>10</v>
      </c>
      <c r="D196" s="253"/>
      <c r="E196" s="268"/>
      <c r="F196" s="285"/>
    </row>
    <row r="197" spans="2:6" ht="24.75" customHeight="1" thickBot="1" x14ac:dyDescent="0.3">
      <c r="B197" s="286" t="s">
        <v>270</v>
      </c>
      <c r="C197" s="287"/>
      <c r="D197" s="287"/>
      <c r="E197" s="288"/>
      <c r="F197" s="269">
        <f>SUM(F96:F196)</f>
        <v>0</v>
      </c>
    </row>
  </sheetData>
  <mergeCells count="31">
    <mergeCell ref="K17:L17"/>
    <mergeCell ref="A24:A26"/>
    <mergeCell ref="B45:B90"/>
    <mergeCell ref="D45:D90"/>
    <mergeCell ref="B4:B9"/>
    <mergeCell ref="B11:B15"/>
    <mergeCell ref="B17:B20"/>
    <mergeCell ref="B22:B43"/>
    <mergeCell ref="B96:B105"/>
    <mergeCell ref="F96:F105"/>
    <mergeCell ref="B106:B115"/>
    <mergeCell ref="F106:F115"/>
    <mergeCell ref="B116:B125"/>
    <mergeCell ref="F116:F125"/>
    <mergeCell ref="B126:B128"/>
    <mergeCell ref="F126:F128"/>
    <mergeCell ref="B129:B137"/>
    <mergeCell ref="F129:F137"/>
    <mergeCell ref="B138:B147"/>
    <mergeCell ref="F138:F147"/>
    <mergeCell ref="B148:B157"/>
    <mergeCell ref="F148:F157"/>
    <mergeCell ref="B158:B167"/>
    <mergeCell ref="F158:F167"/>
    <mergeCell ref="B168:B176"/>
    <mergeCell ref="F168:F176"/>
    <mergeCell ref="B177:B186"/>
    <mergeCell ref="F177:F186"/>
    <mergeCell ref="B187:B196"/>
    <mergeCell ref="F187:F196"/>
    <mergeCell ref="B197:E197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0"/>
  <sheetViews>
    <sheetView view="pageBreakPreview" topLeftCell="A55" zoomScale="40" zoomScaleNormal="55" zoomScaleSheetLayoutView="40" workbookViewId="0">
      <selection activeCell="E84" sqref="E84"/>
    </sheetView>
  </sheetViews>
  <sheetFormatPr defaultColWidth="21.77734375" defaultRowHeight="25.8" x14ac:dyDescent="0.5"/>
  <cols>
    <col min="1" max="1" width="55.21875" style="2" customWidth="1"/>
    <col min="2" max="2" width="20.77734375" style="2" customWidth="1"/>
    <col min="3" max="3" width="27.44140625" style="2" customWidth="1"/>
    <col min="4" max="4" width="27.21875" style="2" customWidth="1"/>
    <col min="5" max="5" width="30.21875" style="2" customWidth="1"/>
    <col min="6" max="6" width="31" style="2" customWidth="1"/>
    <col min="7" max="16384" width="21.77734375" style="2"/>
  </cols>
  <sheetData>
    <row r="1" spans="1:15" x14ac:dyDescent="0.5">
      <c r="A1" s="324"/>
      <c r="B1" s="324"/>
      <c r="C1" s="324"/>
      <c r="D1" s="324"/>
      <c r="E1" s="324"/>
      <c r="F1" s="324"/>
    </row>
    <row r="2" spans="1:15" x14ac:dyDescent="0.5">
      <c r="A2" s="324"/>
      <c r="B2" s="324"/>
      <c r="C2" s="324"/>
      <c r="D2" s="324"/>
      <c r="E2" s="324"/>
      <c r="F2" s="324"/>
    </row>
    <row r="3" spans="1:15" ht="29.25" customHeight="1" x14ac:dyDescent="0.7">
      <c r="A3" s="325" t="s">
        <v>199</v>
      </c>
      <c r="B3" s="325"/>
      <c r="C3" s="325"/>
      <c r="D3" s="325"/>
      <c r="E3" s="325"/>
      <c r="F3" s="325"/>
      <c r="M3" s="329"/>
      <c r="N3" s="329"/>
      <c r="O3" s="329"/>
    </row>
    <row r="4" spans="1:15" ht="57" customHeight="1" x14ac:dyDescent="0.9">
      <c r="A4" s="320" t="s">
        <v>200</v>
      </c>
      <c r="B4" s="320"/>
      <c r="C4" s="320"/>
      <c r="D4" s="320"/>
      <c r="E4" s="320"/>
      <c r="F4" s="320"/>
      <c r="H4" s="119"/>
    </row>
    <row r="5" spans="1:15" ht="28.5" customHeight="1" x14ac:dyDescent="0.5">
      <c r="A5" s="326" t="s">
        <v>0</v>
      </c>
      <c r="B5" s="321" t="s">
        <v>37</v>
      </c>
      <c r="C5" s="76" t="str">
        <f>Assumptions.1!J17</f>
        <v xml:space="preserve">Audited </v>
      </c>
      <c r="D5" s="76" t="str">
        <f>Assumptions.1!J18</f>
        <v>Estimated</v>
      </c>
      <c r="E5" s="76" t="str">
        <f>Assumptions.1!J19</f>
        <v>Projected</v>
      </c>
      <c r="F5" s="76" t="str">
        <f>Assumptions.1!J20</f>
        <v>Projected</v>
      </c>
    </row>
    <row r="6" spans="1:15" ht="37.5" customHeight="1" x14ac:dyDescent="0.5">
      <c r="A6" s="327"/>
      <c r="B6" s="322"/>
      <c r="C6" s="112">
        <f>Assumptions.1!I17</f>
        <v>0</v>
      </c>
      <c r="D6" s="112">
        <f>Assumptions.1!I18</f>
        <v>0</v>
      </c>
      <c r="E6" s="112">
        <f>Assumptions.1!I19</f>
        <v>0</v>
      </c>
      <c r="F6" s="112">
        <f>Assumptions.1!I20</f>
        <v>0</v>
      </c>
      <c r="G6" s="3"/>
    </row>
    <row r="7" spans="1:15" s="3" customFormat="1" ht="41.25" customHeight="1" thickBot="1" x14ac:dyDescent="0.55000000000000004">
      <c r="A7" s="328"/>
      <c r="B7" s="323"/>
      <c r="C7" s="57"/>
      <c r="D7" s="57"/>
      <c r="E7" s="57"/>
      <c r="F7" s="57"/>
    </row>
    <row r="8" spans="1:15" s="3" customFormat="1" ht="26.4" thickTop="1" x14ac:dyDescent="0.5">
      <c r="E8" s="4"/>
    </row>
    <row r="9" spans="1:15" s="3" customFormat="1" ht="30.6" x14ac:dyDescent="0.55000000000000004">
      <c r="A9" s="5" t="s">
        <v>138</v>
      </c>
      <c r="D9" s="319"/>
      <c r="E9" s="319"/>
      <c r="F9" s="319"/>
    </row>
    <row r="10" spans="1:15" s="3" customFormat="1" x14ac:dyDescent="0.5">
      <c r="A10" s="5"/>
      <c r="D10" s="4"/>
      <c r="E10" s="4"/>
    </row>
    <row r="11" spans="1:15" s="3" customFormat="1" ht="33" customHeight="1" x14ac:dyDescent="0.5">
      <c r="A11" s="2" t="s">
        <v>169</v>
      </c>
      <c r="B11" s="10"/>
      <c r="C11" s="6">
        <f>Assumptions.1!I22</f>
        <v>0</v>
      </c>
      <c r="D11" s="6" t="e">
        <f>Assumptions.1!I55</f>
        <v>#DIV/0!</v>
      </c>
      <c r="E11" s="2" t="e">
        <f>D11*Assumptions.1!I46</f>
        <v>#DIV/0!</v>
      </c>
      <c r="F11" s="2" t="e">
        <f>E11*Assumptions.1!I46</f>
        <v>#DIV/0!</v>
      </c>
    </row>
    <row r="12" spans="1:15" s="3" customFormat="1" ht="33" customHeight="1" x14ac:dyDescent="0.5">
      <c r="A12" s="2"/>
      <c r="B12" s="2"/>
      <c r="C12" s="6"/>
      <c r="D12" s="6"/>
      <c r="E12" s="6"/>
      <c r="F12" s="6"/>
    </row>
    <row r="13" spans="1:15" ht="38.25" customHeight="1" x14ac:dyDescent="0.5">
      <c r="C13" s="7">
        <f>SUM(C11:C12)</f>
        <v>0</v>
      </c>
      <c r="D13" s="7" t="e">
        <f>SUM(D11:D12)</f>
        <v>#DIV/0!</v>
      </c>
      <c r="E13" s="3" t="e">
        <f>SUM(E11:E12)</f>
        <v>#DIV/0!</v>
      </c>
      <c r="F13" s="3" t="e">
        <f>SUM(F11:F12)</f>
        <v>#DIV/0!</v>
      </c>
    </row>
    <row r="15" spans="1:15" x14ac:dyDescent="0.5">
      <c r="A15" s="5" t="s">
        <v>6</v>
      </c>
    </row>
    <row r="16" spans="1:15" x14ac:dyDescent="0.5">
      <c r="A16" s="5"/>
    </row>
    <row r="17" spans="1:22" ht="35.25" customHeight="1" x14ac:dyDescent="0.5">
      <c r="A17" s="2" t="s">
        <v>1</v>
      </c>
      <c r="B17" s="1"/>
      <c r="C17" s="50">
        <f>Assumptions.1!I23</f>
        <v>0</v>
      </c>
      <c r="D17" s="6">
        <f>C19</f>
        <v>0</v>
      </c>
      <c r="E17" s="2">
        <f>D19</f>
        <v>0</v>
      </c>
      <c r="F17" s="2">
        <f>E19</f>
        <v>0</v>
      </c>
    </row>
    <row r="18" spans="1:22" ht="37.5" customHeight="1" x14ac:dyDescent="0.5">
      <c r="A18" s="2" t="s">
        <v>92</v>
      </c>
      <c r="B18" s="1"/>
      <c r="C18" s="50">
        <f>Assumptions.1!I24</f>
        <v>10759250</v>
      </c>
      <c r="D18" s="6" t="e">
        <f>D20-D17+D19</f>
        <v>#DIV/0!</v>
      </c>
      <c r="E18" s="6" t="e">
        <f>E20-E17+E19</f>
        <v>#DIV/0!</v>
      </c>
      <c r="F18" s="6" t="e">
        <f>F20-F17+F19</f>
        <v>#DIV/0!</v>
      </c>
      <c r="L18"/>
      <c r="T18" s="6"/>
    </row>
    <row r="19" spans="1:22" ht="36" customHeight="1" x14ac:dyDescent="0.5">
      <c r="A19" s="2" t="s">
        <v>2</v>
      </c>
      <c r="B19" s="1"/>
      <c r="C19" s="50">
        <f>Assumptions.1!I25</f>
        <v>0</v>
      </c>
      <c r="D19" s="2">
        <f>Assumptions.1!I59</f>
        <v>0</v>
      </c>
      <c r="E19" s="6">
        <f>D19*Assumptions.1!I50</f>
        <v>0</v>
      </c>
      <c r="F19" s="6">
        <f>E19*Assumptions.1!I50</f>
        <v>0</v>
      </c>
    </row>
    <row r="20" spans="1:22" ht="39.75" customHeight="1" x14ac:dyDescent="0.5">
      <c r="A20" s="3" t="s">
        <v>67</v>
      </c>
      <c r="C20" s="3">
        <f>C17+C18-C19</f>
        <v>10759250</v>
      </c>
      <c r="D20" s="7" t="e">
        <f>D11-D22</f>
        <v>#DIV/0!</v>
      </c>
      <c r="E20" s="7" t="e">
        <f>E13-E22</f>
        <v>#DIV/0!</v>
      </c>
      <c r="F20" s="7" t="e">
        <f>F13-F22</f>
        <v>#DIV/0!</v>
      </c>
    </row>
    <row r="21" spans="1:22" ht="46.5" customHeight="1" x14ac:dyDescent="0.5">
      <c r="A21" s="5"/>
      <c r="C21" s="3"/>
      <c r="D21" s="6"/>
    </row>
    <row r="22" spans="1:22" s="3" customFormat="1" ht="55.5" customHeight="1" x14ac:dyDescent="0.5">
      <c r="A22" s="5" t="s">
        <v>170</v>
      </c>
      <c r="C22" s="7">
        <f>C13-C20</f>
        <v>-10759250</v>
      </c>
      <c r="D22" s="7" t="e">
        <f>D11*Assumptions.1!I78</f>
        <v>#DIV/0!</v>
      </c>
      <c r="E22" s="7" t="e">
        <f>E11*Assumptions.1!I79</f>
        <v>#DIV/0!</v>
      </c>
      <c r="F22" s="7" t="e">
        <f>F11*Assumptions.1!I80</f>
        <v>#DIV/0!</v>
      </c>
      <c r="H22" s="69"/>
      <c r="I22" s="69"/>
      <c r="J22" s="69"/>
      <c r="K22" s="69"/>
      <c r="L22" s="69"/>
    </row>
    <row r="23" spans="1:22" s="3" customFormat="1" ht="40.5" customHeight="1" x14ac:dyDescent="0.5">
      <c r="A23" s="5"/>
    </row>
    <row r="24" spans="1:22" s="3" customFormat="1" ht="40.5" customHeight="1" x14ac:dyDescent="0.5">
      <c r="A24" s="2" t="s">
        <v>158</v>
      </c>
      <c r="B24" s="10"/>
      <c r="C24" s="7">
        <f>Assumptions.1!I26</f>
        <v>0</v>
      </c>
      <c r="D24" s="7">
        <f>C24*Assumptions.1!I48</f>
        <v>0</v>
      </c>
      <c r="E24" s="7">
        <f>D24*Assumptions.1!I48</f>
        <v>0</v>
      </c>
      <c r="F24" s="7">
        <f>E24*Assumptions.1!I48</f>
        <v>0</v>
      </c>
    </row>
    <row r="25" spans="1:22" s="3" customFormat="1" ht="40.5" customHeight="1" x14ac:dyDescent="0.5">
      <c r="A25" s="2"/>
      <c r="C25" s="7"/>
      <c r="D25" s="7"/>
      <c r="E25" s="7"/>
      <c r="F25" s="7"/>
      <c r="V25"/>
    </row>
    <row r="26" spans="1:22" ht="43.5" customHeight="1" x14ac:dyDescent="0.5">
      <c r="A26" s="2" t="s">
        <v>159</v>
      </c>
      <c r="B26" s="11"/>
      <c r="C26" s="2">
        <f>C89</f>
        <v>-10759250</v>
      </c>
      <c r="D26" s="6" t="e">
        <f>D89</f>
        <v>#DIV/0!</v>
      </c>
      <c r="E26" s="6" t="e">
        <f>E89</f>
        <v>#DIV/0!</v>
      </c>
      <c r="F26" s="6" t="e">
        <f>F89</f>
        <v>#DIV/0!</v>
      </c>
      <c r="H26" s="73"/>
      <c r="I26" s="73"/>
      <c r="J26" s="73"/>
      <c r="K26" s="73"/>
      <c r="L26" s="73"/>
    </row>
    <row r="27" spans="1:22" ht="43.5" customHeight="1" x14ac:dyDescent="0.5">
      <c r="B27" s="11"/>
      <c r="H27" s="70"/>
      <c r="I27" s="70"/>
      <c r="J27" s="70"/>
      <c r="K27" s="70"/>
      <c r="L27" s="70"/>
    </row>
    <row r="28" spans="1:22" ht="43.5" customHeight="1" x14ac:dyDescent="0.5">
      <c r="A28" s="5" t="s">
        <v>171</v>
      </c>
      <c r="B28" s="11"/>
      <c r="C28" s="15">
        <f>C22+C24-C26</f>
        <v>0</v>
      </c>
      <c r="D28" s="15" t="e">
        <f>D22+D24-D26</f>
        <v>#DIV/0!</v>
      </c>
      <c r="E28" s="15" t="e">
        <f>E22+E24-E26</f>
        <v>#DIV/0!</v>
      </c>
      <c r="F28" s="15" t="e">
        <f>F22+F24-F26</f>
        <v>#DIV/0!</v>
      </c>
      <c r="H28" s="70"/>
      <c r="I28" s="70"/>
      <c r="J28" s="70"/>
      <c r="K28" s="70"/>
      <c r="L28" s="70"/>
    </row>
    <row r="29" spans="1:22" ht="31.5" customHeight="1" x14ac:dyDescent="0.5">
      <c r="A29" s="3"/>
      <c r="B29" s="11"/>
      <c r="H29" s="73"/>
      <c r="I29" s="73"/>
      <c r="J29" s="73"/>
      <c r="K29" s="73"/>
      <c r="L29" s="73"/>
    </row>
    <row r="30" spans="1:22" ht="43.5" customHeight="1" x14ac:dyDescent="0.5">
      <c r="A30" s="2" t="s">
        <v>172</v>
      </c>
      <c r="B30" s="11"/>
      <c r="C30" s="6">
        <f>Assumptions.1!I28</f>
        <v>0</v>
      </c>
      <c r="D30" s="6">
        <f>Depsch!M19</f>
        <v>0</v>
      </c>
      <c r="E30" s="6">
        <f>Depsch!M26</f>
        <v>0</v>
      </c>
      <c r="F30" s="6">
        <f>Depsch!M33</f>
        <v>0</v>
      </c>
      <c r="H30" s="70"/>
      <c r="I30" s="70"/>
      <c r="J30" s="70"/>
      <c r="K30" s="70"/>
      <c r="L30" s="70"/>
    </row>
    <row r="31" spans="1:22" ht="43.5" customHeight="1" x14ac:dyDescent="0.5">
      <c r="B31" s="11"/>
      <c r="C31" s="6"/>
      <c r="D31" s="6"/>
      <c r="E31" s="6"/>
      <c r="F31" s="6"/>
      <c r="H31" s="70"/>
      <c r="I31" s="70"/>
      <c r="J31" s="70"/>
      <c r="K31" s="70"/>
      <c r="L31" s="70"/>
    </row>
    <row r="32" spans="1:22" s="16" customFormat="1" ht="40.5" customHeight="1" x14ac:dyDescent="0.5">
      <c r="A32" s="5" t="s">
        <v>161</v>
      </c>
      <c r="C32" s="15">
        <f>C28-C30</f>
        <v>0</v>
      </c>
      <c r="D32" s="15" t="e">
        <f>D28-D30</f>
        <v>#DIV/0!</v>
      </c>
      <c r="E32" s="15" t="e">
        <f>E28-E30</f>
        <v>#DIV/0!</v>
      </c>
      <c r="F32" s="15" t="e">
        <f>F28-F30</f>
        <v>#DIV/0!</v>
      </c>
      <c r="H32" s="71"/>
      <c r="I32" s="71"/>
      <c r="J32" s="71"/>
      <c r="K32" s="71"/>
      <c r="L32" s="71"/>
    </row>
    <row r="33" spans="1:18" ht="31.5" customHeight="1" x14ac:dyDescent="0.5">
      <c r="A33" s="3"/>
      <c r="D33" s="6"/>
      <c r="E33" s="6"/>
      <c r="F33" s="6"/>
      <c r="H33" s="70"/>
      <c r="I33" s="70"/>
      <c r="J33" s="70"/>
      <c r="K33" s="70"/>
      <c r="L33" s="70"/>
    </row>
    <row r="34" spans="1:18" ht="40.5" customHeight="1" x14ac:dyDescent="0.5">
      <c r="A34" s="2" t="s">
        <v>160</v>
      </c>
      <c r="B34" s="11"/>
      <c r="C34" s="6">
        <f>C99</f>
        <v>0</v>
      </c>
      <c r="D34" s="6" t="e">
        <f>D99</f>
        <v>#DIV/0!</v>
      </c>
      <c r="E34" s="6" t="e">
        <f>E99</f>
        <v>#DIV/0!</v>
      </c>
      <c r="F34" s="6" t="e">
        <f>F99</f>
        <v>#DIV/0!</v>
      </c>
      <c r="H34" s="70"/>
      <c r="I34" s="70"/>
      <c r="J34" s="70"/>
      <c r="K34" s="70"/>
      <c r="L34" s="70"/>
    </row>
    <row r="35" spans="1:18" x14ac:dyDescent="0.5">
      <c r="H35" s="70"/>
      <c r="I35" s="70"/>
      <c r="J35" s="70"/>
      <c r="K35" s="70"/>
      <c r="L35" s="70"/>
    </row>
    <row r="36" spans="1:18" s="3" customFormat="1" ht="48" customHeight="1" x14ac:dyDescent="0.5">
      <c r="A36" s="8" t="s">
        <v>162</v>
      </c>
      <c r="B36" s="9"/>
      <c r="C36" s="14">
        <f>C32-C34</f>
        <v>0</v>
      </c>
      <c r="D36" s="14" t="e">
        <f>D32-D34</f>
        <v>#DIV/0!</v>
      </c>
      <c r="E36" s="14" t="e">
        <f>E32-E34</f>
        <v>#DIV/0!</v>
      </c>
      <c r="F36" s="14" t="e">
        <f>F32-F34</f>
        <v>#DIV/0!</v>
      </c>
      <c r="H36" s="72"/>
      <c r="I36" s="72"/>
      <c r="J36" s="72"/>
      <c r="K36" s="72"/>
      <c r="L36" s="72"/>
    </row>
    <row r="37" spans="1:18" s="3" customFormat="1" ht="35.25" customHeight="1" thickBot="1" x14ac:dyDescent="0.55000000000000004">
      <c r="A37" s="8"/>
      <c r="B37" s="9"/>
    </row>
    <row r="38" spans="1:18" ht="26.4" thickBot="1" x14ac:dyDescent="0.55000000000000004">
      <c r="A38" s="12"/>
      <c r="B38" s="12"/>
      <c r="C38" s="316" t="s">
        <v>157</v>
      </c>
      <c r="D38" s="317"/>
      <c r="E38" s="317"/>
      <c r="F38" s="318"/>
    </row>
    <row r="39" spans="1:18" x14ac:dyDescent="0.5">
      <c r="C39" s="113"/>
      <c r="D39" s="113"/>
      <c r="E39" s="113"/>
      <c r="F39" s="113"/>
    </row>
    <row r="40" spans="1:18" ht="35.25" customHeight="1" x14ac:dyDescent="0.5">
      <c r="A40" s="324"/>
      <c r="B40" s="324"/>
      <c r="C40" s="324"/>
      <c r="D40" s="324"/>
      <c r="E40" s="324"/>
      <c r="F40" s="324"/>
    </row>
    <row r="41" spans="1:18" ht="48.75" customHeight="1" x14ac:dyDescent="0.9">
      <c r="A41" s="320" t="s">
        <v>201</v>
      </c>
      <c r="B41" s="320"/>
      <c r="C41" s="320"/>
      <c r="D41" s="320"/>
      <c r="E41" s="320"/>
      <c r="F41" s="320"/>
      <c r="H41" s="119"/>
    </row>
    <row r="42" spans="1:18" ht="30.75" customHeight="1" x14ac:dyDescent="0.5">
      <c r="A42" s="321" t="s">
        <v>23</v>
      </c>
      <c r="B42" s="321" t="s">
        <v>37</v>
      </c>
      <c r="C42" s="76" t="str">
        <f t="shared" ref="C42:F43" si="0">C5</f>
        <v xml:space="preserve">Audited </v>
      </c>
      <c r="D42" s="76" t="str">
        <f t="shared" si="0"/>
        <v>Estimated</v>
      </c>
      <c r="E42" s="76" t="str">
        <f t="shared" si="0"/>
        <v>Projected</v>
      </c>
      <c r="F42" s="76" t="str">
        <f t="shared" si="0"/>
        <v>Projected</v>
      </c>
    </row>
    <row r="43" spans="1:18" ht="30.75" customHeight="1" x14ac:dyDescent="0.5">
      <c r="A43" s="322"/>
      <c r="B43" s="322"/>
      <c r="C43" s="112">
        <f t="shared" si="0"/>
        <v>0</v>
      </c>
      <c r="D43" s="112">
        <f t="shared" si="0"/>
        <v>0</v>
      </c>
      <c r="E43" s="112">
        <f t="shared" si="0"/>
        <v>0</v>
      </c>
      <c r="F43" s="112">
        <f t="shared" si="0"/>
        <v>0</v>
      </c>
    </row>
    <row r="44" spans="1:18" ht="40.5" customHeight="1" thickBot="1" x14ac:dyDescent="0.55000000000000004">
      <c r="A44" s="323"/>
      <c r="B44" s="323"/>
      <c r="C44" s="57"/>
      <c r="D44" s="57"/>
      <c r="E44" s="57"/>
      <c r="F44" s="57"/>
      <c r="R44"/>
    </row>
    <row r="45" spans="1:18" ht="33.75" customHeight="1" thickTop="1" x14ac:dyDescent="0.5">
      <c r="A45" s="44" t="s">
        <v>8</v>
      </c>
    </row>
    <row r="46" spans="1:18" ht="30.6" x14ac:dyDescent="0.55000000000000004">
      <c r="D46" s="132"/>
      <c r="E46" s="132"/>
      <c r="F46" s="132"/>
    </row>
    <row r="47" spans="1:18" ht="42.75" customHeight="1" x14ac:dyDescent="0.5">
      <c r="A47" s="2" t="s">
        <v>76</v>
      </c>
      <c r="B47" s="10"/>
      <c r="C47" s="6">
        <f>Assumptions.1!I34</f>
        <v>0</v>
      </c>
      <c r="D47" s="54" t="e">
        <f>D58-D56-D55-D54-D50</f>
        <v>#DIV/0!</v>
      </c>
      <c r="E47" s="54" t="e">
        <f>E58-E56-E55-E54-E50</f>
        <v>#DIV/0!</v>
      </c>
      <c r="F47" s="54" t="e">
        <f>F58-F56-F55-F54-F50</f>
        <v>#DIV/0!</v>
      </c>
      <c r="G47" s="6"/>
      <c r="H47" s="6"/>
    </row>
    <row r="48" spans="1:18" ht="42.75" customHeight="1" x14ac:dyDescent="0.5">
      <c r="A48" s="56" t="s">
        <v>77</v>
      </c>
      <c r="B48" s="10"/>
      <c r="J48"/>
    </row>
    <row r="49" spans="1:7" ht="42.75" customHeight="1" x14ac:dyDescent="0.5">
      <c r="A49" s="3" t="s">
        <v>75</v>
      </c>
      <c r="B49" s="10"/>
    </row>
    <row r="50" spans="1:7" ht="39" customHeight="1" x14ac:dyDescent="0.5">
      <c r="A50" s="2" t="s">
        <v>130</v>
      </c>
      <c r="B50" s="10"/>
      <c r="C50" s="50">
        <f>Assumptions.1!I35</f>
        <v>0</v>
      </c>
      <c r="D50" s="6">
        <f>C50-Assumptions.1!I63</f>
        <v>0</v>
      </c>
      <c r="E50" s="6">
        <f>D50-Assumptions.1!I63</f>
        <v>0</v>
      </c>
      <c r="F50" s="6">
        <f>E50-Assumptions.1!I63</f>
        <v>0</v>
      </c>
    </row>
    <row r="51" spans="1:7" ht="42.75" customHeight="1" x14ac:dyDescent="0.5">
      <c r="B51" s="10"/>
      <c r="C51" s="48"/>
      <c r="D51" s="48"/>
      <c r="E51" s="48"/>
      <c r="F51" s="48"/>
    </row>
    <row r="52" spans="1:7" ht="36.75" customHeight="1" x14ac:dyDescent="0.5"/>
    <row r="53" spans="1:7" ht="42.75" customHeight="1" x14ac:dyDescent="0.5">
      <c r="A53" s="3" t="s">
        <v>81</v>
      </c>
      <c r="B53" s="1"/>
    </row>
    <row r="54" spans="1:7" ht="42.75" customHeight="1" x14ac:dyDescent="0.5">
      <c r="A54" s="2" t="s">
        <v>137</v>
      </c>
      <c r="B54" s="10"/>
      <c r="C54" s="48">
        <v>0</v>
      </c>
      <c r="D54" s="48" t="e">
        <f>IF(D110&lt;D105,D110,Assumptions.1!I12)</f>
        <v>#DIV/0!</v>
      </c>
      <c r="E54" s="48" t="e">
        <f>IF(E110&lt;E105,E110,E105)</f>
        <v>#DIV/0!</v>
      </c>
      <c r="F54" s="48" t="e">
        <f>IF(F110&lt;F105,F110,F105)</f>
        <v>#DIV/0!</v>
      </c>
      <c r="G54" s="48"/>
    </row>
    <row r="55" spans="1:7" ht="51" customHeight="1" x14ac:dyDescent="0.5">
      <c r="A55" s="2" t="s">
        <v>132</v>
      </c>
      <c r="B55" s="10"/>
      <c r="C55" s="2">
        <f>Assumptions.1!I36</f>
        <v>0</v>
      </c>
      <c r="D55" s="6">
        <v>0</v>
      </c>
      <c r="E55" s="6">
        <v>0</v>
      </c>
      <c r="F55" s="6">
        <v>0</v>
      </c>
    </row>
    <row r="56" spans="1:7" ht="45" customHeight="1" x14ac:dyDescent="0.5">
      <c r="B56" s="10"/>
      <c r="C56" s="6"/>
      <c r="D56" s="6"/>
      <c r="E56" s="6"/>
      <c r="F56" s="6"/>
    </row>
    <row r="57" spans="1:7" ht="48.75" customHeight="1" x14ac:dyDescent="0.5">
      <c r="A57" s="3"/>
      <c r="B57" s="10"/>
    </row>
    <row r="58" spans="1:7" ht="47.25" customHeight="1" thickBot="1" x14ac:dyDescent="0.55000000000000004">
      <c r="C58" s="13">
        <f>SUM(C47:C57)</f>
        <v>0</v>
      </c>
      <c r="D58" s="13" t="e">
        <f>D73</f>
        <v>#DIV/0!</v>
      </c>
      <c r="E58" s="13" t="e">
        <f>E73</f>
        <v>#DIV/0!</v>
      </c>
      <c r="F58" s="13" t="e">
        <f>F73</f>
        <v>#DIV/0!</v>
      </c>
    </row>
    <row r="59" spans="1:7" ht="47.25" customHeight="1" thickTop="1" thickBot="1" x14ac:dyDescent="0.55000000000000004">
      <c r="C59" s="7"/>
      <c r="D59" s="7"/>
      <c r="E59" s="7"/>
      <c r="F59" s="7"/>
    </row>
    <row r="60" spans="1:7" ht="26.4" thickBot="1" x14ac:dyDescent="0.55000000000000004">
      <c r="C60" s="316" t="s">
        <v>157</v>
      </c>
      <c r="D60" s="317"/>
      <c r="E60" s="317"/>
      <c r="F60" s="318"/>
    </row>
    <row r="61" spans="1:7" ht="36.75" customHeight="1" x14ac:dyDescent="0.5">
      <c r="A61" s="44" t="s">
        <v>9</v>
      </c>
    </row>
    <row r="62" spans="1:7" ht="36.75" customHeight="1" x14ac:dyDescent="0.5">
      <c r="A62" s="5"/>
    </row>
    <row r="63" spans="1:7" ht="36.75" customHeight="1" x14ac:dyDescent="0.5">
      <c r="A63" s="3" t="s">
        <v>78</v>
      </c>
      <c r="C63" s="6">
        <f>Assumptions.1!I37</f>
        <v>0</v>
      </c>
      <c r="D63" s="6">
        <f>Depsch!M20</f>
        <v>0</v>
      </c>
      <c r="E63" s="6">
        <f>Depsch!M27</f>
        <v>0</v>
      </c>
      <c r="F63" s="6">
        <f>Depsch!M34</f>
        <v>0</v>
      </c>
      <c r="G63" s="6"/>
    </row>
    <row r="64" spans="1:7" ht="31.5" customHeight="1" x14ac:dyDescent="0.5">
      <c r="C64" s="6"/>
      <c r="D64" s="6"/>
      <c r="E64" s="6"/>
      <c r="F64" s="6"/>
    </row>
    <row r="65" spans="1:14" ht="31.5" customHeight="1" x14ac:dyDescent="0.5">
      <c r="A65" s="3" t="s">
        <v>133</v>
      </c>
      <c r="B65" s="10"/>
      <c r="C65" s="2">
        <f>Assumptions.1!I40</f>
        <v>0</v>
      </c>
      <c r="D65" s="2">
        <f>C65</f>
        <v>0</v>
      </c>
      <c r="E65" s="2">
        <f>D65</f>
        <v>0</v>
      </c>
      <c r="F65" s="2">
        <f>E65</f>
        <v>0</v>
      </c>
    </row>
    <row r="66" spans="1:14" ht="31.5" customHeight="1" x14ac:dyDescent="0.5">
      <c r="B66" s="10"/>
      <c r="C66" s="6"/>
      <c r="D66" s="6"/>
      <c r="E66" s="6"/>
      <c r="F66" s="6"/>
    </row>
    <row r="67" spans="1:14" ht="42.75" customHeight="1" x14ac:dyDescent="0.5">
      <c r="A67" s="3" t="s">
        <v>79</v>
      </c>
      <c r="B67" s="10"/>
    </row>
    <row r="68" spans="1:14" ht="42.75" customHeight="1" x14ac:dyDescent="0.5">
      <c r="A68" s="2" t="s">
        <v>134</v>
      </c>
      <c r="B68" s="10"/>
      <c r="C68" s="2">
        <f>Assumptions.1!I43</f>
        <v>0</v>
      </c>
      <c r="D68" s="2">
        <v>0</v>
      </c>
      <c r="E68" s="2">
        <v>0</v>
      </c>
      <c r="F68" s="2">
        <v>0</v>
      </c>
    </row>
    <row r="69" spans="1:14" ht="42.75" customHeight="1" x14ac:dyDescent="0.5">
      <c r="A69" s="2" t="str">
        <f>A19</f>
        <v>Closing Stock</v>
      </c>
      <c r="B69" s="10"/>
      <c r="C69" s="2">
        <f>C19</f>
        <v>0</v>
      </c>
      <c r="D69" s="2">
        <f>D19</f>
        <v>0</v>
      </c>
      <c r="E69" s="6">
        <f>E19</f>
        <v>0</v>
      </c>
      <c r="F69" s="6">
        <f>F19</f>
        <v>0</v>
      </c>
    </row>
    <row r="70" spans="1:14" ht="44.25" customHeight="1" x14ac:dyDescent="0.5">
      <c r="A70" s="2" t="s">
        <v>4</v>
      </c>
      <c r="B70" s="10"/>
      <c r="C70" s="2">
        <f>Assumptions.1!I41</f>
        <v>0</v>
      </c>
      <c r="D70" s="6" t="e">
        <f>D11*Assumptions.1!I83/365</f>
        <v>#DIV/0!</v>
      </c>
      <c r="E70" s="6" t="e">
        <f>E11*Assumptions.1!I84/365</f>
        <v>#DIV/0!</v>
      </c>
      <c r="F70" s="6" t="e">
        <f>F11*Assumptions.1!I85/365</f>
        <v>#DIV/0!</v>
      </c>
      <c r="G70" s="6"/>
    </row>
    <row r="71" spans="1:14" ht="39" customHeight="1" x14ac:dyDescent="0.5">
      <c r="A71" s="2" t="s">
        <v>66</v>
      </c>
      <c r="B71" s="10"/>
      <c r="C71" s="2">
        <f>Assumptions.1!I42</f>
        <v>0</v>
      </c>
      <c r="D71" s="2" t="e">
        <f>D54*Assumptions.1!I88</f>
        <v>#DIV/0!</v>
      </c>
      <c r="E71" s="2" t="e">
        <f>E54*Assumptions.1!I89</f>
        <v>#DIV/0!</v>
      </c>
      <c r="F71" s="6" t="e">
        <f>F54*Assumptions.1!I90</f>
        <v>#DIV/0!</v>
      </c>
    </row>
    <row r="72" spans="1:14" ht="39" customHeight="1" x14ac:dyDescent="0.5">
      <c r="B72" s="10"/>
    </row>
    <row r="73" spans="1:14" ht="53.25" customHeight="1" thickBot="1" x14ac:dyDescent="0.55000000000000004">
      <c r="C73" s="13">
        <f>SUM(C63:C72)</f>
        <v>0</v>
      </c>
      <c r="D73" s="13" t="e">
        <f>SUM(D63:D72)</f>
        <v>#DIV/0!</v>
      </c>
      <c r="E73" s="13" t="e">
        <f>SUM(E63:E72)</f>
        <v>#DIV/0!</v>
      </c>
      <c r="F73" s="13" t="e">
        <f>SUM(F63:F72)</f>
        <v>#DIV/0!</v>
      </c>
    </row>
    <row r="74" spans="1:14" ht="30.75" customHeight="1" thickTop="1" x14ac:dyDescent="0.5">
      <c r="C74" s="7">
        <f>C58-C73</f>
        <v>0</v>
      </c>
      <c r="D74" s="7" t="e">
        <f>D58-D73</f>
        <v>#DIV/0!</v>
      </c>
      <c r="E74" s="7" t="e">
        <f>E58-E73</f>
        <v>#DIV/0!</v>
      </c>
      <c r="F74" s="7" t="e">
        <f>F58-F73</f>
        <v>#DIV/0!</v>
      </c>
    </row>
    <row r="75" spans="1:14" ht="30.75" customHeight="1" thickBot="1" x14ac:dyDescent="0.55000000000000004">
      <c r="C75" s="7"/>
      <c r="D75" s="7"/>
      <c r="E75" s="7"/>
      <c r="F75" s="7"/>
    </row>
    <row r="76" spans="1:14" ht="53.25" customHeight="1" thickBot="1" x14ac:dyDescent="0.6">
      <c r="C76" s="316" t="s">
        <v>157</v>
      </c>
      <c r="D76" s="317"/>
      <c r="E76" s="317"/>
      <c r="F76" s="318"/>
      <c r="H76" s="125"/>
      <c r="I76" s="125"/>
      <c r="J76" s="125"/>
      <c r="K76" s="125"/>
      <c r="L76" s="125"/>
      <c r="M76" s="125"/>
      <c r="N76" s="126"/>
    </row>
    <row r="77" spans="1:14" ht="51.75" customHeight="1" x14ac:dyDescent="0.55000000000000004">
      <c r="C77" s="7"/>
      <c r="D77" s="7"/>
      <c r="E77" s="7"/>
      <c r="F77" s="7"/>
      <c r="H77" s="125"/>
      <c r="I77" s="125"/>
      <c r="J77" s="125"/>
      <c r="K77" s="125"/>
      <c r="L77" s="125"/>
      <c r="M77" s="125"/>
      <c r="N77" s="126"/>
    </row>
    <row r="78" spans="1:14" ht="30" customHeight="1" x14ac:dyDescent="0.55000000000000004">
      <c r="A78" s="320" t="s">
        <v>202</v>
      </c>
      <c r="B78" s="320"/>
      <c r="C78" s="320"/>
      <c r="D78" s="320"/>
      <c r="E78" s="320"/>
      <c r="F78" s="320"/>
      <c r="H78" s="125"/>
      <c r="I78" s="125"/>
      <c r="J78" s="125"/>
      <c r="K78" s="125"/>
      <c r="L78" s="125"/>
      <c r="M78" s="125"/>
      <c r="N78" s="126"/>
    </row>
    <row r="79" spans="1:14" ht="95.25" customHeight="1" thickBot="1" x14ac:dyDescent="0.55000000000000004">
      <c r="A79" s="58"/>
      <c r="B79" s="58"/>
      <c r="C79" s="59">
        <f>C43</f>
        <v>0</v>
      </c>
      <c r="D79" s="59">
        <f>D43</f>
        <v>0</v>
      </c>
      <c r="E79" s="59">
        <f>E43</f>
        <v>0</v>
      </c>
      <c r="F79" s="59">
        <f>F43</f>
        <v>0</v>
      </c>
    </row>
    <row r="80" spans="1:14" ht="26.4" thickTop="1" x14ac:dyDescent="0.5"/>
    <row r="81" spans="1:12" x14ac:dyDescent="0.5">
      <c r="A81" s="2" t="s">
        <v>69</v>
      </c>
      <c r="B81" s="10"/>
      <c r="C81" s="2">
        <f>Assumptions.1!I27</f>
        <v>0</v>
      </c>
      <c r="D81" s="6" t="e">
        <f>C81*D11/C11</f>
        <v>#DIV/0!</v>
      </c>
      <c r="E81" s="6" t="e">
        <f>D81*E11/D11</f>
        <v>#DIV/0!</v>
      </c>
      <c r="F81" s="6" t="e">
        <f>E81*F11/E11</f>
        <v>#DIV/0!</v>
      </c>
      <c r="G81" s="6"/>
    </row>
    <row r="82" spans="1:12" x14ac:dyDescent="0.5">
      <c r="A82" s="2" t="s">
        <v>156</v>
      </c>
      <c r="B82" s="10"/>
      <c r="C82" s="2">
        <f>Assumptions.1!I29</f>
        <v>0</v>
      </c>
      <c r="D82" s="6">
        <f>C82</f>
        <v>0</v>
      </c>
      <c r="E82" s="6">
        <f>D82</f>
        <v>0</v>
      </c>
      <c r="F82" s="6">
        <f>E82</f>
        <v>0</v>
      </c>
      <c r="G82" s="6"/>
    </row>
    <row r="83" spans="1:12" ht="35.25" customHeight="1" x14ac:dyDescent="0.5">
      <c r="A83" s="2" t="s">
        <v>70</v>
      </c>
      <c r="B83" s="10"/>
      <c r="C83" s="2">
        <f>Assumptions.1!I30</f>
        <v>0</v>
      </c>
      <c r="D83" s="6" t="e">
        <f>C83*D11/C11</f>
        <v>#DIV/0!</v>
      </c>
      <c r="E83" s="6" t="e">
        <f>D83*E11/D11</f>
        <v>#DIV/0!</v>
      </c>
      <c r="F83" s="6" t="e">
        <f>E83*F11/E11</f>
        <v>#DIV/0!</v>
      </c>
      <c r="I83" s="6"/>
      <c r="J83" s="6"/>
      <c r="K83" s="6"/>
      <c r="L83" s="6"/>
    </row>
    <row r="84" spans="1:12" ht="35.25" customHeight="1" x14ac:dyDescent="0.5">
      <c r="A84" s="2" t="s">
        <v>74</v>
      </c>
      <c r="B84" s="10"/>
      <c r="C84" s="2">
        <v>0</v>
      </c>
      <c r="D84" s="6">
        <f>Assumptions.1!I12*Assumptions.1!I14</f>
        <v>0</v>
      </c>
      <c r="E84" s="6">
        <f>D84</f>
        <v>0</v>
      </c>
      <c r="F84" s="6">
        <f>E84</f>
        <v>0</v>
      </c>
      <c r="I84" s="6"/>
      <c r="J84" s="6"/>
      <c r="K84" s="6"/>
      <c r="L84" s="6"/>
    </row>
    <row r="85" spans="1:12" ht="41.25" customHeight="1" x14ac:dyDescent="0.5">
      <c r="A85" s="2" t="s">
        <v>155</v>
      </c>
      <c r="B85" s="10"/>
      <c r="C85" s="2">
        <f>Assumptions.1!I33</f>
        <v>-10759250</v>
      </c>
      <c r="D85" s="6" t="e">
        <f>C85*D11/C11</f>
        <v>#DIV/0!</v>
      </c>
      <c r="E85" s="6" t="e">
        <f>D85*E11/D11</f>
        <v>#DIV/0!</v>
      </c>
      <c r="F85" s="6" t="e">
        <f>E85*F11/E11</f>
        <v>#DIV/0!</v>
      </c>
      <c r="I85" s="74"/>
      <c r="J85" s="74"/>
      <c r="K85" s="74"/>
    </row>
    <row r="86" spans="1:12" ht="27.75" customHeight="1" x14ac:dyDescent="0.5">
      <c r="D86" s="6"/>
      <c r="E86" s="6"/>
      <c r="F86" s="6"/>
    </row>
    <row r="87" spans="1:12" ht="27.75" customHeight="1" x14ac:dyDescent="0.5">
      <c r="E87" s="6"/>
      <c r="F87" s="6"/>
    </row>
    <row r="89" spans="1:12" ht="50.25" customHeight="1" x14ac:dyDescent="0.5">
      <c r="C89" s="51">
        <f>SUM(C81:C87)</f>
        <v>-10759250</v>
      </c>
      <c r="D89" s="52" t="e">
        <f>SUM(D81:D87)</f>
        <v>#DIV/0!</v>
      </c>
      <c r="E89" s="52" t="e">
        <f>SUM(E81:E87)</f>
        <v>#DIV/0!</v>
      </c>
      <c r="F89" s="52" t="e">
        <f>SUM(F81:F87)</f>
        <v>#DIV/0!</v>
      </c>
    </row>
    <row r="90" spans="1:12" ht="50.25" customHeight="1" thickBot="1" x14ac:dyDescent="0.55000000000000004">
      <c r="C90" s="3"/>
      <c r="D90" s="7"/>
      <c r="E90" s="7"/>
      <c r="F90" s="7"/>
    </row>
    <row r="91" spans="1:12" ht="34.5" customHeight="1" thickBot="1" x14ac:dyDescent="0.55000000000000004">
      <c r="C91" s="316" t="s">
        <v>157</v>
      </c>
      <c r="D91" s="317"/>
      <c r="E91" s="317"/>
      <c r="F91" s="318"/>
      <c r="I91" s="6"/>
    </row>
    <row r="92" spans="1:12" ht="40.5" customHeight="1" x14ac:dyDescent="0.5">
      <c r="A92" s="320" t="s">
        <v>203</v>
      </c>
      <c r="B92" s="320"/>
      <c r="C92" s="320"/>
      <c r="D92" s="320"/>
      <c r="E92" s="320"/>
      <c r="F92" s="320"/>
    </row>
    <row r="93" spans="1:12" ht="98.25" customHeight="1" thickBot="1" x14ac:dyDescent="0.55000000000000004">
      <c r="A93" s="58"/>
      <c r="B93" s="58"/>
      <c r="C93" s="59">
        <f>C79</f>
        <v>0</v>
      </c>
      <c r="D93" s="59">
        <f>D79</f>
        <v>0</v>
      </c>
      <c r="E93" s="59">
        <f>E79</f>
        <v>0</v>
      </c>
      <c r="F93" s="59">
        <f>F79</f>
        <v>0</v>
      </c>
    </row>
    <row r="94" spans="1:12" ht="32.25" customHeight="1" thickTop="1" x14ac:dyDescent="0.5">
      <c r="C94" s="4"/>
      <c r="D94" s="4"/>
      <c r="E94" s="4"/>
      <c r="F94" s="4"/>
    </row>
    <row r="95" spans="1:12" ht="33" customHeight="1" x14ac:dyDescent="0.5">
      <c r="A95" s="2" t="s">
        <v>129</v>
      </c>
      <c r="B95" s="10"/>
      <c r="C95" s="48">
        <f>Assumptions.1!I31</f>
        <v>0</v>
      </c>
      <c r="D95" s="6" t="e">
        <f>C95*D50/C50</f>
        <v>#DIV/0!</v>
      </c>
      <c r="E95" s="6">
        <f>IF(D50=0,0,D95*E50/D50)</f>
        <v>0</v>
      </c>
      <c r="F95" s="6">
        <f>IF(E50=0,0,E95*F50/E50)</f>
        <v>0</v>
      </c>
    </row>
    <row r="96" spans="1:12" ht="33" customHeight="1" x14ac:dyDescent="0.5">
      <c r="A96" s="2" t="s">
        <v>197</v>
      </c>
      <c r="B96" s="10"/>
      <c r="C96" s="48">
        <v>0</v>
      </c>
      <c r="D96" s="6" t="e">
        <f>Assumptions.1!I13*wp!D54</f>
        <v>#DIV/0!</v>
      </c>
      <c r="E96" s="6" t="e">
        <f>D96*Assumptions.1!I47</f>
        <v>#DIV/0!</v>
      </c>
      <c r="F96" s="6" t="e">
        <f>E96*Assumptions.1!I47</f>
        <v>#DIV/0!</v>
      </c>
    </row>
    <row r="97" spans="1:6" ht="33" customHeight="1" x14ac:dyDescent="0.5">
      <c r="C97" s="48"/>
      <c r="D97" s="6"/>
      <c r="E97" s="6"/>
      <c r="F97" s="6"/>
    </row>
    <row r="98" spans="1:6" ht="34.5" customHeight="1" x14ac:dyDescent="0.5">
      <c r="C98" s="48"/>
      <c r="D98" s="53"/>
      <c r="E98" s="53"/>
      <c r="F98" s="53"/>
    </row>
    <row r="99" spans="1:6" ht="46.5" customHeight="1" x14ac:dyDescent="0.5">
      <c r="C99" s="52">
        <f>SUM(C95:C98)</f>
        <v>0</v>
      </c>
      <c r="D99" s="52" t="e">
        <f>SUM(D95:D98)</f>
        <v>#DIV/0!</v>
      </c>
      <c r="E99" s="52" t="e">
        <f>SUM(E95:E98)</f>
        <v>#DIV/0!</v>
      </c>
      <c r="F99" s="52" t="e">
        <f>SUM(F95:F98)</f>
        <v>#DIV/0!</v>
      </c>
    </row>
    <row r="100" spans="1:6" ht="25.5" customHeight="1" thickBot="1" x14ac:dyDescent="0.55000000000000004">
      <c r="C100" s="3"/>
      <c r="D100" s="3"/>
      <c r="E100" s="3"/>
    </row>
    <row r="101" spans="1:6" ht="25.5" customHeight="1" thickBot="1" x14ac:dyDescent="0.55000000000000004">
      <c r="C101" s="316" t="s">
        <v>157</v>
      </c>
      <c r="D101" s="317"/>
      <c r="E101" s="317"/>
      <c r="F101" s="318"/>
    </row>
    <row r="103" spans="1:6" x14ac:dyDescent="0.5">
      <c r="A103" s="161" t="s">
        <v>247</v>
      </c>
    </row>
    <row r="104" spans="1:6" x14ac:dyDescent="0.5">
      <c r="A104" s="161"/>
    </row>
    <row r="105" spans="1:6" x14ac:dyDescent="0.5">
      <c r="A105" s="2" t="s">
        <v>248</v>
      </c>
      <c r="C105" s="2">
        <f>Assumptions.1!I12</f>
        <v>0</v>
      </c>
      <c r="D105" s="2">
        <f>Assumptions.1!I12</f>
        <v>0</v>
      </c>
      <c r="E105" s="2">
        <f>Assumptions.1!I12</f>
        <v>0</v>
      </c>
      <c r="F105" s="2">
        <f>Assumptions.1!I12</f>
        <v>0</v>
      </c>
    </row>
    <row r="107" spans="1:6" x14ac:dyDescent="0.5">
      <c r="A107" s="2" t="s">
        <v>249</v>
      </c>
      <c r="B107" s="226">
        <v>0.75</v>
      </c>
      <c r="C107" s="6">
        <f>B107*C69</f>
        <v>0</v>
      </c>
      <c r="D107" s="6">
        <f>B107*D69</f>
        <v>0</v>
      </c>
      <c r="E107" s="6">
        <f>B107*E69</f>
        <v>0</v>
      </c>
      <c r="F107" s="6">
        <f>B107*F69</f>
        <v>0</v>
      </c>
    </row>
    <row r="108" spans="1:6" x14ac:dyDescent="0.5">
      <c r="A108" s="2" t="s">
        <v>4</v>
      </c>
      <c r="B108" s="226">
        <v>0.5</v>
      </c>
      <c r="C108" s="6">
        <f>B108*C70</f>
        <v>0</v>
      </c>
      <c r="D108" s="6" t="e">
        <f>B108*D70</f>
        <v>#DIV/0!</v>
      </c>
      <c r="E108" s="6" t="e">
        <f>B108*E70</f>
        <v>#DIV/0!</v>
      </c>
      <c r="F108" s="6" t="e">
        <f>B108*F70</f>
        <v>#DIV/0!</v>
      </c>
    </row>
    <row r="110" spans="1:6" x14ac:dyDescent="0.5">
      <c r="A110" s="3" t="s">
        <v>250</v>
      </c>
      <c r="B110" s="3"/>
      <c r="C110" s="6">
        <f>C107+C108</f>
        <v>0</v>
      </c>
      <c r="D110" s="6" t="e">
        <f t="shared" ref="D110:F110" si="1">D107+D108</f>
        <v>#DIV/0!</v>
      </c>
      <c r="E110" s="6" t="e">
        <f t="shared" si="1"/>
        <v>#DIV/0!</v>
      </c>
      <c r="F110" s="6" t="e">
        <f t="shared" si="1"/>
        <v>#DIV/0!</v>
      </c>
    </row>
  </sheetData>
  <mergeCells count="19">
    <mergeCell ref="M3:O3"/>
    <mergeCell ref="A4:F4"/>
    <mergeCell ref="A40:F40"/>
    <mergeCell ref="C91:F91"/>
    <mergeCell ref="C60:F60"/>
    <mergeCell ref="B42:B44"/>
    <mergeCell ref="C38:F38"/>
    <mergeCell ref="A1:F1"/>
    <mergeCell ref="A2:F2"/>
    <mergeCell ref="A3:F3"/>
    <mergeCell ref="A5:A7"/>
    <mergeCell ref="B5:B7"/>
    <mergeCell ref="C101:F101"/>
    <mergeCell ref="D9:F9"/>
    <mergeCell ref="A41:F41"/>
    <mergeCell ref="A78:F78"/>
    <mergeCell ref="A42:A44"/>
    <mergeCell ref="A92:F92"/>
    <mergeCell ref="C76:F76"/>
  </mergeCells>
  <phoneticPr fontId="2" type="noConversion"/>
  <pageMargins left="0.23622047244094491" right="0.19685039370078741" top="0.39370078740157483" bottom="0.3" header="0.23622047244094491" footer="0.16"/>
  <pageSetup scale="47" orientation="portrait" r:id="rId1"/>
  <headerFooter alignWithMargins="0"/>
  <rowBreaks count="2" manualBreakCount="2">
    <brk id="39" max="5" man="1"/>
    <brk id="76" max="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"/>
  <sheetViews>
    <sheetView view="pageBreakPreview" topLeftCell="A10" zoomScale="60" zoomScaleNormal="70" workbookViewId="0">
      <selection activeCell="I16" sqref="I16"/>
    </sheetView>
  </sheetViews>
  <sheetFormatPr defaultColWidth="21.77734375" defaultRowHeight="25.8" x14ac:dyDescent="0.5"/>
  <cols>
    <col min="1" max="1" width="74.5546875" style="2" customWidth="1"/>
    <col min="2" max="2" width="23.21875" style="2" customWidth="1"/>
    <col min="3" max="3" width="27.21875" style="2" customWidth="1"/>
    <col min="4" max="4" width="30.21875" style="2" customWidth="1"/>
    <col min="5" max="5" width="31" style="2" customWidth="1"/>
    <col min="6" max="16384" width="21.77734375" style="2"/>
  </cols>
  <sheetData>
    <row r="1" spans="1:19" x14ac:dyDescent="0.5">
      <c r="A1" s="324"/>
      <c r="B1" s="324"/>
      <c r="C1" s="324"/>
      <c r="D1" s="324"/>
      <c r="E1" s="324"/>
    </row>
    <row r="2" spans="1:19" x14ac:dyDescent="0.5">
      <c r="A2" s="330" t="s">
        <v>213</v>
      </c>
      <c r="B2" s="330"/>
      <c r="C2" s="330"/>
      <c r="D2" s="330"/>
      <c r="E2" s="330"/>
    </row>
    <row r="3" spans="1:19" ht="29.25" customHeight="1" x14ac:dyDescent="0.7">
      <c r="A3" s="324"/>
      <c r="B3" s="324"/>
      <c r="C3" s="324"/>
      <c r="D3" s="324"/>
      <c r="E3" s="324"/>
      <c r="L3" s="329"/>
      <c r="M3" s="329"/>
      <c r="N3" s="329"/>
    </row>
    <row r="4" spans="1:19" ht="57" customHeight="1" x14ac:dyDescent="0.9">
      <c r="A4" s="331" t="s">
        <v>220</v>
      </c>
      <c r="B4" s="331"/>
      <c r="C4" s="331"/>
      <c r="D4" s="331"/>
      <c r="E4" s="331"/>
      <c r="F4" s="158"/>
      <c r="G4" s="119"/>
    </row>
    <row r="5" spans="1:19" ht="28.5" customHeight="1" x14ac:dyDescent="0.5">
      <c r="A5" s="326" t="s">
        <v>0</v>
      </c>
      <c r="B5" s="162" t="str">
        <f>Assumptions.1!J17</f>
        <v xml:space="preserve">Audited </v>
      </c>
      <c r="C5" s="76" t="str">
        <f>Assumptions.1!J18</f>
        <v>Estimated</v>
      </c>
      <c r="D5" s="76" t="str">
        <f>Assumptions.1!J19</f>
        <v>Projected</v>
      </c>
      <c r="E5" s="76" t="str">
        <f>Assumptions.1!J20</f>
        <v>Projected</v>
      </c>
    </row>
    <row r="6" spans="1:19" ht="37.5" customHeight="1" thickBot="1" x14ac:dyDescent="0.55000000000000004">
      <c r="A6" s="332"/>
      <c r="B6" s="57">
        <f>Assumptions.1!I17</f>
        <v>0</v>
      </c>
      <c r="C6" s="57">
        <f>Assumptions.1!I18</f>
        <v>0</v>
      </c>
      <c r="D6" s="57">
        <f>Assumptions.1!I19</f>
        <v>0</v>
      </c>
      <c r="E6" s="57">
        <f>Assumptions.1!I20</f>
        <v>0</v>
      </c>
      <c r="F6" s="3"/>
    </row>
    <row r="7" spans="1:19" s="3" customFormat="1" ht="38.4" thickTop="1" x14ac:dyDescent="0.5">
      <c r="B7" s="163" t="s">
        <v>224</v>
      </c>
      <c r="C7" s="163" t="s">
        <v>223</v>
      </c>
      <c r="D7" s="163" t="s">
        <v>223</v>
      </c>
      <c r="E7" s="163" t="s">
        <v>223</v>
      </c>
    </row>
    <row r="8" spans="1:19" s="3" customFormat="1" x14ac:dyDescent="0.5">
      <c r="A8" s="161" t="s">
        <v>218</v>
      </c>
      <c r="B8" s="161"/>
      <c r="D8" s="4"/>
    </row>
    <row r="9" spans="1:19" s="3" customFormat="1" ht="33" customHeight="1" x14ac:dyDescent="0.5">
      <c r="A9" s="2" t="s">
        <v>284</v>
      </c>
      <c r="B9" s="276">
        <f>wp!C11</f>
        <v>0</v>
      </c>
      <c r="C9" s="276" t="e">
        <f>wp!D11</f>
        <v>#DIV/0!</v>
      </c>
      <c r="D9" s="276" t="e">
        <f>wp!E11</f>
        <v>#DIV/0!</v>
      </c>
      <c r="E9" s="276" t="e">
        <f>wp!F11</f>
        <v>#DIV/0!</v>
      </c>
    </row>
    <row r="10" spans="1:19" ht="37.5" customHeight="1" x14ac:dyDescent="0.5">
      <c r="A10" s="2" t="s">
        <v>92</v>
      </c>
      <c r="B10" s="277">
        <f>wp!C18</f>
        <v>10759250</v>
      </c>
      <c r="C10" s="277" t="e">
        <f>wp!D18</f>
        <v>#DIV/0!</v>
      </c>
      <c r="D10" s="277" t="e">
        <f>wp!E18</f>
        <v>#DIV/0!</v>
      </c>
      <c r="E10" s="277" t="e">
        <f>wp!F18</f>
        <v>#DIV/0!</v>
      </c>
      <c r="K10"/>
      <c r="S10" s="6"/>
    </row>
    <row r="11" spans="1:19" ht="36" customHeight="1" x14ac:dyDescent="0.5">
      <c r="A11" s="2" t="s">
        <v>281</v>
      </c>
      <c r="B11" s="278">
        <f>wp!C19</f>
        <v>0</v>
      </c>
      <c r="C11" s="278">
        <f>wp!D19</f>
        <v>0</v>
      </c>
      <c r="D11" s="278">
        <f>wp!E19</f>
        <v>0</v>
      </c>
      <c r="E11" s="278">
        <f>wp!F19</f>
        <v>0</v>
      </c>
    </row>
    <row r="12" spans="1:19" s="3" customFormat="1" ht="40.5" customHeight="1" x14ac:dyDescent="0.5">
      <c r="A12" s="2" t="s">
        <v>176</v>
      </c>
      <c r="B12" s="276">
        <f>wp!C24</f>
        <v>0</v>
      </c>
      <c r="C12" s="276">
        <f>wp!D24</f>
        <v>0</v>
      </c>
      <c r="D12" s="276">
        <f>wp!E24</f>
        <v>0</v>
      </c>
      <c r="E12" s="276">
        <f>wp!F24</f>
        <v>0</v>
      </c>
    </row>
    <row r="13" spans="1:19" s="3" customFormat="1" ht="40.5" customHeight="1" x14ac:dyDescent="0.5">
      <c r="A13" s="2" t="s">
        <v>69</v>
      </c>
      <c r="B13" s="276">
        <f>wp!C81</f>
        <v>0</v>
      </c>
      <c r="C13" s="276" t="e">
        <f>wp!D81</f>
        <v>#DIV/0!</v>
      </c>
      <c r="D13" s="276" t="e">
        <f>wp!E81</f>
        <v>#DIV/0!</v>
      </c>
      <c r="E13" s="276" t="e">
        <f>wp!F81</f>
        <v>#DIV/0!</v>
      </c>
    </row>
    <row r="14" spans="1:19" s="3" customFormat="1" ht="40.5" customHeight="1" x14ac:dyDescent="0.5">
      <c r="A14" s="2" t="s">
        <v>156</v>
      </c>
      <c r="B14" s="276">
        <f>wp!C82</f>
        <v>0</v>
      </c>
      <c r="C14" s="276">
        <f>wp!D82</f>
        <v>0</v>
      </c>
      <c r="D14" s="276">
        <f>wp!E82</f>
        <v>0</v>
      </c>
      <c r="E14" s="276">
        <f>wp!F82</f>
        <v>0</v>
      </c>
    </row>
    <row r="15" spans="1:19" s="3" customFormat="1" ht="40.5" customHeight="1" x14ac:dyDescent="0.5">
      <c r="A15" s="2" t="s">
        <v>70</v>
      </c>
      <c r="B15" s="276">
        <f>wp!C83</f>
        <v>0</v>
      </c>
      <c r="C15" s="276" t="e">
        <f>wp!D83</f>
        <v>#DIV/0!</v>
      </c>
      <c r="D15" s="276" t="e">
        <f>wp!E83</f>
        <v>#DIV/0!</v>
      </c>
      <c r="E15" s="276" t="e">
        <f>wp!F83</f>
        <v>#DIV/0!</v>
      </c>
    </row>
    <row r="16" spans="1:19" s="3" customFormat="1" ht="40.5" customHeight="1" x14ac:dyDescent="0.5">
      <c r="A16" s="2" t="s">
        <v>155</v>
      </c>
      <c r="B16" s="276">
        <f>wp!C85</f>
        <v>-10759250</v>
      </c>
      <c r="C16" s="276" t="e">
        <f>wp!D85</f>
        <v>#DIV/0!</v>
      </c>
      <c r="D16" s="276" t="e">
        <f>wp!E85</f>
        <v>#DIV/0!</v>
      </c>
      <c r="E16" s="276" t="e">
        <f>wp!F85</f>
        <v>#DIV/0!</v>
      </c>
    </row>
    <row r="17" spans="1:7" s="3" customFormat="1" ht="40.5" customHeight="1" x14ac:dyDescent="0.5">
      <c r="A17" s="2" t="s">
        <v>198</v>
      </c>
      <c r="B17" s="277">
        <f>wp!C95</f>
        <v>0</v>
      </c>
      <c r="C17" s="277" t="e">
        <f>B17*C22/B22</f>
        <v>#DIV/0!</v>
      </c>
      <c r="D17" s="277">
        <f>IF(C22=0,0,C17*D22/C22)</f>
        <v>0</v>
      </c>
      <c r="E17" s="277">
        <f>IF(D22=0,0,D17*E22/D22)</f>
        <v>0</v>
      </c>
    </row>
    <row r="18" spans="1:7" s="3" customFormat="1" ht="40.5" customHeight="1" x14ac:dyDescent="0.5">
      <c r="A18" s="2" t="s">
        <v>197</v>
      </c>
      <c r="B18" s="277">
        <f>wp!C96</f>
        <v>0</v>
      </c>
      <c r="C18" s="277" t="e">
        <f>wp!D96</f>
        <v>#DIV/0!</v>
      </c>
      <c r="D18" s="277" t="e">
        <f>wp!E96</f>
        <v>#DIV/0!</v>
      </c>
      <c r="E18" s="277" t="e">
        <f>wp!F96</f>
        <v>#DIV/0!</v>
      </c>
    </row>
    <row r="19" spans="1:7" s="3" customFormat="1" ht="40.5" customHeight="1" x14ac:dyDescent="0.5">
      <c r="A19" s="2" t="s">
        <v>280</v>
      </c>
      <c r="B19" s="48">
        <f>PLBS!C35</f>
        <v>0</v>
      </c>
      <c r="C19" s="48" t="e">
        <f>PLBS!D35</f>
        <v>#DIV/0!</v>
      </c>
      <c r="D19" s="48" t="e">
        <f>PLBS!E35</f>
        <v>#DIV/0!</v>
      </c>
      <c r="E19" s="48" t="e">
        <f>PLBS!F35</f>
        <v>#DIV/0!</v>
      </c>
    </row>
    <row r="20" spans="1:7" s="3" customFormat="1" ht="40.5" customHeight="1" x14ac:dyDescent="0.5">
      <c r="A20" s="2"/>
      <c r="B20" s="2"/>
      <c r="C20" s="6"/>
      <c r="D20" s="6"/>
      <c r="E20" s="6"/>
    </row>
    <row r="21" spans="1:7" s="3" customFormat="1" ht="40.5" customHeight="1" x14ac:dyDescent="0.5">
      <c r="A21" s="161" t="s">
        <v>222</v>
      </c>
      <c r="B21" s="161"/>
      <c r="C21" s="6"/>
      <c r="D21" s="6"/>
      <c r="E21" s="6"/>
    </row>
    <row r="22" spans="1:7" ht="39" customHeight="1" x14ac:dyDescent="0.5">
      <c r="A22" s="2" t="s">
        <v>219</v>
      </c>
      <c r="B22" s="277">
        <f>wp!C50</f>
        <v>0</v>
      </c>
      <c r="C22" s="277">
        <f>wp!D50</f>
        <v>0</v>
      </c>
      <c r="D22" s="277">
        <f>wp!E50</f>
        <v>0</v>
      </c>
      <c r="E22" s="277">
        <f>wp!F50</f>
        <v>0</v>
      </c>
      <c r="F22" s="50"/>
    </row>
    <row r="23" spans="1:7" ht="51" customHeight="1" x14ac:dyDescent="0.5">
      <c r="A23" s="2" t="s">
        <v>132</v>
      </c>
      <c r="B23" s="277">
        <f>wp!C55</f>
        <v>0</v>
      </c>
      <c r="C23" s="277">
        <f>wp!D55</f>
        <v>0</v>
      </c>
      <c r="D23" s="277">
        <f>wp!E55</f>
        <v>0</v>
      </c>
      <c r="E23" s="277">
        <f>wp!F55</f>
        <v>0</v>
      </c>
      <c r="G23" s="160"/>
    </row>
    <row r="24" spans="1:7" ht="31.5" customHeight="1" x14ac:dyDescent="0.5">
      <c r="A24" s="2" t="s">
        <v>189</v>
      </c>
      <c r="B24" s="276">
        <f>wp!C65</f>
        <v>0</v>
      </c>
      <c r="C24" s="276">
        <f>wp!D65</f>
        <v>0</v>
      </c>
      <c r="D24" s="276">
        <f>wp!E65</f>
        <v>0</v>
      </c>
      <c r="E24" s="276">
        <f>wp!F65</f>
        <v>0</v>
      </c>
      <c r="G24" s="160"/>
    </row>
    <row r="25" spans="1:7" ht="42.75" customHeight="1" x14ac:dyDescent="0.5">
      <c r="A25" s="2" t="s">
        <v>134</v>
      </c>
      <c r="B25" s="276">
        <f>wp!C68</f>
        <v>0</v>
      </c>
      <c r="C25" s="276">
        <f>wp!D68</f>
        <v>0</v>
      </c>
      <c r="D25" s="276">
        <f>wp!E68</f>
        <v>0</v>
      </c>
      <c r="E25" s="276">
        <f>wp!F68</f>
        <v>0</v>
      </c>
      <c r="G25" s="160"/>
    </row>
    <row r="26" spans="1:7" ht="44.25" customHeight="1" x14ac:dyDescent="0.5">
      <c r="A26" s="2" t="s">
        <v>4</v>
      </c>
      <c r="B26" s="276">
        <f>wp!C70</f>
        <v>0</v>
      </c>
      <c r="C26" s="276" t="e">
        <f>wp!D70</f>
        <v>#DIV/0!</v>
      </c>
      <c r="D26" s="276" t="e">
        <f>wp!E70</f>
        <v>#DIV/0!</v>
      </c>
      <c r="E26" s="276" t="e">
        <f>wp!F70</f>
        <v>#DIV/0!</v>
      </c>
    </row>
    <row r="27" spans="1:7" ht="39" customHeight="1" x14ac:dyDescent="0.5">
      <c r="A27" s="2" t="s">
        <v>66</v>
      </c>
      <c r="B27" s="276">
        <f>wp!C71</f>
        <v>0</v>
      </c>
      <c r="C27" s="276" t="e">
        <f>wp!D71</f>
        <v>#DIV/0!</v>
      </c>
      <c r="D27" s="276" t="e">
        <f>wp!E71</f>
        <v>#DIV/0!</v>
      </c>
      <c r="E27" s="276" t="e">
        <f>wp!F71</f>
        <v>#DIV/0!</v>
      </c>
    </row>
    <row r="28" spans="1:7" ht="33" customHeight="1" x14ac:dyDescent="0.5">
      <c r="C28" s="48"/>
      <c r="D28" s="48"/>
      <c r="E28" s="48"/>
    </row>
    <row r="29" spans="1:7" ht="39" customHeight="1" x14ac:dyDescent="0.5">
      <c r="A29" s="161" t="s">
        <v>221</v>
      </c>
      <c r="B29" s="161"/>
      <c r="C29" s="3"/>
      <c r="D29" s="3"/>
    </row>
    <row r="30" spans="1:7" ht="25.5" customHeight="1" x14ac:dyDescent="0.5">
      <c r="A30" s="2" t="s">
        <v>225</v>
      </c>
      <c r="B30" s="137" t="e">
        <f>RATIO!C37</f>
        <v>#DIV/0!</v>
      </c>
      <c r="C30" s="137" t="e">
        <f>RATIO!D37</f>
        <v>#DIV/0!</v>
      </c>
      <c r="D30" s="137" t="e">
        <f>RATIO!E37</f>
        <v>#DIV/0!</v>
      </c>
      <c r="E30" s="137" t="e">
        <f>RATIO!F37</f>
        <v>#DIV/0!</v>
      </c>
    </row>
    <row r="31" spans="1:7" x14ac:dyDescent="0.5">
      <c r="A31" s="2" t="s">
        <v>226</v>
      </c>
      <c r="B31" s="74" t="e">
        <f>RATIO!C45</f>
        <v>#DIV/0!</v>
      </c>
      <c r="C31" s="74" t="e">
        <f>RATIO!D45</f>
        <v>#DIV/0!</v>
      </c>
      <c r="D31" s="74" t="e">
        <f>RATIO!E45</f>
        <v>#DIV/0!</v>
      </c>
      <c r="E31" s="74" t="e">
        <f>RATIO!F45</f>
        <v>#DIV/0!</v>
      </c>
    </row>
    <row r="32" spans="1:7" x14ac:dyDescent="0.5">
      <c r="A32" s="2" t="s">
        <v>227</v>
      </c>
      <c r="B32" s="6" t="e">
        <f>RATIO!C28</f>
        <v>#DIV/0!</v>
      </c>
      <c r="C32" s="6" t="e">
        <f>RATIO!D28</f>
        <v>#DIV/0!</v>
      </c>
      <c r="D32" s="6" t="e">
        <f>RATIO!E28</f>
        <v>#DIV/0!</v>
      </c>
      <c r="E32" s="6" t="e">
        <f>RATIO!F28</f>
        <v>#DIV/0!</v>
      </c>
    </row>
    <row r="33" spans="1:5" x14ac:dyDescent="0.5">
      <c r="A33" s="2" t="s">
        <v>204</v>
      </c>
      <c r="B33" s="74" t="e">
        <f>RATIO!C11</f>
        <v>#DIV/0!</v>
      </c>
      <c r="C33" s="74" t="e">
        <f>RATIO!D11</f>
        <v>#DIV/0!</v>
      </c>
      <c r="D33" s="74" t="e">
        <f>RATIO!E11</f>
        <v>#DIV/0!</v>
      </c>
      <c r="E33" s="74" t="e">
        <f>RATIO!F11</f>
        <v>#DIV/0!</v>
      </c>
    </row>
    <row r="34" spans="1:5" x14ac:dyDescent="0.5">
      <c r="A34" s="2" t="s">
        <v>228</v>
      </c>
      <c r="B34" s="74" t="e">
        <f>RATIO!C95</f>
        <v>#DIV/0!</v>
      </c>
      <c r="C34" s="74" t="e">
        <f>RATIO!D95</f>
        <v>#DIV/0!</v>
      </c>
      <c r="D34" s="74" t="e">
        <f>RATIO!E95</f>
        <v>#DIV/0!</v>
      </c>
      <c r="E34" s="74" t="e">
        <f>RATIO!F95</f>
        <v>#DIV/0!</v>
      </c>
    </row>
    <row r="35" spans="1:5" x14ac:dyDescent="0.5">
      <c r="B35" s="74"/>
      <c r="C35" s="74"/>
      <c r="D35" s="74"/>
      <c r="E35" s="74"/>
    </row>
    <row r="36" spans="1:5" x14ac:dyDescent="0.5">
      <c r="A36" s="161" t="s">
        <v>276</v>
      </c>
      <c r="B36" s="74"/>
      <c r="C36" s="74"/>
      <c r="D36" s="74"/>
      <c r="E36" s="74"/>
    </row>
    <row r="37" spans="1:5" x14ac:dyDescent="0.5">
      <c r="A37" s="2" t="s">
        <v>277</v>
      </c>
      <c r="B37" s="279"/>
      <c r="C37" s="276" t="e">
        <f>'MPBF '!B28</f>
        <v>#DIV/0!</v>
      </c>
      <c r="D37" s="276" t="e">
        <f>'MPBF '!C28</f>
        <v>#DIV/0!</v>
      </c>
      <c r="E37" s="276" t="e">
        <f>'MPBF '!D28</f>
        <v>#DIV/0!</v>
      </c>
    </row>
    <row r="38" spans="1:5" x14ac:dyDescent="0.5">
      <c r="A38" s="2" t="s">
        <v>278</v>
      </c>
      <c r="B38" s="279"/>
      <c r="C38" s="276" t="e">
        <f>'MPBF '!B62</f>
        <v>#DIV/0!</v>
      </c>
      <c r="D38" s="276" t="e">
        <f>'MPBF '!C62</f>
        <v>#DIV/0!</v>
      </c>
      <c r="E38" s="276" t="e">
        <f>'MPBF '!D62</f>
        <v>#DIV/0!</v>
      </c>
    </row>
    <row r="39" spans="1:5" x14ac:dyDescent="0.5">
      <c r="A39" s="2" t="s">
        <v>279</v>
      </c>
      <c r="B39" s="279"/>
      <c r="C39" s="276" t="e">
        <f>nayak!C23</f>
        <v>#DIV/0!</v>
      </c>
      <c r="D39" s="276" t="e">
        <f>nayak!D23</f>
        <v>#DIV/0!</v>
      </c>
      <c r="E39" s="276" t="e">
        <f>nayak!E23</f>
        <v>#DIV/0!</v>
      </c>
    </row>
    <row r="40" spans="1:5" x14ac:dyDescent="0.5">
      <c r="B40" s="74"/>
      <c r="C40" s="74"/>
      <c r="D40" s="74"/>
      <c r="E40" s="74"/>
    </row>
    <row r="41" spans="1:5" ht="26.4" thickBot="1" x14ac:dyDescent="0.55000000000000004">
      <c r="A41" s="12"/>
      <c r="B41" s="12"/>
      <c r="C41" s="12"/>
      <c r="D41" s="12"/>
      <c r="E41" s="12"/>
    </row>
    <row r="42" spans="1:5" ht="26.4" thickBot="1" x14ac:dyDescent="0.55000000000000004"/>
    <row r="43" spans="1:5" x14ac:dyDescent="0.5">
      <c r="B43" s="333"/>
      <c r="C43" s="334"/>
    </row>
    <row r="44" spans="1:5" ht="26.4" thickBot="1" x14ac:dyDescent="0.55000000000000004">
      <c r="B44" s="335"/>
      <c r="C44" s="336"/>
    </row>
    <row r="46" spans="1:5" x14ac:dyDescent="0.5">
      <c r="A46" s="324"/>
      <c r="B46" s="324"/>
      <c r="C46" s="324"/>
      <c r="D46" s="324"/>
      <c r="E46" s="324"/>
    </row>
  </sheetData>
  <mergeCells count="8">
    <mergeCell ref="A46:E46"/>
    <mergeCell ref="A1:E1"/>
    <mergeCell ref="A2:E2"/>
    <mergeCell ref="A3:E3"/>
    <mergeCell ref="L3:N3"/>
    <mergeCell ref="A4:E4"/>
    <mergeCell ref="A5:A6"/>
    <mergeCell ref="B43:C44"/>
  </mergeCells>
  <pageMargins left="0.7" right="0.7" top="0.75" bottom="0.75" header="0.3" footer="0.3"/>
  <pageSetup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X38"/>
  <sheetViews>
    <sheetView tabSelected="1" view="pageBreakPreview" zoomScale="60" zoomScaleNormal="55" workbookViewId="0">
      <selection sqref="A1:XFD1048576"/>
    </sheetView>
  </sheetViews>
  <sheetFormatPr defaultColWidth="9.21875" defaultRowHeight="23.4" x14ac:dyDescent="0.45"/>
  <cols>
    <col min="1" max="1" width="5.44140625" style="352" customWidth="1"/>
    <col min="2" max="2" width="7.77734375" style="352" customWidth="1"/>
    <col min="3" max="3" width="6.77734375" style="352" customWidth="1"/>
    <col min="4" max="4" width="11" style="352" customWidth="1"/>
    <col min="5" max="5" width="10.5546875" style="352" customWidth="1"/>
    <col min="6" max="6" width="11.77734375" style="352" customWidth="1"/>
    <col min="7" max="7" width="12.5546875" style="352" customWidth="1"/>
    <col min="8" max="8" width="12.44140625" style="352" customWidth="1"/>
    <col min="9" max="12" width="9.21875" style="352"/>
    <col min="13" max="13" width="6" style="352" customWidth="1"/>
    <col min="14" max="14" width="5.5546875" style="352" customWidth="1"/>
    <col min="15" max="20" width="9.21875" style="352"/>
    <col min="21" max="21" width="73.21875" style="352" bestFit="1" customWidth="1"/>
    <col min="22" max="22" width="32.44140625" style="352" bestFit="1" customWidth="1"/>
    <col min="23" max="16384" width="9.21875" style="352"/>
  </cols>
  <sheetData>
    <row r="1" spans="2:24" ht="24" thickBot="1" x14ac:dyDescent="0.5"/>
    <row r="2" spans="2:24" x14ac:dyDescent="0.45">
      <c r="B2" s="353"/>
      <c r="C2" s="354"/>
      <c r="D2" s="354"/>
      <c r="E2" s="354"/>
      <c r="F2" s="354"/>
      <c r="G2" s="354"/>
      <c r="H2" s="354"/>
      <c r="I2" s="354"/>
      <c r="J2" s="354"/>
      <c r="K2" s="354"/>
      <c r="L2" s="354"/>
      <c r="M2" s="355"/>
    </row>
    <row r="3" spans="2:24" x14ac:dyDescent="0.45">
      <c r="B3" s="356"/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8"/>
    </row>
    <row r="4" spans="2:24" x14ac:dyDescent="0.45">
      <c r="B4" s="356"/>
      <c r="C4" s="357"/>
      <c r="L4" s="357"/>
      <c r="M4" s="358"/>
    </row>
    <row r="5" spans="2:24" x14ac:dyDescent="0.45">
      <c r="B5" s="356"/>
      <c r="C5" s="357"/>
      <c r="L5" s="357"/>
      <c r="M5" s="358"/>
    </row>
    <row r="6" spans="2:24" x14ac:dyDescent="0.45">
      <c r="B6" s="356"/>
      <c r="C6" s="357"/>
      <c r="L6" s="357"/>
      <c r="M6" s="358"/>
    </row>
    <row r="7" spans="2:24" x14ac:dyDescent="0.45">
      <c r="B7" s="356"/>
      <c r="C7" s="357"/>
      <c r="D7" s="359" t="s">
        <v>252</v>
      </c>
      <c r="E7" s="359"/>
      <c r="F7" s="359"/>
      <c r="G7" s="359"/>
      <c r="H7" s="359"/>
      <c r="I7" s="359"/>
      <c r="J7" s="359"/>
      <c r="K7" s="359"/>
      <c r="L7" s="360"/>
      <c r="M7" s="358"/>
      <c r="U7" s="361"/>
    </row>
    <row r="8" spans="2:24" x14ac:dyDescent="0.45">
      <c r="B8" s="356"/>
      <c r="C8" s="357"/>
      <c r="L8" s="357"/>
      <c r="M8" s="358"/>
      <c r="T8" s="362"/>
      <c r="U8" s="362"/>
      <c r="V8" s="362"/>
      <c r="W8" s="362"/>
      <c r="X8" s="362"/>
    </row>
    <row r="9" spans="2:24" x14ac:dyDescent="0.45">
      <c r="B9" s="356"/>
      <c r="C9" s="357"/>
      <c r="D9" s="359" t="s">
        <v>90</v>
      </c>
      <c r="E9" s="359"/>
      <c r="F9" s="359"/>
      <c r="G9" s="359"/>
      <c r="H9" s="359"/>
      <c r="I9" s="359"/>
      <c r="J9" s="359"/>
      <c r="K9" s="359"/>
      <c r="L9" s="360"/>
      <c r="M9" s="358"/>
      <c r="T9" s="362"/>
      <c r="U9" s="362"/>
      <c r="V9" s="362"/>
      <c r="W9" s="362"/>
      <c r="X9" s="362"/>
    </row>
    <row r="10" spans="2:24" ht="32.25" customHeight="1" x14ac:dyDescent="0.45">
      <c r="B10" s="356"/>
      <c r="C10" s="357"/>
      <c r="D10" s="361"/>
      <c r="E10" s="361"/>
      <c r="F10" s="361"/>
      <c r="G10" s="361"/>
      <c r="H10" s="361"/>
      <c r="I10" s="361"/>
      <c r="J10" s="361"/>
      <c r="K10" s="361"/>
      <c r="L10" s="360"/>
      <c r="M10" s="358"/>
      <c r="T10" s="362"/>
      <c r="U10" s="363"/>
      <c r="V10" s="363"/>
      <c r="W10" s="362"/>
      <c r="X10" s="362"/>
    </row>
    <row r="11" spans="2:24" ht="32.25" customHeight="1" x14ac:dyDescent="0.45">
      <c r="B11" s="356"/>
      <c r="C11" s="357"/>
      <c r="D11" s="359">
        <f>Assumptions.1!I4</f>
        <v>0</v>
      </c>
      <c r="E11" s="359"/>
      <c r="F11" s="359"/>
      <c r="G11" s="359"/>
      <c r="H11" s="359"/>
      <c r="I11" s="359"/>
      <c r="J11" s="359"/>
      <c r="K11" s="359"/>
      <c r="L11" s="360"/>
      <c r="M11" s="358"/>
      <c r="T11" s="362"/>
      <c r="U11" s="363"/>
      <c r="V11" s="363"/>
      <c r="W11" s="362"/>
      <c r="X11" s="362"/>
    </row>
    <row r="12" spans="2:24" ht="21.75" customHeight="1" x14ac:dyDescent="0.45">
      <c r="B12" s="356"/>
      <c r="C12" s="357"/>
      <c r="L12" s="357"/>
      <c r="M12" s="358"/>
      <c r="T12" s="362"/>
      <c r="U12" s="362"/>
      <c r="V12" s="362"/>
      <c r="W12" s="362"/>
      <c r="X12" s="362"/>
    </row>
    <row r="13" spans="2:24" ht="38.25" customHeight="1" x14ac:dyDescent="0.45">
      <c r="B13" s="356"/>
      <c r="C13" s="357"/>
      <c r="D13" s="359">
        <f>Assumptions.1!I6</f>
        <v>0</v>
      </c>
      <c r="E13" s="359"/>
      <c r="F13" s="359"/>
      <c r="G13" s="359"/>
      <c r="H13" s="359"/>
      <c r="I13" s="359"/>
      <c r="J13" s="359"/>
      <c r="K13" s="359"/>
      <c r="L13" s="360"/>
      <c r="M13" s="358"/>
      <c r="T13" s="362"/>
      <c r="U13" s="362"/>
      <c r="V13" s="362"/>
      <c r="W13" s="362"/>
      <c r="X13" s="362"/>
    </row>
    <row r="14" spans="2:24" ht="15.75" customHeight="1" x14ac:dyDescent="0.45">
      <c r="B14" s="356"/>
      <c r="C14" s="357"/>
      <c r="L14" s="357"/>
      <c r="M14" s="358"/>
      <c r="T14" s="362"/>
      <c r="U14" s="362"/>
      <c r="V14" s="362"/>
      <c r="W14" s="362"/>
      <c r="X14" s="362"/>
    </row>
    <row r="15" spans="2:24" x14ac:dyDescent="0.45">
      <c r="B15" s="356"/>
      <c r="C15" s="357"/>
      <c r="D15" s="364"/>
      <c r="E15" s="364"/>
      <c r="F15" s="364"/>
      <c r="G15" s="364"/>
      <c r="H15" s="364"/>
      <c r="I15" s="364"/>
      <c r="J15" s="364"/>
      <c r="K15" s="364"/>
      <c r="L15" s="365"/>
      <c r="M15" s="358"/>
      <c r="T15" s="362"/>
      <c r="U15" s="362"/>
      <c r="V15" s="362"/>
      <c r="W15" s="362"/>
      <c r="X15" s="362"/>
    </row>
    <row r="16" spans="2:24" x14ac:dyDescent="0.45">
      <c r="B16" s="356"/>
      <c r="C16" s="357"/>
      <c r="L16" s="357"/>
      <c r="M16" s="358"/>
    </row>
    <row r="17" spans="2:13" ht="12.75" customHeight="1" x14ac:dyDescent="0.45">
      <c r="B17" s="356"/>
      <c r="C17" s="357"/>
      <c r="D17" s="366">
        <f>Assumptions.1!I9</f>
        <v>0</v>
      </c>
      <c r="E17" s="366"/>
      <c r="F17" s="366"/>
      <c r="G17" s="366"/>
      <c r="H17" s="366"/>
      <c r="I17" s="366"/>
      <c r="J17" s="366"/>
      <c r="K17" s="366"/>
      <c r="L17" s="367"/>
      <c r="M17" s="368"/>
    </row>
    <row r="18" spans="2:13" ht="12.75" customHeight="1" x14ac:dyDescent="0.45">
      <c r="B18" s="356"/>
      <c r="C18" s="357"/>
      <c r="D18" s="366"/>
      <c r="E18" s="366"/>
      <c r="F18" s="366"/>
      <c r="G18" s="366"/>
      <c r="H18" s="366"/>
      <c r="I18" s="366"/>
      <c r="J18" s="366"/>
      <c r="K18" s="366"/>
      <c r="L18" s="367"/>
      <c r="M18" s="368"/>
    </row>
    <row r="19" spans="2:13" ht="12.75" customHeight="1" x14ac:dyDescent="0.45">
      <c r="B19" s="356"/>
      <c r="C19" s="357"/>
      <c r="D19" s="366"/>
      <c r="E19" s="366"/>
      <c r="F19" s="366"/>
      <c r="G19" s="366"/>
      <c r="H19" s="366"/>
      <c r="I19" s="366"/>
      <c r="J19" s="366"/>
      <c r="K19" s="366"/>
      <c r="L19" s="367"/>
      <c r="M19" s="368"/>
    </row>
    <row r="20" spans="2:13" ht="12.75" customHeight="1" x14ac:dyDescent="0.45">
      <c r="B20" s="356"/>
      <c r="C20" s="357"/>
      <c r="D20" s="366"/>
      <c r="E20" s="366"/>
      <c r="F20" s="366"/>
      <c r="G20" s="366"/>
      <c r="H20" s="366"/>
      <c r="I20" s="366"/>
      <c r="J20" s="366"/>
      <c r="K20" s="366"/>
      <c r="L20" s="367"/>
      <c r="M20" s="368"/>
    </row>
    <row r="21" spans="2:13" ht="31.5" customHeight="1" x14ac:dyDescent="0.45">
      <c r="B21" s="356"/>
      <c r="C21" s="357"/>
      <c r="D21" s="369">
        <f>Assumptions.1!I7</f>
        <v>0</v>
      </c>
      <c r="E21" s="369"/>
      <c r="F21" s="369"/>
      <c r="G21" s="369"/>
      <c r="H21" s="369"/>
      <c r="I21" s="369"/>
      <c r="J21" s="369"/>
      <c r="K21" s="369"/>
      <c r="L21" s="370"/>
      <c r="M21" s="358"/>
    </row>
    <row r="22" spans="2:13" x14ac:dyDescent="0.45">
      <c r="B22" s="356"/>
      <c r="C22" s="357"/>
      <c r="D22" s="369"/>
      <c r="E22" s="369"/>
      <c r="F22" s="369"/>
      <c r="G22" s="369"/>
      <c r="H22" s="369"/>
      <c r="I22" s="369"/>
      <c r="J22" s="369"/>
      <c r="K22" s="369"/>
      <c r="L22" s="371"/>
      <c r="M22" s="358"/>
    </row>
    <row r="23" spans="2:13" x14ac:dyDescent="0.45">
      <c r="B23" s="356"/>
      <c r="C23" s="357"/>
      <c r="D23" s="372"/>
      <c r="E23" s="372"/>
      <c r="F23" s="372"/>
      <c r="G23" s="372"/>
      <c r="H23" s="372"/>
      <c r="I23" s="372"/>
      <c r="J23" s="372"/>
      <c r="K23" s="372"/>
      <c r="L23" s="371"/>
      <c r="M23" s="358"/>
    </row>
    <row r="24" spans="2:13" x14ac:dyDescent="0.45">
      <c r="B24" s="356"/>
      <c r="C24" s="357"/>
      <c r="D24" s="372"/>
      <c r="E24" s="372"/>
      <c r="F24" s="372"/>
      <c r="G24" s="372"/>
      <c r="H24" s="372"/>
      <c r="I24" s="372"/>
      <c r="J24" s="372"/>
      <c r="K24" s="372"/>
      <c r="L24" s="371"/>
      <c r="M24" s="358"/>
    </row>
    <row r="25" spans="2:13" x14ac:dyDescent="0.45">
      <c r="B25" s="356"/>
      <c r="C25" s="357"/>
      <c r="E25" s="373"/>
      <c r="F25" s="373"/>
      <c r="G25" s="361"/>
      <c r="H25" s="361"/>
      <c r="I25" s="361"/>
      <c r="J25" s="374"/>
      <c r="K25" s="374"/>
      <c r="L25" s="360"/>
      <c r="M25" s="358"/>
    </row>
    <row r="26" spans="2:13" x14ac:dyDescent="0.45">
      <c r="B26" s="356"/>
      <c r="C26" s="357"/>
      <c r="D26" s="359" t="s">
        <v>251</v>
      </c>
      <c r="E26" s="359"/>
      <c r="F26" s="359"/>
      <c r="G26" s="359"/>
      <c r="H26" s="359">
        <f>Assumptions.1!I12</f>
        <v>0</v>
      </c>
      <c r="I26" s="359"/>
      <c r="J26" s="359"/>
      <c r="K26" s="359"/>
      <c r="L26" s="360"/>
      <c r="M26" s="358"/>
    </row>
    <row r="27" spans="2:13" ht="18" customHeight="1" x14ac:dyDescent="0.45">
      <c r="B27" s="356"/>
      <c r="C27" s="357"/>
      <c r="E27" s="361"/>
      <c r="F27" s="361"/>
      <c r="G27" s="361"/>
      <c r="H27" s="361"/>
      <c r="L27" s="357"/>
      <c r="M27" s="368"/>
    </row>
    <row r="28" spans="2:13" ht="24" thickBot="1" x14ac:dyDescent="0.5">
      <c r="B28" s="356"/>
      <c r="C28" s="357"/>
      <c r="E28" s="375"/>
      <c r="F28" s="375"/>
      <c r="G28" s="375"/>
      <c r="H28" s="375"/>
      <c r="I28" s="375"/>
      <c r="L28" s="357"/>
      <c r="M28" s="358"/>
    </row>
    <row r="29" spans="2:13" x14ac:dyDescent="0.45">
      <c r="B29" s="356"/>
      <c r="C29" s="357"/>
      <c r="L29" s="357"/>
      <c r="M29" s="358"/>
    </row>
    <row r="30" spans="2:13" x14ac:dyDescent="0.45">
      <c r="B30" s="356"/>
      <c r="C30" s="357"/>
      <c r="D30" s="376" t="s">
        <v>91</v>
      </c>
      <c r="E30" s="376"/>
      <c r="F30" s="376"/>
      <c r="G30" s="376"/>
      <c r="H30" s="376"/>
      <c r="I30" s="376"/>
      <c r="J30" s="376"/>
      <c r="K30" s="376"/>
      <c r="L30" s="377"/>
      <c r="M30" s="358"/>
    </row>
    <row r="31" spans="2:13" x14ac:dyDescent="0.45">
      <c r="B31" s="356"/>
      <c r="C31" s="357"/>
      <c r="E31" s="361"/>
      <c r="F31" s="361"/>
      <c r="G31" s="361"/>
      <c r="H31" s="361"/>
      <c r="I31" s="361"/>
      <c r="J31" s="361"/>
      <c r="K31" s="361"/>
      <c r="L31" s="378"/>
      <c r="M31" s="358"/>
    </row>
    <row r="32" spans="2:13" x14ac:dyDescent="0.45">
      <c r="B32" s="356"/>
      <c r="C32" s="357"/>
      <c r="D32" s="359" t="s">
        <v>191</v>
      </c>
      <c r="E32" s="359"/>
      <c r="F32" s="359"/>
      <c r="G32" s="359"/>
      <c r="H32" s="359"/>
      <c r="I32" s="359"/>
      <c r="J32" s="359"/>
      <c r="K32" s="359"/>
      <c r="L32" s="360"/>
      <c r="M32" s="358"/>
    </row>
    <row r="33" spans="2:13" x14ac:dyDescent="0.45">
      <c r="B33" s="356"/>
      <c r="C33" s="357"/>
      <c r="D33" s="359" t="s">
        <v>229</v>
      </c>
      <c r="E33" s="359"/>
      <c r="F33" s="359"/>
      <c r="G33" s="359"/>
      <c r="H33" s="359"/>
      <c r="I33" s="359"/>
      <c r="J33" s="359"/>
      <c r="K33" s="359"/>
      <c r="L33" s="360"/>
      <c r="M33" s="358"/>
    </row>
    <row r="34" spans="2:13" x14ac:dyDescent="0.45">
      <c r="B34" s="356"/>
      <c r="C34" s="357"/>
      <c r="D34" s="359" t="s">
        <v>192</v>
      </c>
      <c r="E34" s="359"/>
      <c r="F34" s="359"/>
      <c r="G34" s="359"/>
      <c r="H34" s="359"/>
      <c r="I34" s="359"/>
      <c r="J34" s="359"/>
      <c r="K34" s="359"/>
      <c r="L34" s="379"/>
      <c r="M34" s="358"/>
    </row>
    <row r="35" spans="2:13" x14ac:dyDescent="0.45">
      <c r="B35" s="356"/>
      <c r="C35" s="357"/>
      <c r="E35" s="361"/>
      <c r="F35" s="361"/>
      <c r="G35" s="361"/>
      <c r="H35" s="361"/>
      <c r="I35" s="361"/>
      <c r="J35" s="361"/>
      <c r="K35" s="361"/>
      <c r="L35" s="378"/>
      <c r="M35" s="358"/>
    </row>
    <row r="36" spans="2:13" x14ac:dyDescent="0.45">
      <c r="B36" s="356"/>
      <c r="C36" s="357"/>
      <c r="L36" s="357"/>
      <c r="M36" s="358"/>
    </row>
    <row r="37" spans="2:13" x14ac:dyDescent="0.45">
      <c r="B37" s="356"/>
      <c r="C37" s="357"/>
      <c r="D37" s="357"/>
      <c r="E37" s="357"/>
      <c r="F37" s="357"/>
      <c r="G37" s="357"/>
      <c r="H37" s="357"/>
      <c r="I37" s="357"/>
      <c r="J37" s="357"/>
      <c r="K37" s="357"/>
      <c r="L37" s="357"/>
      <c r="M37" s="358"/>
    </row>
    <row r="38" spans="2:13" ht="24" thickBot="1" x14ac:dyDescent="0.5">
      <c r="B38" s="380"/>
      <c r="C38" s="381"/>
      <c r="D38" s="381"/>
      <c r="E38" s="381"/>
      <c r="F38" s="381"/>
      <c r="G38" s="381"/>
      <c r="H38" s="381"/>
      <c r="I38" s="381"/>
      <c r="J38" s="381"/>
      <c r="K38" s="381"/>
      <c r="L38" s="381"/>
      <c r="M38" s="382"/>
    </row>
  </sheetData>
  <mergeCells count="13">
    <mergeCell ref="D7:K7"/>
    <mergeCell ref="D9:K9"/>
    <mergeCell ref="D11:K11"/>
    <mergeCell ref="D32:K32"/>
    <mergeCell ref="D33:K33"/>
    <mergeCell ref="D34:K34"/>
    <mergeCell ref="D21:K22"/>
    <mergeCell ref="D13:K13"/>
    <mergeCell ref="D17:K20"/>
    <mergeCell ref="H26:K26"/>
    <mergeCell ref="E25:F25"/>
    <mergeCell ref="D26:G26"/>
    <mergeCell ref="D30:K30"/>
  </mergeCells>
  <pageMargins left="0.17" right="0.17" top="0.47" bottom="0.42" header="0.31496062992125984" footer="0.31496062992125984"/>
  <pageSetup scale="8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98"/>
  <sheetViews>
    <sheetView view="pageBreakPreview" topLeftCell="A79" zoomScale="55" zoomScaleNormal="70" zoomScaleSheetLayoutView="55" workbookViewId="0">
      <selection activeCell="A93" sqref="A93"/>
    </sheetView>
  </sheetViews>
  <sheetFormatPr defaultColWidth="21.77734375" defaultRowHeight="25.8" x14ac:dyDescent="0.5"/>
  <cols>
    <col min="1" max="1" width="68" style="2" customWidth="1"/>
    <col min="2" max="2" width="20.77734375" style="2" customWidth="1"/>
    <col min="3" max="5" width="21.44140625" style="2" bestFit="1" customWidth="1"/>
    <col min="6" max="6" width="23" style="2" bestFit="1" customWidth="1"/>
    <col min="7" max="16384" width="21.77734375" style="2"/>
  </cols>
  <sheetData>
    <row r="1" spans="1:15" x14ac:dyDescent="0.5">
      <c r="A1" s="324">
        <f>Assumptions.1!I4</f>
        <v>0</v>
      </c>
      <c r="B1" s="324"/>
      <c r="C1" s="324"/>
      <c r="D1" s="324"/>
      <c r="E1" s="324"/>
      <c r="F1" s="324"/>
    </row>
    <row r="2" spans="1:15" x14ac:dyDescent="0.5">
      <c r="A2" s="324">
        <f>Assumptions.1!I6</f>
        <v>0</v>
      </c>
      <c r="B2" s="324"/>
      <c r="C2" s="324"/>
      <c r="D2" s="324"/>
      <c r="E2" s="324"/>
      <c r="F2" s="324"/>
    </row>
    <row r="3" spans="1:15" ht="29.25" customHeight="1" x14ac:dyDescent="0.7">
      <c r="A3" s="324">
        <f>Assumptions.1!I7</f>
        <v>0</v>
      </c>
      <c r="B3" s="324"/>
      <c r="C3" s="324"/>
      <c r="D3" s="324"/>
      <c r="E3" s="324"/>
      <c r="F3" s="324"/>
      <c r="M3" s="329"/>
      <c r="N3" s="329"/>
      <c r="O3" s="329"/>
    </row>
    <row r="4" spans="1:15" ht="57" customHeight="1" x14ac:dyDescent="0.9">
      <c r="A4" s="337" t="s">
        <v>7</v>
      </c>
      <c r="B4" s="337"/>
      <c r="C4" s="337"/>
      <c r="D4" s="337"/>
      <c r="E4" s="337"/>
      <c r="F4" s="337"/>
      <c r="H4" s="119"/>
    </row>
    <row r="5" spans="1:15" ht="28.5" customHeight="1" x14ac:dyDescent="0.5">
      <c r="A5" s="326" t="s">
        <v>0</v>
      </c>
      <c r="B5" s="321" t="s">
        <v>37</v>
      </c>
      <c r="C5" s="76" t="str">
        <f>Assumptions.1!J17</f>
        <v xml:space="preserve">Audited </v>
      </c>
      <c r="D5" s="76" t="str">
        <f>Assumptions.1!J18</f>
        <v>Estimated</v>
      </c>
      <c r="E5" s="76" t="str">
        <f>Assumptions.1!J19</f>
        <v>Projected</v>
      </c>
      <c r="F5" s="76" t="str">
        <f>Assumptions.1!J20</f>
        <v>Projected</v>
      </c>
    </row>
    <row r="6" spans="1:15" ht="59.25" customHeight="1" thickBot="1" x14ac:dyDescent="0.55000000000000004">
      <c r="A6" s="332"/>
      <c r="B6" s="323"/>
      <c r="C6" s="57">
        <f>Assumptions.1!I17</f>
        <v>0</v>
      </c>
      <c r="D6" s="57">
        <f>Assumptions.1!I18</f>
        <v>0</v>
      </c>
      <c r="E6" s="57">
        <f>Assumptions.1!I19</f>
        <v>0</v>
      </c>
      <c r="F6" s="57">
        <f>Assumptions.1!I20</f>
        <v>0</v>
      </c>
      <c r="G6" s="3"/>
    </row>
    <row r="7" spans="1:15" s="3" customFormat="1" ht="26.4" thickTop="1" x14ac:dyDescent="0.5">
      <c r="E7" s="4"/>
    </row>
    <row r="8" spans="1:15" s="3" customFormat="1" ht="30.6" x14ac:dyDescent="0.55000000000000004">
      <c r="A8" s="5" t="s">
        <v>285</v>
      </c>
      <c r="D8" s="132"/>
      <c r="E8" s="132"/>
      <c r="F8" s="132"/>
    </row>
    <row r="9" spans="1:15" s="3" customFormat="1" x14ac:dyDescent="0.5">
      <c r="A9" s="5"/>
      <c r="D9" s="4"/>
      <c r="E9" s="4"/>
    </row>
    <row r="10" spans="1:15" s="3" customFormat="1" ht="33" customHeight="1" x14ac:dyDescent="0.5">
      <c r="A10" s="2" t="s">
        <v>286</v>
      </c>
      <c r="B10" s="10"/>
      <c r="C10" s="6">
        <f>wp!C11</f>
        <v>0</v>
      </c>
      <c r="D10" s="6" t="e">
        <f>ROUND(FinalWorkings!C9,-4)</f>
        <v>#DIV/0!</v>
      </c>
      <c r="E10" s="6" t="e">
        <f>ROUND(FinalWorkings!D9,-4)</f>
        <v>#DIV/0!</v>
      </c>
      <c r="F10" s="6" t="e">
        <f>ROUND(FinalWorkings!E9,-4)</f>
        <v>#DIV/0!</v>
      </c>
    </row>
    <row r="11" spans="1:15" s="3" customFormat="1" ht="33" customHeight="1" x14ac:dyDescent="0.5">
      <c r="A11" s="2"/>
      <c r="B11" s="2"/>
      <c r="C11" s="6"/>
      <c r="D11" s="6"/>
      <c r="E11" s="6"/>
      <c r="F11" s="6"/>
    </row>
    <row r="12" spans="1:15" ht="38.25" customHeight="1" x14ac:dyDescent="0.5">
      <c r="C12" s="7">
        <f>SUM(C10:C11)</f>
        <v>0</v>
      </c>
      <c r="D12" s="7" t="e">
        <f>SUM(D10:D11)</f>
        <v>#DIV/0!</v>
      </c>
      <c r="E12" s="3" t="e">
        <f>SUM(E10:E11)</f>
        <v>#DIV/0!</v>
      </c>
      <c r="F12" s="3" t="e">
        <f>SUM(F10:F11)</f>
        <v>#DIV/0!</v>
      </c>
    </row>
    <row r="14" spans="1:15" x14ac:dyDescent="0.5">
      <c r="A14" s="5" t="s">
        <v>6</v>
      </c>
    </row>
    <row r="15" spans="1:15" x14ac:dyDescent="0.5">
      <c r="A15" s="5"/>
    </row>
    <row r="16" spans="1:15" ht="35.25" customHeight="1" x14ac:dyDescent="0.5">
      <c r="A16" s="2" t="s">
        <v>1</v>
      </c>
      <c r="B16" s="1"/>
      <c r="C16" s="50">
        <f>wp!C17</f>
        <v>0</v>
      </c>
      <c r="D16" s="50">
        <f>wp!D17</f>
        <v>0</v>
      </c>
      <c r="E16" s="50">
        <f>wp!E17</f>
        <v>0</v>
      </c>
      <c r="F16" s="50">
        <f>wp!F17</f>
        <v>0</v>
      </c>
    </row>
    <row r="17" spans="1:22" ht="37.5" customHeight="1" x14ac:dyDescent="0.5">
      <c r="A17" s="2" t="s">
        <v>92</v>
      </c>
      <c r="B17" s="1"/>
      <c r="C17" s="50">
        <f>wp!C18</f>
        <v>10759250</v>
      </c>
      <c r="D17" s="48" t="e">
        <f>ROUND(FinalWorkings!C10,-4)</f>
        <v>#DIV/0!</v>
      </c>
      <c r="E17" s="48" t="e">
        <f>ROUND(FinalWorkings!D10,-4)</f>
        <v>#DIV/0!</v>
      </c>
      <c r="F17" s="48" t="e">
        <f>ROUND(FinalWorkings!E10,-4)</f>
        <v>#DIV/0!</v>
      </c>
      <c r="L17"/>
      <c r="T17" s="6"/>
    </row>
    <row r="18" spans="1:22" ht="36" customHeight="1" x14ac:dyDescent="0.5">
      <c r="A18" s="2" t="s">
        <v>281</v>
      </c>
      <c r="B18" s="1"/>
      <c r="C18" s="50">
        <f>wp!C19</f>
        <v>0</v>
      </c>
      <c r="D18" s="50">
        <f>ROUND(FinalWorkings!C11,-3)</f>
        <v>0</v>
      </c>
      <c r="E18" s="50">
        <f>ROUND(FinalWorkings!D11,-3)</f>
        <v>0</v>
      </c>
      <c r="F18" s="50">
        <f>ROUND(FinalWorkings!E11,-3)</f>
        <v>0</v>
      </c>
    </row>
    <row r="19" spans="1:22" ht="39.75" customHeight="1" x14ac:dyDescent="0.5">
      <c r="A19" s="3" t="s">
        <v>67</v>
      </c>
      <c r="C19" s="3">
        <f>C16+C17-C18</f>
        <v>10759250</v>
      </c>
      <c r="D19" s="7" t="e">
        <f>D16+D17-D18</f>
        <v>#DIV/0!</v>
      </c>
      <c r="E19" s="7" t="e">
        <f>E16+E17-E18</f>
        <v>#DIV/0!</v>
      </c>
      <c r="F19" s="7" t="e">
        <f>F16+F17-F18</f>
        <v>#DIV/0!</v>
      </c>
    </row>
    <row r="20" spans="1:22" ht="46.5" customHeight="1" x14ac:dyDescent="0.5">
      <c r="A20" s="5"/>
      <c r="C20" s="3"/>
      <c r="D20" s="6"/>
    </row>
    <row r="21" spans="1:22" s="3" customFormat="1" ht="55.5" customHeight="1" x14ac:dyDescent="0.5">
      <c r="A21" s="5" t="s">
        <v>175</v>
      </c>
      <c r="C21" s="7">
        <f>C12-C19</f>
        <v>-10759250</v>
      </c>
      <c r="D21" s="7" t="e">
        <f>D12-D19</f>
        <v>#DIV/0!</v>
      </c>
      <c r="E21" s="7" t="e">
        <f>E12-E19</f>
        <v>#DIV/0!</v>
      </c>
      <c r="F21" s="7" t="e">
        <f>F12-F19</f>
        <v>#DIV/0!</v>
      </c>
      <c r="H21" s="69"/>
      <c r="I21" s="69"/>
      <c r="J21" s="69"/>
      <c r="K21" s="69"/>
      <c r="L21" s="69"/>
    </row>
    <row r="22" spans="1:22" s="3" customFormat="1" ht="40.5" customHeight="1" x14ac:dyDescent="0.5">
      <c r="A22" s="5"/>
    </row>
    <row r="23" spans="1:22" s="3" customFormat="1" ht="40.5" customHeight="1" x14ac:dyDescent="0.5">
      <c r="A23" s="2" t="s">
        <v>176</v>
      </c>
      <c r="B23" s="10"/>
      <c r="C23" s="7">
        <f>wp!C24</f>
        <v>0</v>
      </c>
      <c r="D23" s="7">
        <f>ROUND(FinalWorkings!C12,-3)</f>
        <v>0</v>
      </c>
      <c r="E23" s="7">
        <f>ROUND(FinalWorkings!D12,-3)</f>
        <v>0</v>
      </c>
      <c r="F23" s="7">
        <f>ROUND(FinalWorkings!E12,-3)</f>
        <v>0</v>
      </c>
    </row>
    <row r="24" spans="1:22" s="3" customFormat="1" ht="40.5" customHeight="1" x14ac:dyDescent="0.5">
      <c r="A24" s="2"/>
      <c r="C24" s="7"/>
      <c r="D24" s="7"/>
      <c r="E24" s="7"/>
      <c r="F24" s="7"/>
      <c r="V24"/>
    </row>
    <row r="25" spans="1:22" ht="43.5" customHeight="1" x14ac:dyDescent="0.5">
      <c r="A25" s="2" t="s">
        <v>230</v>
      </c>
      <c r="B25" s="11" t="s">
        <v>36</v>
      </c>
      <c r="C25" s="2">
        <f>C87</f>
        <v>-10759250</v>
      </c>
      <c r="D25" s="6" t="e">
        <f>D87</f>
        <v>#DIV/0!</v>
      </c>
      <c r="E25" s="6" t="e">
        <f>E87</f>
        <v>#DIV/0!</v>
      </c>
      <c r="F25" s="6" t="e">
        <f>F87</f>
        <v>#DIV/0!</v>
      </c>
      <c r="H25" s="73"/>
      <c r="I25" s="73"/>
      <c r="J25" s="73"/>
      <c r="K25" s="73"/>
      <c r="L25" s="73"/>
    </row>
    <row r="26" spans="1:22" ht="43.5" customHeight="1" x14ac:dyDescent="0.5">
      <c r="B26" s="11"/>
      <c r="H26" s="70"/>
      <c r="I26" s="70"/>
      <c r="J26" s="70"/>
      <c r="K26" s="70"/>
      <c r="L26" s="70"/>
    </row>
    <row r="27" spans="1:22" ht="43.5" customHeight="1" x14ac:dyDescent="0.5">
      <c r="A27" s="5" t="s">
        <v>177</v>
      </c>
      <c r="B27" s="11"/>
      <c r="C27" s="15">
        <f>C21+C23-C25</f>
        <v>0</v>
      </c>
      <c r="D27" s="15" t="e">
        <f>D21+D23-D25</f>
        <v>#DIV/0!</v>
      </c>
      <c r="E27" s="15" t="e">
        <f>E21+E23-E25</f>
        <v>#DIV/0!</v>
      </c>
      <c r="F27" s="15" t="e">
        <f>F21+F23-F25</f>
        <v>#DIV/0!</v>
      </c>
      <c r="H27" s="70"/>
      <c r="I27" s="70"/>
      <c r="J27" s="70"/>
      <c r="K27" s="70"/>
      <c r="L27" s="70"/>
    </row>
    <row r="28" spans="1:22" ht="31.5" customHeight="1" x14ac:dyDescent="0.5">
      <c r="A28" s="3"/>
      <c r="B28" s="11"/>
      <c r="H28" s="73"/>
      <c r="I28" s="73"/>
      <c r="J28" s="73"/>
      <c r="K28" s="73"/>
      <c r="L28" s="73"/>
    </row>
    <row r="29" spans="1:22" ht="43.5" customHeight="1" x14ac:dyDescent="0.5">
      <c r="A29" s="2" t="s">
        <v>178</v>
      </c>
      <c r="B29" s="11"/>
      <c r="C29" s="6">
        <f>wp!C30</f>
        <v>0</v>
      </c>
      <c r="D29" s="6">
        <f>wp!D30</f>
        <v>0</v>
      </c>
      <c r="E29" s="6">
        <f>wp!E30</f>
        <v>0</v>
      </c>
      <c r="F29" s="6">
        <f>wp!F30</f>
        <v>0</v>
      </c>
      <c r="H29" s="70"/>
      <c r="I29" s="70"/>
      <c r="J29" s="70"/>
      <c r="K29" s="70"/>
      <c r="L29" s="70"/>
    </row>
    <row r="30" spans="1:22" ht="43.5" customHeight="1" x14ac:dyDescent="0.5">
      <c r="B30" s="11"/>
      <c r="C30" s="6"/>
      <c r="D30" s="6"/>
      <c r="E30" s="6"/>
      <c r="F30" s="6"/>
      <c r="H30" s="70"/>
      <c r="I30" s="70"/>
      <c r="J30" s="70"/>
      <c r="K30" s="70"/>
      <c r="L30" s="70"/>
    </row>
    <row r="31" spans="1:22" s="16" customFormat="1" ht="40.5" customHeight="1" x14ac:dyDescent="0.5">
      <c r="A31" s="5" t="s">
        <v>179</v>
      </c>
      <c r="C31" s="15">
        <f>C27-C29</f>
        <v>0</v>
      </c>
      <c r="D31" s="15" t="e">
        <f>D27-D29</f>
        <v>#DIV/0!</v>
      </c>
      <c r="E31" s="15" t="e">
        <f>E27-E29</f>
        <v>#DIV/0!</v>
      </c>
      <c r="F31" s="15" t="e">
        <f>F27-F29</f>
        <v>#DIV/0!</v>
      </c>
      <c r="H31" s="71"/>
      <c r="I31" s="71"/>
      <c r="J31" s="71"/>
      <c r="K31" s="71"/>
      <c r="L31" s="71"/>
    </row>
    <row r="32" spans="1:22" ht="31.5" customHeight="1" x14ac:dyDescent="0.5">
      <c r="A32" s="3"/>
      <c r="D32" s="6"/>
      <c r="E32" s="6"/>
      <c r="F32" s="6"/>
      <c r="H32" s="70"/>
      <c r="I32" s="70"/>
      <c r="J32" s="70"/>
      <c r="K32" s="70"/>
      <c r="L32" s="70"/>
    </row>
    <row r="33" spans="1:18" ht="40.5" customHeight="1" x14ac:dyDescent="0.5">
      <c r="A33" s="2" t="s">
        <v>180</v>
      </c>
      <c r="B33" s="11" t="s">
        <v>40</v>
      </c>
      <c r="C33" s="6">
        <f>C96</f>
        <v>0</v>
      </c>
      <c r="D33" s="6" t="e">
        <f>D96</f>
        <v>#DIV/0!</v>
      </c>
      <c r="E33" s="6" t="e">
        <f>E96</f>
        <v>#DIV/0!</v>
      </c>
      <c r="F33" s="6" t="e">
        <f>F96</f>
        <v>#DIV/0!</v>
      </c>
      <c r="H33" s="70"/>
      <c r="I33" s="70"/>
      <c r="J33" s="70"/>
      <c r="K33" s="70"/>
      <c r="L33" s="70"/>
    </row>
    <row r="34" spans="1:18" x14ac:dyDescent="0.5">
      <c r="H34" s="70"/>
      <c r="I34" s="70"/>
      <c r="J34" s="70"/>
      <c r="K34" s="70"/>
      <c r="L34" s="70"/>
    </row>
    <row r="35" spans="1:18" s="3" customFormat="1" ht="48" customHeight="1" x14ac:dyDescent="0.5">
      <c r="A35" s="8" t="s">
        <v>181</v>
      </c>
      <c r="B35" s="9"/>
      <c r="C35" s="14">
        <f>C31-C33</f>
        <v>0</v>
      </c>
      <c r="D35" s="14" t="e">
        <f>D31-D33</f>
        <v>#DIV/0!</v>
      </c>
      <c r="E35" s="14" t="e">
        <f>E31-E33</f>
        <v>#DIV/0!</v>
      </c>
      <c r="F35" s="14" t="e">
        <f>F31-F33</f>
        <v>#DIV/0!</v>
      </c>
      <c r="H35" s="72"/>
      <c r="I35" s="72"/>
      <c r="J35" s="72"/>
      <c r="K35" s="72"/>
      <c r="L35" s="72"/>
    </row>
    <row r="36" spans="1:18" s="3" customFormat="1" ht="35.25" customHeight="1" x14ac:dyDescent="0.5">
      <c r="A36" s="8"/>
      <c r="B36" s="9"/>
    </row>
    <row r="37" spans="1:18" ht="26.4" thickBot="1" x14ac:dyDescent="0.55000000000000004">
      <c r="A37" s="12"/>
      <c r="B37" s="12"/>
      <c r="C37" s="12"/>
      <c r="D37" s="12"/>
      <c r="E37" s="12"/>
      <c r="F37" s="12"/>
    </row>
    <row r="38" spans="1:18" x14ac:dyDescent="0.5">
      <c r="C38" s="113"/>
      <c r="D38" s="113"/>
      <c r="E38" s="113"/>
      <c r="F38" s="113"/>
    </row>
    <row r="39" spans="1:18" ht="35.25" customHeight="1" x14ac:dyDescent="0.5">
      <c r="A39" s="324">
        <f>A1</f>
        <v>0</v>
      </c>
      <c r="B39" s="324"/>
      <c r="C39" s="324"/>
      <c r="D39" s="324"/>
      <c r="E39" s="324"/>
      <c r="F39" s="324"/>
    </row>
    <row r="40" spans="1:18" ht="39" customHeight="1" x14ac:dyDescent="0.5">
      <c r="A40" s="324">
        <f>A2</f>
        <v>0</v>
      </c>
      <c r="B40" s="324"/>
      <c r="C40" s="324"/>
      <c r="D40" s="324"/>
      <c r="E40" s="324"/>
      <c r="F40" s="324"/>
    </row>
    <row r="41" spans="1:18" ht="44.25" customHeight="1" x14ac:dyDescent="0.5">
      <c r="A41" s="324">
        <f>A3</f>
        <v>0</v>
      </c>
      <c r="B41" s="324"/>
      <c r="C41" s="324"/>
      <c r="D41" s="324"/>
      <c r="E41" s="324"/>
      <c r="F41" s="324"/>
    </row>
    <row r="42" spans="1:18" ht="44.25" customHeight="1" x14ac:dyDescent="0.7">
      <c r="A42" s="1"/>
      <c r="B42" s="1"/>
      <c r="C42" s="1"/>
      <c r="D42" s="1"/>
      <c r="E42" s="1"/>
      <c r="F42" s="1"/>
      <c r="N42" s="93"/>
    </row>
    <row r="43" spans="1:18" ht="48.75" customHeight="1" x14ac:dyDescent="0.9">
      <c r="A43" s="337" t="s">
        <v>10</v>
      </c>
      <c r="B43" s="337"/>
      <c r="C43" s="337"/>
      <c r="D43" s="337"/>
      <c r="E43" s="337"/>
      <c r="F43" s="337"/>
      <c r="H43" s="119"/>
    </row>
    <row r="44" spans="1:18" ht="30.75" customHeight="1" x14ac:dyDescent="0.5">
      <c r="A44" s="321" t="s">
        <v>23</v>
      </c>
      <c r="B44" s="321" t="s">
        <v>37</v>
      </c>
      <c r="C44" s="76" t="str">
        <f t="shared" ref="C44:F45" si="0">C5</f>
        <v xml:space="preserve">Audited </v>
      </c>
      <c r="D44" s="76" t="str">
        <f t="shared" si="0"/>
        <v>Estimated</v>
      </c>
      <c r="E44" s="76" t="str">
        <f t="shared" si="0"/>
        <v>Projected</v>
      </c>
      <c r="F44" s="76" t="str">
        <f t="shared" si="0"/>
        <v>Projected</v>
      </c>
    </row>
    <row r="45" spans="1:18" ht="30.75" customHeight="1" x14ac:dyDescent="0.5">
      <c r="A45" s="322"/>
      <c r="B45" s="322"/>
      <c r="C45" s="112">
        <f t="shared" si="0"/>
        <v>0</v>
      </c>
      <c r="D45" s="112">
        <f t="shared" si="0"/>
        <v>0</v>
      </c>
      <c r="E45" s="112">
        <f t="shared" si="0"/>
        <v>0</v>
      </c>
      <c r="F45" s="112">
        <f t="shared" si="0"/>
        <v>0</v>
      </c>
    </row>
    <row r="46" spans="1:18" ht="40.5" customHeight="1" thickBot="1" x14ac:dyDescent="0.55000000000000004">
      <c r="A46" s="323"/>
      <c r="B46" s="323"/>
      <c r="C46" s="57"/>
      <c r="D46" s="57"/>
      <c r="E46" s="57"/>
      <c r="F46" s="57"/>
      <c r="R46"/>
    </row>
    <row r="47" spans="1:18" ht="33.75" customHeight="1" thickTop="1" x14ac:dyDescent="0.5">
      <c r="A47" s="44" t="s">
        <v>8</v>
      </c>
    </row>
    <row r="48" spans="1:18" ht="30.6" x14ac:dyDescent="0.55000000000000004">
      <c r="D48" s="132"/>
      <c r="E48" s="132"/>
      <c r="F48" s="132"/>
    </row>
    <row r="49" spans="1:10" ht="42.75" customHeight="1" x14ac:dyDescent="0.5">
      <c r="A49" s="2" t="s">
        <v>287</v>
      </c>
      <c r="B49" s="10"/>
      <c r="C49" s="6">
        <f>C58-SUM(C52:C57)</f>
        <v>0</v>
      </c>
      <c r="D49" s="6" t="e">
        <f>D58-SUM(D52:D57)</f>
        <v>#DIV/0!</v>
      </c>
      <c r="E49" s="6" t="e">
        <f>E58-SUM(E52:E57)</f>
        <v>#DIV/0!</v>
      </c>
      <c r="F49" s="6" t="e">
        <f>F58-SUM(F52:F57)</f>
        <v>#DIV/0!</v>
      </c>
      <c r="G49" s="6"/>
      <c r="H49" s="6"/>
    </row>
    <row r="50" spans="1:10" ht="42.75" customHeight="1" x14ac:dyDescent="0.5">
      <c r="A50" s="56" t="s">
        <v>77</v>
      </c>
      <c r="B50" s="10"/>
      <c r="J50"/>
    </row>
    <row r="51" spans="1:10" ht="42.75" customHeight="1" x14ac:dyDescent="0.5">
      <c r="A51" s="3" t="s">
        <v>75</v>
      </c>
      <c r="B51" s="10"/>
    </row>
    <row r="52" spans="1:10" ht="39" customHeight="1" x14ac:dyDescent="0.5">
      <c r="A52" s="2" t="s">
        <v>130</v>
      </c>
      <c r="B52" s="10"/>
      <c r="C52" s="50">
        <f>wp!C50</f>
        <v>0</v>
      </c>
      <c r="D52" s="48">
        <f>ROUND(FinalWorkings!C22,-4)</f>
        <v>0</v>
      </c>
      <c r="E52" s="48">
        <f>ROUND(FinalWorkings!D22,-4)</f>
        <v>0</v>
      </c>
      <c r="F52" s="48">
        <f>ROUND(FinalWorkings!E22,-4)</f>
        <v>0</v>
      </c>
      <c r="G52" s="50"/>
    </row>
    <row r="53" spans="1:10" ht="42.75" customHeight="1" x14ac:dyDescent="0.5">
      <c r="B53" s="10"/>
      <c r="C53" s="48"/>
      <c r="D53" s="48"/>
      <c r="E53" s="48"/>
      <c r="F53" s="48"/>
    </row>
    <row r="54" spans="1:10" ht="42.75" customHeight="1" x14ac:dyDescent="0.5">
      <c r="A54" s="3" t="s">
        <v>81</v>
      </c>
      <c r="B54" s="1"/>
    </row>
    <row r="55" spans="1:10" ht="42.75" customHeight="1" x14ac:dyDescent="0.5">
      <c r="A55" s="2" t="s">
        <v>137</v>
      </c>
      <c r="B55" s="10"/>
      <c r="C55" s="48">
        <f>wp!C54</f>
        <v>0</v>
      </c>
      <c r="D55" s="48" t="e">
        <f>wp!D54</f>
        <v>#DIV/0!</v>
      </c>
      <c r="E55" s="48" t="e">
        <f>wp!E54</f>
        <v>#DIV/0!</v>
      </c>
      <c r="F55" s="48" t="e">
        <f>wp!F54</f>
        <v>#DIV/0!</v>
      </c>
      <c r="G55" s="48"/>
    </row>
    <row r="56" spans="1:10" ht="51" customHeight="1" x14ac:dyDescent="0.5">
      <c r="A56" s="2" t="s">
        <v>132</v>
      </c>
      <c r="B56" s="10"/>
      <c r="C56" s="48">
        <f>wp!C55</f>
        <v>0</v>
      </c>
      <c r="D56" s="48">
        <f>ROUND(FinalWorkings!C23,-4)</f>
        <v>0</v>
      </c>
      <c r="E56" s="48">
        <f>ROUND(FinalWorkings!D23,-4)</f>
        <v>0</v>
      </c>
      <c r="F56" s="48">
        <f>ROUND(FinalWorkings!E23,-4)</f>
        <v>0</v>
      </c>
    </row>
    <row r="57" spans="1:10" ht="45" customHeight="1" x14ac:dyDescent="0.5">
      <c r="B57" s="10"/>
      <c r="C57" s="6"/>
      <c r="D57" s="6"/>
      <c r="E57" s="6"/>
      <c r="F57" s="6"/>
    </row>
    <row r="58" spans="1:10" ht="47.25" customHeight="1" thickBot="1" x14ac:dyDescent="0.55000000000000004">
      <c r="C58" s="13">
        <f>C72</f>
        <v>0</v>
      </c>
      <c r="D58" s="13" t="e">
        <f>D72</f>
        <v>#DIV/0!</v>
      </c>
      <c r="E58" s="13" t="e">
        <f>E72</f>
        <v>#DIV/0!</v>
      </c>
      <c r="F58" s="13" t="e">
        <f>F72</f>
        <v>#DIV/0!</v>
      </c>
    </row>
    <row r="59" spans="1:10" ht="26.4" thickTop="1" x14ac:dyDescent="0.5">
      <c r="C59" s="67"/>
      <c r="D59" s="67"/>
      <c r="E59" s="67"/>
      <c r="F59" s="67"/>
    </row>
    <row r="60" spans="1:10" ht="36.75" customHeight="1" x14ac:dyDescent="0.5">
      <c r="A60" s="44" t="s">
        <v>9</v>
      </c>
    </row>
    <row r="61" spans="1:10" ht="36.75" customHeight="1" x14ac:dyDescent="0.5">
      <c r="A61" s="5"/>
    </row>
    <row r="62" spans="1:10" ht="36.75" customHeight="1" x14ac:dyDescent="0.5">
      <c r="A62" s="3" t="s">
        <v>78</v>
      </c>
      <c r="C62" s="6">
        <f>Assumptions.1!I37</f>
        <v>0</v>
      </c>
      <c r="D62" s="6">
        <f>wp!D63</f>
        <v>0</v>
      </c>
      <c r="E62" s="6">
        <f>wp!E63</f>
        <v>0</v>
      </c>
      <c r="F62" s="6">
        <f>wp!F63</f>
        <v>0</v>
      </c>
      <c r="G62" s="6"/>
    </row>
    <row r="63" spans="1:10" ht="31.5" customHeight="1" x14ac:dyDescent="0.5">
      <c r="C63" s="6"/>
      <c r="D63" s="6"/>
      <c r="E63" s="6"/>
      <c r="F63" s="6"/>
    </row>
    <row r="64" spans="1:10" ht="31.5" customHeight="1" x14ac:dyDescent="0.5">
      <c r="A64" s="3" t="s">
        <v>133</v>
      </c>
      <c r="B64" s="10"/>
      <c r="C64" s="6">
        <f>wp!C65</f>
        <v>0</v>
      </c>
      <c r="D64" s="6">
        <f>ROUND(FinalWorkings!C24,-4)</f>
        <v>0</v>
      </c>
      <c r="E64" s="6">
        <f>ROUND(FinalWorkings!D24,-4)</f>
        <v>0</v>
      </c>
      <c r="F64" s="6">
        <f>ROUND(FinalWorkings!E24,-4)</f>
        <v>0</v>
      </c>
    </row>
    <row r="65" spans="1:14" ht="31.5" customHeight="1" x14ac:dyDescent="0.5">
      <c r="B65" s="10"/>
      <c r="C65" s="6"/>
      <c r="D65" s="6"/>
      <c r="E65" s="6"/>
      <c r="F65" s="6"/>
    </row>
    <row r="66" spans="1:14" ht="42.75" customHeight="1" x14ac:dyDescent="0.5">
      <c r="A66" s="3" t="s">
        <v>79</v>
      </c>
      <c r="B66" s="10"/>
      <c r="C66" s="6"/>
      <c r="D66" s="6"/>
      <c r="E66" s="6"/>
      <c r="F66" s="6"/>
    </row>
    <row r="67" spans="1:14" ht="42.75" customHeight="1" x14ac:dyDescent="0.5">
      <c r="A67" s="2" t="s">
        <v>134</v>
      </c>
      <c r="B67" s="10"/>
      <c r="C67" s="6">
        <f>wp!C68</f>
        <v>0</v>
      </c>
      <c r="D67" s="6">
        <f>ROUND(FinalWorkings!C25,-4)</f>
        <v>0</v>
      </c>
      <c r="E67" s="6">
        <f>ROUND(FinalWorkings!D25,-4)</f>
        <v>0</v>
      </c>
      <c r="F67" s="6">
        <f>ROUND(FinalWorkings!E25,-4)</f>
        <v>0</v>
      </c>
    </row>
    <row r="68" spans="1:14" ht="42.75" customHeight="1" x14ac:dyDescent="0.5">
      <c r="A68" s="2" t="str">
        <f>A18</f>
        <v>Closing Stock / WIP</v>
      </c>
      <c r="B68" s="10"/>
      <c r="C68" s="6">
        <f>wp!C69</f>
        <v>0</v>
      </c>
      <c r="D68" s="6">
        <f>D18</f>
        <v>0</v>
      </c>
      <c r="E68" s="6">
        <f t="shared" ref="E68:F68" si="1">E18</f>
        <v>0</v>
      </c>
      <c r="F68" s="6">
        <f t="shared" si="1"/>
        <v>0</v>
      </c>
    </row>
    <row r="69" spans="1:14" ht="44.25" customHeight="1" x14ac:dyDescent="0.5">
      <c r="A69" s="2" t="s">
        <v>4</v>
      </c>
      <c r="B69" s="10"/>
      <c r="C69" s="6">
        <f>wp!C70</f>
        <v>0</v>
      </c>
      <c r="D69" s="6" t="e">
        <f>ROUND(FinalWorkings!C26,-4)</f>
        <v>#DIV/0!</v>
      </c>
      <c r="E69" s="6" t="e">
        <f>ROUND(FinalWorkings!D26,-4)</f>
        <v>#DIV/0!</v>
      </c>
      <c r="F69" s="6" t="e">
        <f>ROUND(FinalWorkings!E26,-4)</f>
        <v>#DIV/0!</v>
      </c>
      <c r="G69" s="6"/>
    </row>
    <row r="70" spans="1:14" ht="39" customHeight="1" x14ac:dyDescent="0.5">
      <c r="A70" s="2" t="s">
        <v>66</v>
      </c>
      <c r="B70" s="10"/>
      <c r="C70" s="6">
        <f>wp!C71</f>
        <v>0</v>
      </c>
      <c r="D70" s="6" t="e">
        <f>ROUND(FinalWorkings!C27,-4)</f>
        <v>#DIV/0!</v>
      </c>
      <c r="E70" s="6" t="e">
        <f>ROUND(FinalWorkings!D27,-4)</f>
        <v>#DIV/0!</v>
      </c>
      <c r="F70" s="6" t="e">
        <f>ROUND(FinalWorkings!E27,-4)</f>
        <v>#DIV/0!</v>
      </c>
    </row>
    <row r="71" spans="1:14" ht="39" customHeight="1" x14ac:dyDescent="0.5">
      <c r="B71" s="10"/>
      <c r="C71" s="6"/>
      <c r="D71" s="6"/>
      <c r="E71" s="6"/>
      <c r="F71" s="6"/>
    </row>
    <row r="72" spans="1:14" ht="53.25" customHeight="1" thickBot="1" x14ac:dyDescent="0.55000000000000004">
      <c r="C72" s="13">
        <f>SUM(C62:C71)</f>
        <v>0</v>
      </c>
      <c r="D72" s="13" t="e">
        <f>SUM(D62:D71)</f>
        <v>#DIV/0!</v>
      </c>
      <c r="E72" s="13" t="e">
        <f>SUM(E62:E71)</f>
        <v>#DIV/0!</v>
      </c>
      <c r="F72" s="13" t="e">
        <f>SUM(F62:F71)</f>
        <v>#DIV/0!</v>
      </c>
    </row>
    <row r="73" spans="1:14" ht="30.75" customHeight="1" thickTop="1" x14ac:dyDescent="0.5">
      <c r="C73" s="7"/>
      <c r="D73" s="7"/>
      <c r="E73" s="7"/>
      <c r="F73" s="7"/>
    </row>
    <row r="74" spans="1:14" ht="30.75" customHeight="1" thickBot="1" x14ac:dyDescent="0.55000000000000004">
      <c r="A74" s="12"/>
      <c r="B74" s="12"/>
      <c r="C74" s="133"/>
      <c r="D74" s="133"/>
      <c r="E74" s="133"/>
      <c r="F74" s="133"/>
    </row>
    <row r="75" spans="1:14" ht="51.75" customHeight="1" x14ac:dyDescent="0.55000000000000004">
      <c r="C75" s="7"/>
      <c r="D75" s="7"/>
      <c r="E75" s="7"/>
      <c r="F75" s="7"/>
      <c r="H75" s="130"/>
      <c r="I75" s="130"/>
      <c r="J75" s="130"/>
      <c r="K75" s="130"/>
      <c r="L75" s="130"/>
      <c r="M75" s="130"/>
      <c r="N75" s="131"/>
    </row>
    <row r="76" spans="1:14" ht="30" customHeight="1" x14ac:dyDescent="0.55000000000000004">
      <c r="A76" s="337" t="s">
        <v>38</v>
      </c>
      <c r="B76" s="337"/>
      <c r="C76" s="337"/>
      <c r="D76" s="337"/>
      <c r="E76" s="337"/>
      <c r="F76" s="337"/>
      <c r="H76" s="130"/>
      <c r="I76" s="130"/>
      <c r="J76" s="130"/>
      <c r="K76" s="130"/>
      <c r="L76" s="130"/>
      <c r="M76" s="130"/>
      <c r="N76" s="131"/>
    </row>
    <row r="77" spans="1:14" ht="95.25" customHeight="1" thickBot="1" x14ac:dyDescent="0.55000000000000004">
      <c r="A77" s="58"/>
      <c r="B77" s="58"/>
      <c r="C77" s="59">
        <f>C45</f>
        <v>0</v>
      </c>
      <c r="D77" s="59">
        <f>D45</f>
        <v>0</v>
      </c>
      <c r="E77" s="59">
        <f>E45</f>
        <v>0</v>
      </c>
      <c r="F77" s="59">
        <f>F45</f>
        <v>0</v>
      </c>
    </row>
    <row r="78" spans="1:14" ht="26.4" thickTop="1" x14ac:dyDescent="0.5"/>
    <row r="79" spans="1:14" x14ac:dyDescent="0.5">
      <c r="A79" s="2" t="s">
        <v>69</v>
      </c>
      <c r="B79" s="10"/>
      <c r="C79" s="6">
        <f>wp!C81</f>
        <v>0</v>
      </c>
      <c r="D79" s="6" t="e">
        <f>ROUND(FinalWorkings!C13,-4)</f>
        <v>#DIV/0!</v>
      </c>
      <c r="E79" s="6" t="e">
        <f>ROUND(FinalWorkings!D13,-4)</f>
        <v>#DIV/0!</v>
      </c>
      <c r="F79" s="6" t="e">
        <f>ROUND(FinalWorkings!E13,-4)</f>
        <v>#DIV/0!</v>
      </c>
      <c r="G79" s="6"/>
    </row>
    <row r="80" spans="1:14" x14ac:dyDescent="0.5">
      <c r="A80" s="2" t="s">
        <v>156</v>
      </c>
      <c r="B80" s="10"/>
      <c r="C80" s="6">
        <f>wp!C82</f>
        <v>0</v>
      </c>
      <c r="D80" s="6">
        <f>ROUND(FinalWorkings!C14,-4)</f>
        <v>0</v>
      </c>
      <c r="E80" s="6">
        <f>ROUND(FinalWorkings!D14,-4)</f>
        <v>0</v>
      </c>
      <c r="F80" s="6">
        <f>ROUND(FinalWorkings!E14,-4)</f>
        <v>0</v>
      </c>
      <c r="G80" s="6"/>
    </row>
    <row r="81" spans="1:12" ht="35.25" customHeight="1" x14ac:dyDescent="0.5">
      <c r="A81" s="2" t="s">
        <v>70</v>
      </c>
      <c r="B81" s="10"/>
      <c r="C81" s="6">
        <f>wp!C83</f>
        <v>0</v>
      </c>
      <c r="D81" s="6" t="e">
        <f>ROUND(FinalWorkings!C15,-4)</f>
        <v>#DIV/0!</v>
      </c>
      <c r="E81" s="6" t="e">
        <f>ROUND(FinalWorkings!D15,-4)</f>
        <v>#DIV/0!</v>
      </c>
      <c r="F81" s="6" t="e">
        <f>ROUND(FinalWorkings!E15,-4)</f>
        <v>#DIV/0!</v>
      </c>
      <c r="I81" s="6"/>
      <c r="J81" s="6"/>
      <c r="K81" s="6"/>
      <c r="L81" s="6"/>
    </row>
    <row r="82" spans="1:12" ht="35.25" customHeight="1" x14ac:dyDescent="0.5">
      <c r="A82" s="2" t="s">
        <v>74</v>
      </c>
      <c r="B82" s="10"/>
      <c r="C82" s="6">
        <f>wp!C84</f>
        <v>0</v>
      </c>
      <c r="D82" s="6">
        <f>wp!D84</f>
        <v>0</v>
      </c>
      <c r="E82" s="6">
        <f>wp!E84</f>
        <v>0</v>
      </c>
      <c r="F82" s="6">
        <f>wp!F84</f>
        <v>0</v>
      </c>
      <c r="I82" s="6"/>
      <c r="J82" s="6"/>
      <c r="K82" s="6"/>
      <c r="L82" s="6"/>
    </row>
    <row r="83" spans="1:12" ht="41.25" customHeight="1" x14ac:dyDescent="0.5">
      <c r="A83" s="2" t="s">
        <v>282</v>
      </c>
      <c r="B83" s="10"/>
      <c r="C83" s="6">
        <f>wp!C85</f>
        <v>-10759250</v>
      </c>
      <c r="D83" s="6" t="e">
        <f>ROUND(FinalWorkings!C16,-4)</f>
        <v>#DIV/0!</v>
      </c>
      <c r="E83" s="6" t="e">
        <f>ROUND(FinalWorkings!D16,-4)</f>
        <v>#DIV/0!</v>
      </c>
      <c r="F83" s="6" t="e">
        <f>ROUND(FinalWorkings!E16,-4)</f>
        <v>#DIV/0!</v>
      </c>
      <c r="I83" s="74"/>
      <c r="J83" s="74"/>
      <c r="K83" s="74"/>
    </row>
    <row r="84" spans="1:12" ht="27.75" customHeight="1" x14ac:dyDescent="0.5">
      <c r="D84" s="6"/>
      <c r="E84" s="6"/>
      <c r="F84" s="6"/>
    </row>
    <row r="85" spans="1:12" ht="27.75" customHeight="1" x14ac:dyDescent="0.5">
      <c r="E85" s="6"/>
      <c r="F85" s="6"/>
    </row>
    <row r="87" spans="1:12" ht="50.25" customHeight="1" x14ac:dyDescent="0.5">
      <c r="C87" s="52">
        <f>SUM(C79:C86)</f>
        <v>-10759250</v>
      </c>
      <c r="D87" s="52" t="e">
        <f>SUM(D79:D86)</f>
        <v>#DIV/0!</v>
      </c>
      <c r="E87" s="52" t="e">
        <f>SUM(E79:E86)</f>
        <v>#DIV/0!</v>
      </c>
      <c r="F87" s="52" t="e">
        <f>SUM(F79:F86)</f>
        <v>#DIV/0!</v>
      </c>
    </row>
    <row r="88" spans="1:12" ht="32.25" customHeight="1" x14ac:dyDescent="0.5">
      <c r="C88" s="3"/>
      <c r="D88" s="7"/>
      <c r="E88" s="7"/>
      <c r="F88" s="7"/>
    </row>
    <row r="89" spans="1:12" ht="40.5" customHeight="1" x14ac:dyDescent="0.5">
      <c r="A89" s="337" t="s">
        <v>39</v>
      </c>
      <c r="B89" s="337"/>
      <c r="C89" s="337"/>
      <c r="D89" s="337"/>
      <c r="E89" s="337"/>
      <c r="F89" s="337"/>
    </row>
    <row r="90" spans="1:12" ht="98.25" customHeight="1" thickBot="1" x14ac:dyDescent="0.55000000000000004">
      <c r="A90" s="58"/>
      <c r="B90" s="58"/>
      <c r="C90" s="59">
        <f>C77</f>
        <v>0</v>
      </c>
      <c r="D90" s="59">
        <f>D77</f>
        <v>0</v>
      </c>
      <c r="E90" s="59">
        <f>E77</f>
        <v>0</v>
      </c>
      <c r="F90" s="59">
        <f>F77</f>
        <v>0</v>
      </c>
    </row>
    <row r="91" spans="1:12" ht="32.25" customHeight="1" thickTop="1" x14ac:dyDescent="0.5">
      <c r="C91" s="4"/>
      <c r="D91" s="4"/>
      <c r="E91" s="4"/>
      <c r="F91" s="4"/>
    </row>
    <row r="92" spans="1:12" ht="33" customHeight="1" x14ac:dyDescent="0.5">
      <c r="A92" s="2" t="s">
        <v>198</v>
      </c>
      <c r="B92" s="10"/>
      <c r="C92" s="48">
        <f>wp!C95</f>
        <v>0</v>
      </c>
      <c r="D92" s="48" t="e">
        <f>ROUND(FinalWorkings!C17,-4)</f>
        <v>#DIV/0!</v>
      </c>
      <c r="E92" s="48">
        <f>ROUND(FinalWorkings!D17,-4)</f>
        <v>0</v>
      </c>
      <c r="F92" s="48">
        <f>ROUND(FinalWorkings!E17,-4)</f>
        <v>0</v>
      </c>
    </row>
    <row r="93" spans="1:12" ht="33" customHeight="1" x14ac:dyDescent="0.5">
      <c r="A93" s="2" t="s">
        <v>288</v>
      </c>
      <c r="B93" s="10"/>
      <c r="C93" s="48">
        <f>wp!C96</f>
        <v>0</v>
      </c>
      <c r="D93" s="48" t="e">
        <f>ROUND(FinalWorkings!C18,-3)</f>
        <v>#DIV/0!</v>
      </c>
      <c r="E93" s="48" t="e">
        <f>ROUND(FinalWorkings!D18,-3)</f>
        <v>#DIV/0!</v>
      </c>
      <c r="F93" s="48" t="e">
        <f>ROUND(FinalWorkings!E18,-3)</f>
        <v>#DIV/0!</v>
      </c>
    </row>
    <row r="94" spans="1:12" ht="33" customHeight="1" x14ac:dyDescent="0.5">
      <c r="C94" s="48"/>
      <c r="D94" s="6"/>
      <c r="E94" s="6"/>
      <c r="F94" s="6"/>
    </row>
    <row r="95" spans="1:12" ht="34.5" customHeight="1" x14ac:dyDescent="0.5">
      <c r="C95" s="48"/>
      <c r="D95" s="53"/>
      <c r="E95" s="53"/>
      <c r="F95" s="53"/>
    </row>
    <row r="96" spans="1:12" ht="46.5" customHeight="1" x14ac:dyDescent="0.5">
      <c r="C96" s="52">
        <f>SUM(C91:C95)</f>
        <v>0</v>
      </c>
      <c r="D96" s="52" t="e">
        <f>SUM(D91:D95)</f>
        <v>#DIV/0!</v>
      </c>
      <c r="E96" s="52" t="e">
        <f>SUM(E91:E95)</f>
        <v>#DIV/0!</v>
      </c>
      <c r="F96" s="52" t="e">
        <f>SUM(F91:F95)</f>
        <v>#DIV/0!</v>
      </c>
    </row>
    <row r="97" spans="3:6" ht="25.5" customHeight="1" x14ac:dyDescent="0.5">
      <c r="C97" s="3"/>
      <c r="D97" s="3"/>
      <c r="E97" s="3"/>
    </row>
    <row r="98" spans="3:6" ht="25.5" customHeight="1" x14ac:dyDescent="0.5">
      <c r="C98" s="67"/>
      <c r="D98" s="67"/>
      <c r="E98" s="67"/>
      <c r="F98" s="67"/>
    </row>
  </sheetData>
  <mergeCells count="15">
    <mergeCell ref="A1:F1"/>
    <mergeCell ref="A2:F2"/>
    <mergeCell ref="A3:F3"/>
    <mergeCell ref="M3:O3"/>
    <mergeCell ref="A4:F4"/>
    <mergeCell ref="A5:A6"/>
    <mergeCell ref="B5:B6"/>
    <mergeCell ref="A76:F76"/>
    <mergeCell ref="A89:F89"/>
    <mergeCell ref="A39:F39"/>
    <mergeCell ref="A40:F40"/>
    <mergeCell ref="A41:F41"/>
    <mergeCell ref="A43:F43"/>
    <mergeCell ref="A44:A46"/>
    <mergeCell ref="B44:B46"/>
  </mergeCells>
  <pageMargins left="0.56000000000000005" right="0.15748031496062992" top="0.31496062992125984" bottom="0.38" header="0.31496062992125984" footer="0.31496062992125984"/>
  <pageSetup scale="52" orientation="portrait" r:id="rId1"/>
  <rowBreaks count="1" manualBreakCount="1">
    <brk id="38" max="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6"/>
  <sheetViews>
    <sheetView topLeftCell="A16" zoomScaleSheetLayoutView="70" workbookViewId="0">
      <selection activeCell="M29" sqref="M29:N29"/>
    </sheetView>
  </sheetViews>
  <sheetFormatPr defaultColWidth="9.21875" defaultRowHeight="14.4" x14ac:dyDescent="0.35"/>
  <cols>
    <col min="1" max="1" width="27.5546875" style="18" customWidth="1"/>
    <col min="2" max="2" width="11.44140625" style="18" customWidth="1"/>
    <col min="3" max="5" width="12.44140625" style="18" bestFit="1" customWidth="1"/>
    <col min="6" max="6" width="11.5546875" style="18" bestFit="1" customWidth="1"/>
    <col min="7" max="7" width="11.21875" style="18" customWidth="1"/>
    <col min="8" max="16384" width="9.21875" style="18"/>
  </cols>
  <sheetData>
    <row r="1" spans="1:7" ht="15" x14ac:dyDescent="0.35">
      <c r="A1" s="338">
        <f>Assumptions.1!I4</f>
        <v>0</v>
      </c>
      <c r="B1" s="338"/>
      <c r="C1" s="338"/>
      <c r="D1" s="338"/>
      <c r="E1" s="338"/>
      <c r="F1" s="338"/>
      <c r="G1" s="41"/>
    </row>
    <row r="2" spans="1:7" ht="15" x14ac:dyDescent="0.35">
      <c r="A2" s="338">
        <f>Assumptions.1!I6</f>
        <v>0</v>
      </c>
      <c r="B2" s="338"/>
      <c r="C2" s="338"/>
      <c r="D2" s="338"/>
      <c r="E2" s="338"/>
      <c r="F2" s="338"/>
      <c r="G2" s="41"/>
    </row>
    <row r="3" spans="1:7" ht="15" x14ac:dyDescent="0.35">
      <c r="A3" s="338">
        <f>Assumptions.1!I7</f>
        <v>0</v>
      </c>
      <c r="B3" s="338"/>
      <c r="C3" s="338"/>
      <c r="D3" s="338"/>
      <c r="E3" s="338"/>
      <c r="F3" s="338"/>
      <c r="G3" s="41"/>
    </row>
    <row r="5" spans="1:7" ht="15" x14ac:dyDescent="0.35">
      <c r="A5" s="339" t="s">
        <v>20</v>
      </c>
      <c r="B5" s="339"/>
      <c r="C5" s="339"/>
      <c r="D5" s="339"/>
      <c r="E5" s="339"/>
      <c r="F5" s="339"/>
      <c r="G5" s="17"/>
    </row>
    <row r="6" spans="1:7" x14ac:dyDescent="0.35">
      <c r="A6" s="17"/>
      <c r="B6" s="17"/>
      <c r="C6" s="17"/>
      <c r="D6" s="17"/>
      <c r="E6" s="17"/>
      <c r="F6" s="17"/>
      <c r="G6" s="17"/>
    </row>
    <row r="7" spans="1:7" x14ac:dyDescent="0.35">
      <c r="A7" s="227" t="s">
        <v>238</v>
      </c>
      <c r="B7" s="17"/>
      <c r="C7" s="17"/>
      <c r="D7" s="17"/>
      <c r="E7" s="17"/>
      <c r="G7" s="17"/>
    </row>
    <row r="8" spans="1:7" x14ac:dyDescent="0.35">
      <c r="A8" s="37"/>
      <c r="D8" s="345" t="s">
        <v>256</v>
      </c>
      <c r="E8" s="345"/>
      <c r="F8" s="345"/>
      <c r="G8" s="17"/>
    </row>
    <row r="9" spans="1:7" ht="29.25" customHeight="1" thickBot="1" x14ac:dyDescent="0.4">
      <c r="A9" s="63" t="s">
        <v>23</v>
      </c>
      <c r="B9" s="61"/>
      <c r="C9" s="62">
        <f>C84</f>
        <v>0</v>
      </c>
      <c r="D9" s="62">
        <f>D84</f>
        <v>0</v>
      </c>
      <c r="E9" s="62">
        <f>E84</f>
        <v>0</v>
      </c>
      <c r="F9" s="62">
        <f>F84</f>
        <v>0</v>
      </c>
      <c r="G9" s="17"/>
    </row>
    <row r="10" spans="1:7" ht="16.2" x14ac:dyDescent="0.35">
      <c r="E10" s="35"/>
      <c r="G10" s="17"/>
    </row>
    <row r="11" spans="1:7" x14ac:dyDescent="0.35">
      <c r="A11" s="18" t="s">
        <v>26</v>
      </c>
      <c r="C11" s="27" t="e">
        <f>C13/C14</f>
        <v>#DIV/0!</v>
      </c>
      <c r="D11" s="27" t="e">
        <f>D13/D14</f>
        <v>#DIV/0!</v>
      </c>
      <c r="E11" s="27" t="e">
        <f>E13/E14</f>
        <v>#DIV/0!</v>
      </c>
      <c r="F11" s="27" t="e">
        <f>F13/F14</f>
        <v>#DIV/0!</v>
      </c>
      <c r="G11" s="17"/>
    </row>
    <row r="12" spans="1:7" x14ac:dyDescent="0.35">
      <c r="C12" s="27"/>
      <c r="D12" s="27"/>
      <c r="E12" s="27"/>
      <c r="G12" s="17"/>
    </row>
    <row r="13" spans="1:7" x14ac:dyDescent="0.35">
      <c r="A13" s="18" t="s">
        <v>27</v>
      </c>
      <c r="C13" s="33">
        <f>SUM(PLBS!C67:C71)</f>
        <v>0</v>
      </c>
      <c r="D13" s="33" t="e">
        <f>SUM(PLBS!D67:D71)</f>
        <v>#DIV/0!</v>
      </c>
      <c r="E13" s="33" t="e">
        <f>SUM(PLBS!E67:E71)</f>
        <v>#DIV/0!</v>
      </c>
      <c r="F13" s="33" t="e">
        <f>SUM(PLBS!F67:F71)</f>
        <v>#DIV/0!</v>
      </c>
      <c r="G13" s="17"/>
    </row>
    <row r="14" spans="1:7" x14ac:dyDescent="0.35">
      <c r="A14" s="18" t="s">
        <v>3</v>
      </c>
      <c r="C14" s="33">
        <f>SUM(PLBS!C55:C57)</f>
        <v>0</v>
      </c>
      <c r="D14" s="33" t="e">
        <f>SUM(PLBS!D55:D57)</f>
        <v>#DIV/0!</v>
      </c>
      <c r="E14" s="33" t="e">
        <f>SUM(PLBS!E55:E57)</f>
        <v>#DIV/0!</v>
      </c>
      <c r="F14" s="33" t="e">
        <f>SUM(PLBS!F55:F57)</f>
        <v>#DIV/0!</v>
      </c>
      <c r="G14" s="17"/>
    </row>
    <row r="15" spans="1:7" x14ac:dyDescent="0.35">
      <c r="C15" s="33"/>
      <c r="D15" s="33"/>
      <c r="E15" s="33"/>
      <c r="G15" s="17"/>
    </row>
    <row r="16" spans="1:7" ht="16.8" thickBot="1" x14ac:dyDescent="0.4">
      <c r="A16" s="22" t="s">
        <v>60</v>
      </c>
      <c r="B16" s="22"/>
      <c r="C16" s="22"/>
      <c r="D16" s="22"/>
      <c r="E16" s="36"/>
      <c r="F16" s="22"/>
      <c r="G16" s="17"/>
    </row>
    <row r="17" spans="1:9" x14ac:dyDescent="0.35">
      <c r="A17" s="17"/>
      <c r="B17" s="17"/>
      <c r="C17" s="17"/>
      <c r="D17" s="17"/>
      <c r="E17" s="17"/>
      <c r="F17" s="17"/>
      <c r="G17" s="17"/>
    </row>
    <row r="18" spans="1:9" x14ac:dyDescent="0.35">
      <c r="A18" s="17"/>
      <c r="B18" s="17"/>
      <c r="C18" s="17"/>
      <c r="D18" s="17"/>
      <c r="E18" s="17"/>
      <c r="F18" s="17"/>
      <c r="G18" s="17"/>
    </row>
    <row r="19" spans="1:9" x14ac:dyDescent="0.35">
      <c r="A19" s="228" t="s">
        <v>239</v>
      </c>
    </row>
    <row r="20" spans="1:9" ht="29.25" customHeight="1" thickBot="1" x14ac:dyDescent="0.4">
      <c r="A20" s="63" t="s">
        <v>23</v>
      </c>
      <c r="B20" s="61"/>
      <c r="C20" s="62">
        <f>C72</f>
        <v>0</v>
      </c>
      <c r="D20" s="62">
        <f>D72</f>
        <v>0</v>
      </c>
      <c r="E20" s="62">
        <f>E72</f>
        <v>0</v>
      </c>
      <c r="F20" s="62">
        <f>F72</f>
        <v>0</v>
      </c>
      <c r="G20" s="26"/>
    </row>
    <row r="21" spans="1:9" ht="15" x14ac:dyDescent="0.35">
      <c r="A21" s="25"/>
      <c r="B21" s="28"/>
      <c r="C21" s="26"/>
      <c r="D21" s="26"/>
      <c r="E21" s="26"/>
    </row>
    <row r="22" spans="1:9" x14ac:dyDescent="0.35">
      <c r="A22" s="18" t="s">
        <v>18</v>
      </c>
      <c r="C22" s="27" t="e">
        <f>PLBS!C10/PLBS!C69</f>
        <v>#DIV/0!</v>
      </c>
      <c r="D22" s="27" t="e">
        <f>PLBS!D10/PLBS!D69</f>
        <v>#DIV/0!</v>
      </c>
      <c r="E22" s="27" t="e">
        <f>PLBS!E10/PLBS!E69</f>
        <v>#DIV/0!</v>
      </c>
      <c r="F22" s="27" t="e">
        <f>PLBS!F10/PLBS!F69</f>
        <v>#DIV/0!</v>
      </c>
      <c r="G22" s="27"/>
    </row>
    <row r="23" spans="1:9" x14ac:dyDescent="0.35">
      <c r="A23" s="347" t="s">
        <v>19</v>
      </c>
      <c r="B23" s="347"/>
    </row>
    <row r="25" spans="1:9" x14ac:dyDescent="0.35">
      <c r="A25" s="346" t="s">
        <v>64</v>
      </c>
      <c r="B25" s="346"/>
      <c r="C25" s="346"/>
      <c r="D25" s="346"/>
      <c r="E25" s="346"/>
      <c r="F25" s="346"/>
      <c r="G25" s="346"/>
      <c r="H25" s="346"/>
      <c r="I25" s="346"/>
    </row>
    <row r="26" spans="1:9" x14ac:dyDescent="0.35">
      <c r="A26" s="18" t="s">
        <v>17</v>
      </c>
    </row>
    <row r="28" spans="1:9" x14ac:dyDescent="0.35">
      <c r="A28" s="272" t="s">
        <v>65</v>
      </c>
      <c r="B28" s="28"/>
      <c r="C28" s="273" t="e">
        <f>B31/C22</f>
        <v>#DIV/0!</v>
      </c>
      <c r="D28" s="273" t="e">
        <f>B31/D22</f>
        <v>#DIV/0!</v>
      </c>
      <c r="E28" s="273" t="e">
        <f>B31/E22</f>
        <v>#DIV/0!</v>
      </c>
      <c r="F28" s="273" t="e">
        <f>B31/F22</f>
        <v>#DIV/0!</v>
      </c>
      <c r="G28" s="273"/>
    </row>
    <row r="29" spans="1:9" x14ac:dyDescent="0.35">
      <c r="A29" s="346" t="s">
        <v>15</v>
      </c>
      <c r="B29" s="346"/>
    </row>
    <row r="31" spans="1:9" ht="15" thickBot="1" x14ac:dyDescent="0.4">
      <c r="A31" s="29" t="s">
        <v>14</v>
      </c>
      <c r="B31" s="30">
        <v>365</v>
      </c>
      <c r="C31" s="22"/>
      <c r="D31" s="22"/>
      <c r="E31" s="22"/>
      <c r="F31" s="22"/>
    </row>
    <row r="32" spans="1:9" x14ac:dyDescent="0.35">
      <c r="A32" s="31"/>
      <c r="B32" s="32"/>
    </row>
    <row r="33" spans="1:7" x14ac:dyDescent="0.35">
      <c r="A33" s="227" t="s">
        <v>240</v>
      </c>
      <c r="G33" s="17"/>
    </row>
    <row r="34" spans="1:7" x14ac:dyDescent="0.35">
      <c r="A34" s="37"/>
      <c r="G34" s="17"/>
    </row>
    <row r="35" spans="1:7" ht="30" customHeight="1" thickBot="1" x14ac:dyDescent="0.4">
      <c r="A35" s="63" t="s">
        <v>23</v>
      </c>
      <c r="B35" s="61"/>
      <c r="C35" s="62">
        <f>C51</f>
        <v>0</v>
      </c>
      <c r="D35" s="62">
        <f>D51</f>
        <v>0</v>
      </c>
      <c r="E35" s="62">
        <f>E51</f>
        <v>0</v>
      </c>
      <c r="F35" s="62">
        <f>F51</f>
        <v>0</v>
      </c>
      <c r="G35" s="17"/>
    </row>
    <row r="36" spans="1:7" x14ac:dyDescent="0.35">
      <c r="G36" s="17"/>
    </row>
    <row r="37" spans="1:7" x14ac:dyDescent="0.35">
      <c r="A37" s="18" t="s">
        <v>21</v>
      </c>
      <c r="C37" s="27" t="e">
        <f>PLBS!C21/PLBS!C10*100</f>
        <v>#DIV/0!</v>
      </c>
      <c r="D37" s="27" t="e">
        <f>PLBS!D21/PLBS!D10*100</f>
        <v>#DIV/0!</v>
      </c>
      <c r="E37" s="27" t="e">
        <f>PLBS!E21/PLBS!E10*100</f>
        <v>#DIV/0!</v>
      </c>
      <c r="F37" s="27" t="e">
        <f>PLBS!F21/PLBS!F10*100</f>
        <v>#DIV/0!</v>
      </c>
      <c r="G37" s="17"/>
    </row>
    <row r="38" spans="1:7" x14ac:dyDescent="0.35">
      <c r="C38" s="27"/>
      <c r="D38" s="27"/>
      <c r="E38" s="27"/>
      <c r="G38" s="17"/>
    </row>
    <row r="39" spans="1:7" ht="15" thickBot="1" x14ac:dyDescent="0.4">
      <c r="A39" s="34" t="s">
        <v>58</v>
      </c>
      <c r="B39" s="22"/>
      <c r="C39" s="22"/>
      <c r="D39" s="22"/>
      <c r="E39" s="22"/>
      <c r="F39" s="22"/>
      <c r="G39" s="17"/>
    </row>
    <row r="40" spans="1:7" ht="16.2" x14ac:dyDescent="0.35">
      <c r="E40" s="35"/>
      <c r="G40" s="17"/>
    </row>
    <row r="41" spans="1:7" ht="16.2" x14ac:dyDescent="0.35">
      <c r="A41" s="227" t="s">
        <v>241</v>
      </c>
      <c r="E41" s="35"/>
      <c r="G41" s="17"/>
    </row>
    <row r="42" spans="1:7" ht="16.2" x14ac:dyDescent="0.35">
      <c r="A42" s="37"/>
      <c r="E42" s="35"/>
      <c r="G42" s="17"/>
    </row>
    <row r="43" spans="1:7" ht="27.75" customHeight="1" thickBot="1" x14ac:dyDescent="0.4">
      <c r="A43" s="63" t="s">
        <v>23</v>
      </c>
      <c r="B43" s="61"/>
      <c r="C43" s="62">
        <f>C35</f>
        <v>0</v>
      </c>
      <c r="D43" s="62">
        <f>D35</f>
        <v>0</v>
      </c>
      <c r="E43" s="62">
        <f>E35</f>
        <v>0</v>
      </c>
      <c r="F43" s="62">
        <f>F35</f>
        <v>0</v>
      </c>
      <c r="G43" s="17"/>
    </row>
    <row r="44" spans="1:7" ht="16.2" x14ac:dyDescent="0.35">
      <c r="E44" s="35"/>
      <c r="G44" s="17"/>
    </row>
    <row r="45" spans="1:7" x14ac:dyDescent="0.35">
      <c r="A45" s="18" t="s">
        <v>22</v>
      </c>
      <c r="C45" s="27" t="e">
        <f>PLBS!C35/PLBS!C10*100</f>
        <v>#DIV/0!</v>
      </c>
      <c r="D45" s="27" t="e">
        <f>PLBS!D35/PLBS!D10*100</f>
        <v>#DIV/0!</v>
      </c>
      <c r="E45" s="27" t="e">
        <f>PLBS!E35/PLBS!E10*100</f>
        <v>#DIV/0!</v>
      </c>
      <c r="F45" s="27" t="e">
        <f>PLBS!F35/PLBS!F10*100</f>
        <v>#DIV/0!</v>
      </c>
      <c r="G45" s="17"/>
    </row>
    <row r="46" spans="1:7" x14ac:dyDescent="0.35">
      <c r="C46" s="27"/>
      <c r="D46" s="27"/>
      <c r="E46" s="27"/>
      <c r="G46" s="17"/>
    </row>
    <row r="47" spans="1:7" ht="16.8" thickBot="1" x14ac:dyDescent="0.4">
      <c r="A47" s="34" t="s">
        <v>59</v>
      </c>
      <c r="B47" s="22"/>
      <c r="C47" s="22"/>
      <c r="D47" s="22"/>
      <c r="E47" s="36"/>
      <c r="F47" s="22"/>
      <c r="G47" s="17"/>
    </row>
    <row r="48" spans="1:7" x14ac:dyDescent="0.35">
      <c r="A48" s="17"/>
      <c r="B48" s="17"/>
      <c r="C48" s="17"/>
      <c r="D48" s="17"/>
      <c r="E48" s="17"/>
      <c r="F48" s="17"/>
      <c r="G48" s="17"/>
    </row>
    <row r="49" spans="1:7" x14ac:dyDescent="0.35">
      <c r="A49" s="227" t="s">
        <v>242</v>
      </c>
    </row>
    <row r="50" spans="1:7" x14ac:dyDescent="0.35">
      <c r="E50" s="343" t="s">
        <v>29</v>
      </c>
      <c r="F50" s="343"/>
      <c r="G50" s="45"/>
    </row>
    <row r="51" spans="1:7" ht="48" customHeight="1" thickBot="1" x14ac:dyDescent="0.4">
      <c r="A51" s="60" t="s">
        <v>24</v>
      </c>
      <c r="B51" s="61"/>
      <c r="C51" s="62">
        <f>wp!C6</f>
        <v>0</v>
      </c>
      <c r="D51" s="62">
        <f>wp!D6</f>
        <v>0</v>
      </c>
      <c r="E51" s="62">
        <f>wp!E6</f>
        <v>0</v>
      </c>
      <c r="F51" s="62">
        <f>wp!F6</f>
        <v>0</v>
      </c>
      <c r="G51" s="26"/>
    </row>
    <row r="53" spans="1:7" x14ac:dyDescent="0.35">
      <c r="A53" s="18" t="s">
        <v>35</v>
      </c>
      <c r="C53" s="27" t="e">
        <f>C55/C56</f>
        <v>#DIV/0!</v>
      </c>
      <c r="D53" s="27" t="e">
        <f>D55/D56</f>
        <v>#DIV/0!</v>
      </c>
      <c r="E53" s="27" t="e">
        <f>E55/E56</f>
        <v>#DIV/0!</v>
      </c>
      <c r="F53" s="27" t="e">
        <f>F55/F56</f>
        <v>#DIV/0!</v>
      </c>
      <c r="G53" s="27"/>
    </row>
    <row r="54" spans="1:7" x14ac:dyDescent="0.35">
      <c r="C54" s="27"/>
      <c r="D54" s="27"/>
      <c r="E54" s="27"/>
      <c r="F54" s="27"/>
      <c r="G54" s="27"/>
    </row>
    <row r="55" spans="1:7" x14ac:dyDescent="0.35">
      <c r="A55" s="18" t="s">
        <v>34</v>
      </c>
      <c r="C55" s="33">
        <f>PLBS!C31</f>
        <v>0</v>
      </c>
      <c r="D55" s="33" t="e">
        <f>PLBS!D31</f>
        <v>#DIV/0!</v>
      </c>
      <c r="E55" s="33" t="e">
        <f>PLBS!E31</f>
        <v>#DIV/0!</v>
      </c>
      <c r="F55" s="33" t="e">
        <f>PLBS!F31</f>
        <v>#DIV/0!</v>
      </c>
      <c r="G55" s="33"/>
    </row>
    <row r="56" spans="1:7" x14ac:dyDescent="0.35">
      <c r="A56" s="18" t="s">
        <v>5</v>
      </c>
      <c r="C56" s="33">
        <f>PLBS!C33</f>
        <v>0</v>
      </c>
      <c r="D56" s="33" t="e">
        <f>PLBS!D33</f>
        <v>#DIV/0!</v>
      </c>
      <c r="E56" s="33" t="e">
        <f>PLBS!E33</f>
        <v>#DIV/0!</v>
      </c>
      <c r="F56" s="33" t="e">
        <f>PLBS!F33</f>
        <v>#DIV/0!</v>
      </c>
      <c r="G56" s="33"/>
    </row>
    <row r="57" spans="1:7" x14ac:dyDescent="0.35">
      <c r="C57" s="27"/>
      <c r="D57" s="27"/>
      <c r="E57" s="27"/>
    </row>
    <row r="58" spans="1:7" ht="15" thickBot="1" x14ac:dyDescent="0.4">
      <c r="A58" s="22" t="s">
        <v>63</v>
      </c>
      <c r="B58" s="22"/>
      <c r="C58" s="22"/>
      <c r="D58" s="22"/>
      <c r="E58" s="22"/>
      <c r="F58" s="22"/>
    </row>
    <row r="59" spans="1:7" x14ac:dyDescent="0.35">
      <c r="A59" s="17"/>
      <c r="B59" s="17"/>
      <c r="C59" s="17"/>
      <c r="D59" s="17"/>
      <c r="E59" s="17"/>
      <c r="F59" s="17"/>
      <c r="G59" s="17"/>
    </row>
    <row r="60" spans="1:7" x14ac:dyDescent="0.35">
      <c r="A60" s="344" t="s">
        <v>243</v>
      </c>
      <c r="B60" s="344"/>
      <c r="C60" s="344"/>
      <c r="D60" s="17"/>
      <c r="E60" s="17"/>
      <c r="G60" s="17"/>
    </row>
    <row r="61" spans="1:7" x14ac:dyDescent="0.35">
      <c r="A61" s="17"/>
      <c r="B61" s="17"/>
      <c r="C61" s="17"/>
      <c r="D61" s="17"/>
      <c r="E61" s="17"/>
      <c r="G61" s="17"/>
    </row>
    <row r="62" spans="1:7" ht="45.75" customHeight="1" thickBot="1" x14ac:dyDescent="0.4">
      <c r="A62" s="60" t="s">
        <v>23</v>
      </c>
      <c r="B62" s="64"/>
      <c r="C62" s="60">
        <f>C43</f>
        <v>0</v>
      </c>
      <c r="D62" s="60">
        <f>D43</f>
        <v>0</v>
      </c>
      <c r="E62" s="60">
        <f>E43</f>
        <v>0</v>
      </c>
      <c r="F62" s="60">
        <f>F43</f>
        <v>0</v>
      </c>
      <c r="G62" s="17"/>
    </row>
    <row r="63" spans="1:7" x14ac:dyDescent="0.35">
      <c r="A63" s="17"/>
      <c r="B63" s="17"/>
      <c r="C63" s="17"/>
      <c r="D63" s="17"/>
      <c r="E63" s="17"/>
      <c r="G63" s="17"/>
    </row>
    <row r="64" spans="1:7" x14ac:dyDescent="0.35">
      <c r="A64" s="18" t="s">
        <v>28</v>
      </c>
      <c r="B64" s="17"/>
      <c r="C64" s="49">
        <f>C13-C14</f>
        <v>0</v>
      </c>
      <c r="D64" s="49" t="e">
        <f>D13-D14</f>
        <v>#DIV/0!</v>
      </c>
      <c r="E64" s="49" t="e">
        <f>E13-E14</f>
        <v>#DIV/0!</v>
      </c>
      <c r="F64" s="49" t="e">
        <f>F13-F14</f>
        <v>#DIV/0!</v>
      </c>
      <c r="G64" s="17"/>
    </row>
    <row r="65" spans="1:7" x14ac:dyDescent="0.35">
      <c r="B65" s="17"/>
      <c r="C65" s="23"/>
      <c r="D65" s="23"/>
      <c r="E65" s="23"/>
      <c r="G65" s="17"/>
    </row>
    <row r="66" spans="1:7" x14ac:dyDescent="0.35">
      <c r="A66" s="24" t="s">
        <v>25</v>
      </c>
      <c r="B66" s="17"/>
      <c r="C66" s="20" t="e">
        <f>wp!C11/RATIO!C64</f>
        <v>#DIV/0!</v>
      </c>
      <c r="D66" s="20" t="e">
        <f>wp!D11/RATIO!D64</f>
        <v>#DIV/0!</v>
      </c>
      <c r="E66" s="20" t="e">
        <f>wp!E11/RATIO!E64</f>
        <v>#DIV/0!</v>
      </c>
      <c r="F66" s="20" t="e">
        <f>wp!F11/RATIO!F64</f>
        <v>#DIV/0!</v>
      </c>
      <c r="G66" s="17"/>
    </row>
    <row r="67" spans="1:7" x14ac:dyDescent="0.35">
      <c r="A67" s="17"/>
      <c r="B67" s="17"/>
      <c r="C67" s="17"/>
      <c r="D67" s="17"/>
      <c r="E67" s="17"/>
      <c r="G67" s="17"/>
    </row>
    <row r="68" spans="1:7" ht="15" thickBot="1" x14ac:dyDescent="0.4">
      <c r="A68" s="342" t="s">
        <v>56</v>
      </c>
      <c r="B68" s="342"/>
      <c r="C68" s="342"/>
      <c r="D68" s="21"/>
      <c r="E68" s="21"/>
      <c r="F68" s="22"/>
      <c r="G68" s="17"/>
    </row>
    <row r="69" spans="1:7" x14ac:dyDescent="0.35">
      <c r="A69" s="17"/>
      <c r="B69" s="17"/>
      <c r="C69" s="17"/>
      <c r="D69" s="17"/>
      <c r="E69" s="17"/>
      <c r="G69" s="17"/>
    </row>
    <row r="70" spans="1:7" x14ac:dyDescent="0.35">
      <c r="A70" s="228" t="s">
        <v>244</v>
      </c>
      <c r="B70" s="17"/>
      <c r="C70" s="17"/>
      <c r="D70" s="17"/>
      <c r="E70" s="17"/>
      <c r="F70" s="17"/>
      <c r="G70" s="17"/>
    </row>
    <row r="71" spans="1:7" x14ac:dyDescent="0.35">
      <c r="A71" s="46"/>
      <c r="G71" s="17"/>
    </row>
    <row r="72" spans="1:7" ht="48" customHeight="1" thickBot="1" x14ac:dyDescent="0.4">
      <c r="A72" s="63" t="s">
        <v>23</v>
      </c>
      <c r="B72" s="65"/>
      <c r="C72" s="62">
        <f>C62</f>
        <v>0</v>
      </c>
      <c r="D72" s="62">
        <f>D62</f>
        <v>0</v>
      </c>
      <c r="E72" s="62">
        <f>E62</f>
        <v>0</v>
      </c>
      <c r="F72" s="62">
        <f>F62</f>
        <v>0</v>
      </c>
      <c r="G72" s="17"/>
    </row>
    <row r="73" spans="1:7" ht="15" x14ac:dyDescent="0.35">
      <c r="A73" s="25"/>
      <c r="C73" s="26"/>
      <c r="D73" s="26"/>
      <c r="E73" s="26"/>
    </row>
    <row r="74" spans="1:7" x14ac:dyDescent="0.35">
      <c r="A74" s="47" t="s">
        <v>11</v>
      </c>
      <c r="C74" s="18">
        <f>PLBS!C19</f>
        <v>10759250</v>
      </c>
      <c r="D74" s="18" t="e">
        <f>PLBS!D19</f>
        <v>#DIV/0!</v>
      </c>
      <c r="E74" s="18" t="e">
        <f>PLBS!E19</f>
        <v>#DIV/0!</v>
      </c>
      <c r="F74" s="18" t="e">
        <f>PLBS!F19</f>
        <v>#DIV/0!</v>
      </c>
    </row>
    <row r="75" spans="1:7" x14ac:dyDescent="0.35">
      <c r="A75" s="18" t="s">
        <v>12</v>
      </c>
      <c r="C75" s="18">
        <f>(PLBS!C16+PLBS!C18)/2</f>
        <v>0</v>
      </c>
      <c r="D75" s="18">
        <f>(PLBS!D16+PLBS!D18)/2</f>
        <v>0</v>
      </c>
      <c r="E75" s="18">
        <f>(PLBS!E16+PLBS!E18)/2</f>
        <v>0</v>
      </c>
      <c r="F75" s="18">
        <f>(PLBS!F16+PLBS!F18)/2</f>
        <v>0</v>
      </c>
    </row>
    <row r="76" spans="1:7" x14ac:dyDescent="0.35">
      <c r="A76" s="18" t="s">
        <v>31</v>
      </c>
      <c r="C76" s="27" t="e">
        <f>C74/C75</f>
        <v>#DIV/0!</v>
      </c>
      <c r="D76" s="27" t="e">
        <f>D74/D75</f>
        <v>#DIV/0!</v>
      </c>
      <c r="E76" s="27" t="e">
        <f>E74/E75</f>
        <v>#DIV/0!</v>
      </c>
      <c r="F76" s="27" t="e">
        <f>F74/F75</f>
        <v>#DIV/0!</v>
      </c>
    </row>
    <row r="77" spans="1:7" ht="6.75" customHeight="1" x14ac:dyDescent="0.35"/>
    <row r="78" spans="1:7" ht="14.25" customHeight="1" x14ac:dyDescent="0.35">
      <c r="A78" s="18" t="s">
        <v>57</v>
      </c>
    </row>
    <row r="79" spans="1:7" x14ac:dyDescent="0.35">
      <c r="A79" s="18" t="s">
        <v>16</v>
      </c>
    </row>
    <row r="80" spans="1:7" ht="15" thickBot="1" x14ac:dyDescent="0.4">
      <c r="A80" s="340" t="s">
        <v>13</v>
      </c>
      <c r="B80" s="340"/>
      <c r="C80" s="340"/>
      <c r="D80" s="340"/>
      <c r="E80" s="340"/>
      <c r="F80" s="22"/>
    </row>
    <row r="81" spans="1:7" x14ac:dyDescent="0.35">
      <c r="A81" s="24"/>
      <c r="B81" s="24"/>
      <c r="C81" s="24"/>
      <c r="D81" s="24"/>
      <c r="E81" s="24"/>
    </row>
    <row r="82" spans="1:7" x14ac:dyDescent="0.35">
      <c r="A82" s="348" t="s">
        <v>80</v>
      </c>
      <c r="B82" s="348"/>
      <c r="C82" s="17"/>
      <c r="D82" s="17"/>
      <c r="E82" s="17"/>
    </row>
    <row r="83" spans="1:7" x14ac:dyDescent="0.35">
      <c r="A83" s="17"/>
      <c r="B83" s="17"/>
      <c r="C83" s="17"/>
      <c r="D83" s="17"/>
      <c r="E83" s="17"/>
    </row>
    <row r="84" spans="1:7" ht="48.75" customHeight="1" thickBot="1" x14ac:dyDescent="0.4">
      <c r="A84" s="60" t="s">
        <v>23</v>
      </c>
      <c r="B84" s="60"/>
      <c r="C84" s="60">
        <f>C20</f>
        <v>0</v>
      </c>
      <c r="D84" s="60">
        <f>D20</f>
        <v>0</v>
      </c>
      <c r="E84" s="60">
        <f>E20</f>
        <v>0</v>
      </c>
      <c r="F84" s="60">
        <f>F20</f>
        <v>0</v>
      </c>
    </row>
    <row r="85" spans="1:7" ht="16.5" customHeight="1" x14ac:dyDescent="0.35">
      <c r="A85" s="17"/>
      <c r="B85" s="17"/>
      <c r="C85" s="17"/>
      <c r="D85" s="17"/>
      <c r="E85" s="17"/>
    </row>
    <row r="86" spans="1:7" x14ac:dyDescent="0.35">
      <c r="A86" s="341" t="s">
        <v>30</v>
      </c>
      <c r="B86" s="17"/>
      <c r="C86" s="86" t="e">
        <f>PLBS!C10/(PLBS!C49+PLBS!C52)</f>
        <v>#DIV/0!</v>
      </c>
      <c r="D86" s="86" t="e">
        <f>PLBS!D10/(PLBS!D49+PLBS!D52)</f>
        <v>#DIV/0!</v>
      </c>
      <c r="E86" s="86" t="e">
        <f>PLBS!E10/(PLBS!E49+PLBS!E52)</f>
        <v>#DIV/0!</v>
      </c>
      <c r="F86" s="86" t="e">
        <f>PLBS!F10/(PLBS!F49+PLBS!F52)</f>
        <v>#DIV/0!</v>
      </c>
    </row>
    <row r="87" spans="1:7" x14ac:dyDescent="0.35">
      <c r="A87" s="341"/>
      <c r="B87" s="17"/>
      <c r="C87" s="17"/>
      <c r="D87" s="17"/>
      <c r="E87" s="17"/>
    </row>
    <row r="88" spans="1:7" x14ac:dyDescent="0.35">
      <c r="A88" s="19"/>
      <c r="B88" s="17"/>
      <c r="C88" s="17"/>
      <c r="D88" s="17"/>
      <c r="E88" s="17"/>
    </row>
    <row r="89" spans="1:7" ht="15" thickBot="1" x14ac:dyDescent="0.4">
      <c r="A89" s="340" t="s">
        <v>55</v>
      </c>
      <c r="B89" s="340"/>
      <c r="C89" s="340"/>
      <c r="D89" s="21"/>
      <c r="E89" s="21"/>
      <c r="F89" s="22"/>
    </row>
    <row r="90" spans="1:7" x14ac:dyDescent="0.35">
      <c r="D90" s="17"/>
      <c r="E90" s="17"/>
    </row>
    <row r="91" spans="1:7" ht="16.2" x14ac:dyDescent="0.35">
      <c r="A91" s="227" t="s">
        <v>245</v>
      </c>
      <c r="E91" s="35"/>
    </row>
    <row r="92" spans="1:7" ht="16.2" x14ac:dyDescent="0.35">
      <c r="A92" s="37"/>
      <c r="E92" s="35"/>
    </row>
    <row r="93" spans="1:7" ht="50.25" customHeight="1" thickBot="1" x14ac:dyDescent="0.4">
      <c r="A93" s="63" t="s">
        <v>23</v>
      </c>
      <c r="B93" s="61"/>
      <c r="C93" s="62">
        <f>C9</f>
        <v>0</v>
      </c>
      <c r="D93" s="62">
        <f>D9</f>
        <v>0</v>
      </c>
      <c r="E93" s="62">
        <f>E9</f>
        <v>0</v>
      </c>
      <c r="F93" s="62">
        <f>F9</f>
        <v>0</v>
      </c>
      <c r="G93" s="26"/>
    </row>
    <row r="94" spans="1:7" ht="16.2" x14ac:dyDescent="0.35">
      <c r="E94" s="35"/>
    </row>
    <row r="95" spans="1:7" x14ac:dyDescent="0.35">
      <c r="A95" s="18" t="s">
        <v>68</v>
      </c>
      <c r="C95" s="27" t="e">
        <f>SUM(PLBS!C51:C57)/PLBS!C49</f>
        <v>#DIV/0!</v>
      </c>
      <c r="D95" s="27" t="e">
        <f>SUM(PLBS!D51:D57)/PLBS!D49</f>
        <v>#DIV/0!</v>
      </c>
      <c r="E95" s="27" t="e">
        <f>SUM(PLBS!E51:E57)/PLBS!E49</f>
        <v>#DIV/0!</v>
      </c>
      <c r="F95" s="27" t="e">
        <f>SUM(PLBS!F51:F57)/PLBS!F49</f>
        <v>#DIV/0!</v>
      </c>
      <c r="G95" s="27"/>
    </row>
    <row r="96" spans="1:7" x14ac:dyDescent="0.35">
      <c r="C96" s="27"/>
      <c r="D96" s="27"/>
      <c r="E96" s="27"/>
    </row>
    <row r="97" spans="1:6" ht="16.8" thickBot="1" x14ac:dyDescent="0.4">
      <c r="A97" s="22" t="s">
        <v>61</v>
      </c>
      <c r="B97" s="22"/>
      <c r="C97" s="22"/>
      <c r="D97" s="22"/>
      <c r="E97" s="36"/>
      <c r="F97" s="22"/>
    </row>
    <row r="98" spans="1:6" ht="16.2" x14ac:dyDescent="0.35">
      <c r="E98" s="35"/>
    </row>
    <row r="99" spans="1:6" x14ac:dyDescent="0.35">
      <c r="A99" s="227" t="s">
        <v>246</v>
      </c>
    </row>
    <row r="101" spans="1:6" ht="51" customHeight="1" thickBot="1" x14ac:dyDescent="0.4">
      <c r="A101" s="60" t="s">
        <v>23</v>
      </c>
      <c r="B101" s="61"/>
      <c r="C101" s="62">
        <f>C93</f>
        <v>0</v>
      </c>
      <c r="D101" s="62">
        <f>D93</f>
        <v>0</v>
      </c>
      <c r="E101" s="62">
        <f>E93</f>
        <v>0</v>
      </c>
      <c r="F101" s="62">
        <f>F93</f>
        <v>0</v>
      </c>
    </row>
    <row r="103" spans="1:6" x14ac:dyDescent="0.35">
      <c r="A103" s="18" t="s">
        <v>32</v>
      </c>
      <c r="C103" s="27" t="e">
        <f>PLBS!C35/(PLBS!C49+PLBS!C52)</f>
        <v>#DIV/0!</v>
      </c>
      <c r="D103" s="27" t="e">
        <f>PLBS!D35/(PLBS!D49+PLBS!D52)</f>
        <v>#DIV/0!</v>
      </c>
      <c r="E103" s="27" t="e">
        <f>PLBS!E35/(PLBS!E49+PLBS!E52)</f>
        <v>#DIV/0!</v>
      </c>
      <c r="F103" s="27" t="e">
        <f>PLBS!F35/(PLBS!F49+PLBS!F52)</f>
        <v>#DIV/0!</v>
      </c>
    </row>
    <row r="105" spans="1:6" ht="15" thickBot="1" x14ac:dyDescent="0.4">
      <c r="A105" s="22" t="s">
        <v>62</v>
      </c>
      <c r="B105" s="22"/>
      <c r="C105" s="22"/>
      <c r="D105" s="22"/>
      <c r="E105" s="22"/>
      <c r="F105" s="22"/>
    </row>
    <row r="106" spans="1:6" ht="16.2" x14ac:dyDescent="0.35">
      <c r="E106" s="35"/>
    </row>
  </sheetData>
  <mergeCells count="15">
    <mergeCell ref="A1:F1"/>
    <mergeCell ref="A2:F2"/>
    <mergeCell ref="A3:F3"/>
    <mergeCell ref="A5:F5"/>
    <mergeCell ref="A89:C89"/>
    <mergeCell ref="A86:A87"/>
    <mergeCell ref="A68:C68"/>
    <mergeCell ref="E50:F50"/>
    <mergeCell ref="A60:C60"/>
    <mergeCell ref="D8:F8"/>
    <mergeCell ref="A80:E80"/>
    <mergeCell ref="A25:I25"/>
    <mergeCell ref="A23:B23"/>
    <mergeCell ref="A82:B82"/>
    <mergeCell ref="A29:B29"/>
  </mergeCells>
  <phoneticPr fontId="2" type="noConversion"/>
  <pageMargins left="0.51181102362204722" right="0.23622047244094491" top="0.28999999999999998" bottom="0.31496062992125984" header="0.22" footer="0.19685039370078741"/>
  <pageSetup scale="107" orientation="portrait" r:id="rId1"/>
  <headerFooter alignWithMargins="0"/>
  <rowBreaks count="2" manualBreakCount="2">
    <brk id="40" max="5" man="1"/>
    <brk id="80" max="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5"/>
  <sheetViews>
    <sheetView view="pageBreakPreview" topLeftCell="A43" zoomScale="93" zoomScaleSheetLayoutView="93" workbookViewId="0">
      <selection activeCell="B11" sqref="B11"/>
    </sheetView>
  </sheetViews>
  <sheetFormatPr defaultColWidth="9.21875" defaultRowHeight="14.4" x14ac:dyDescent="0.3"/>
  <cols>
    <col min="1" max="1" width="44.44140625" style="38" customWidth="1"/>
    <col min="2" max="2" width="14.77734375" style="38" customWidth="1"/>
    <col min="3" max="4" width="14.21875" style="38" customWidth="1"/>
    <col min="5" max="16384" width="9.21875" style="38"/>
  </cols>
  <sheetData>
    <row r="1" spans="1:4" x14ac:dyDescent="0.3">
      <c r="A1" s="338">
        <f>Assumptions.1!I4</f>
        <v>0</v>
      </c>
      <c r="B1" s="338"/>
      <c r="C1" s="338"/>
      <c r="D1" s="338"/>
    </row>
    <row r="2" spans="1:4" x14ac:dyDescent="0.3">
      <c r="A2" s="338">
        <f>Assumptions.1!I6</f>
        <v>0</v>
      </c>
      <c r="B2" s="338"/>
      <c r="C2" s="338"/>
      <c r="D2" s="338"/>
    </row>
    <row r="3" spans="1:4" x14ac:dyDescent="0.3">
      <c r="A3" s="338">
        <f>Assumptions.1!I7</f>
        <v>0</v>
      </c>
      <c r="B3" s="338"/>
      <c r="C3" s="338"/>
      <c r="D3" s="338"/>
    </row>
    <row r="5" spans="1:4" x14ac:dyDescent="0.3">
      <c r="A5" s="339" t="s">
        <v>51</v>
      </c>
      <c r="B5" s="339"/>
      <c r="C5" s="339"/>
      <c r="D5" s="339"/>
    </row>
    <row r="7" spans="1:4" ht="16.2" x14ac:dyDescent="0.35">
      <c r="A7" s="127" t="s">
        <v>72</v>
      </c>
    </row>
    <row r="8" spans="1:4" ht="16.5" customHeight="1" x14ac:dyDescent="0.3">
      <c r="A8" s="114" t="s">
        <v>23</v>
      </c>
      <c r="B8" s="115" t="str">
        <f>wp!D5</f>
        <v>Estimated</v>
      </c>
      <c r="C8" s="115" t="str">
        <f>wp!E5</f>
        <v>Projected</v>
      </c>
      <c r="D8" s="115" t="str">
        <f>wp!F5</f>
        <v>Projected</v>
      </c>
    </row>
    <row r="9" spans="1:4" ht="15" customHeight="1" thickBot="1" x14ac:dyDescent="0.35">
      <c r="A9" s="116"/>
      <c r="B9" s="117">
        <f>wp!D6</f>
        <v>0</v>
      </c>
      <c r="C9" s="117">
        <f>wp!E6</f>
        <v>0</v>
      </c>
      <c r="D9" s="117">
        <f>wp!F6</f>
        <v>0</v>
      </c>
    </row>
    <row r="10" spans="1:4" ht="22.5" customHeight="1" thickTop="1" x14ac:dyDescent="0.3">
      <c r="B10" s="42"/>
      <c r="C10" s="42"/>
      <c r="D10" s="42"/>
    </row>
    <row r="11" spans="1:4" ht="21" customHeight="1" x14ac:dyDescent="0.3">
      <c r="A11" s="38" t="s">
        <v>42</v>
      </c>
      <c r="B11" s="43" t="e">
        <f>SUM(PLBS!D67:D71)</f>
        <v>#DIV/0!</v>
      </c>
      <c r="C11" s="43" t="e">
        <f>SUM(PLBS!E67:E71)</f>
        <v>#DIV/0!</v>
      </c>
      <c r="D11" s="43" t="e">
        <f>SUM(PLBS!F67:F71)</f>
        <v>#DIV/0!</v>
      </c>
    </row>
    <row r="12" spans="1:4" ht="21" customHeight="1" x14ac:dyDescent="0.3">
      <c r="B12" s="43"/>
      <c r="C12" s="43"/>
      <c r="D12" s="43"/>
    </row>
    <row r="13" spans="1:4" ht="19.5" customHeight="1" x14ac:dyDescent="0.3">
      <c r="A13" s="38" t="s">
        <v>43</v>
      </c>
      <c r="B13" s="43" t="e">
        <f>RATIO!D14-wp!D54</f>
        <v>#DIV/0!</v>
      </c>
      <c r="C13" s="43" t="e">
        <f>RATIO!E14-wp!E54</f>
        <v>#DIV/0!</v>
      </c>
      <c r="D13" s="43" t="e">
        <f>RATIO!F14-wp!F54</f>
        <v>#DIV/0!</v>
      </c>
    </row>
    <row r="14" spans="1:4" ht="17.25" customHeight="1" x14ac:dyDescent="0.3">
      <c r="A14" s="38" t="s">
        <v>44</v>
      </c>
    </row>
    <row r="15" spans="1:4" ht="17.25" customHeight="1" x14ac:dyDescent="0.3"/>
    <row r="16" spans="1:4" ht="19.5" customHeight="1" x14ac:dyDescent="0.3">
      <c r="A16" s="38" t="s">
        <v>45</v>
      </c>
      <c r="B16" s="43" t="e">
        <f>+B11-B13</f>
        <v>#DIV/0!</v>
      </c>
      <c r="C16" s="43" t="e">
        <f>+C11-C13</f>
        <v>#DIV/0!</v>
      </c>
      <c r="D16" s="43" t="e">
        <f>+D11-D13</f>
        <v>#DIV/0!</v>
      </c>
    </row>
    <row r="17" spans="1:4" ht="19.5" customHeight="1" x14ac:dyDescent="0.3">
      <c r="B17" s="43"/>
      <c r="C17" s="43"/>
      <c r="D17" s="43"/>
    </row>
    <row r="18" spans="1:4" ht="19.5" customHeight="1" x14ac:dyDescent="0.3">
      <c r="A18" s="38" t="s">
        <v>52</v>
      </c>
    </row>
    <row r="19" spans="1:4" ht="16.5" customHeight="1" x14ac:dyDescent="0.3">
      <c r="A19" s="38" t="s">
        <v>53</v>
      </c>
      <c r="B19" s="43" t="e">
        <f>+B16*0.25</f>
        <v>#DIV/0!</v>
      </c>
      <c r="C19" s="43" t="e">
        <f>+C16*0.25</f>
        <v>#DIV/0!</v>
      </c>
      <c r="D19" s="43" t="e">
        <f>+D16*0.25</f>
        <v>#DIV/0!</v>
      </c>
    </row>
    <row r="20" spans="1:4" ht="18.75" customHeight="1" x14ac:dyDescent="0.3">
      <c r="A20" s="38" t="s">
        <v>54</v>
      </c>
    </row>
    <row r="22" spans="1:4" x14ac:dyDescent="0.3">
      <c r="A22" s="38" t="s">
        <v>46</v>
      </c>
      <c r="B22" s="43" t="e">
        <f>RATIO!D13-RATIO!D14</f>
        <v>#DIV/0!</v>
      </c>
      <c r="C22" s="43" t="e">
        <f>RATIO!E13-RATIO!E14</f>
        <v>#DIV/0!</v>
      </c>
      <c r="D22" s="43" t="e">
        <f>RATIO!F13-RATIO!F14</f>
        <v>#DIV/0!</v>
      </c>
    </row>
    <row r="23" spans="1:4" x14ac:dyDescent="0.3">
      <c r="B23" s="43"/>
      <c r="C23" s="43"/>
      <c r="D23" s="43"/>
    </row>
    <row r="24" spans="1:4" x14ac:dyDescent="0.3">
      <c r="A24" s="38" t="s">
        <v>47</v>
      </c>
      <c r="B24" s="43" t="e">
        <f>+B16-B19</f>
        <v>#DIV/0!</v>
      </c>
      <c r="C24" s="43" t="e">
        <f>+C16-C19</f>
        <v>#DIV/0!</v>
      </c>
      <c r="D24" s="43" t="e">
        <f>+D16-D19</f>
        <v>#DIV/0!</v>
      </c>
    </row>
    <row r="25" spans="1:4" x14ac:dyDescent="0.3">
      <c r="B25" s="43"/>
      <c r="C25" s="43"/>
      <c r="D25" s="43"/>
    </row>
    <row r="26" spans="1:4" x14ac:dyDescent="0.3">
      <c r="A26" s="38" t="s">
        <v>48</v>
      </c>
      <c r="B26" s="43" t="e">
        <f>B16-B22</f>
        <v>#DIV/0!</v>
      </c>
      <c r="C26" s="43" t="e">
        <f>C16-C22</f>
        <v>#DIV/0!</v>
      </c>
      <c r="D26" s="43" t="e">
        <f>D16-D22</f>
        <v>#DIV/0!</v>
      </c>
    </row>
    <row r="27" spans="1:4" x14ac:dyDescent="0.3">
      <c r="B27" s="43"/>
      <c r="C27" s="43"/>
      <c r="D27" s="43"/>
    </row>
    <row r="28" spans="1:4" x14ac:dyDescent="0.3">
      <c r="A28" s="40" t="s">
        <v>49</v>
      </c>
      <c r="B28" s="66" t="e">
        <f>IF(B24&lt;B26,B24,B26)</f>
        <v>#DIV/0!</v>
      </c>
      <c r="C28" s="66" t="e">
        <f>IF(C24&lt;C26,C24,C26)</f>
        <v>#DIV/0!</v>
      </c>
      <c r="D28" s="66" t="e">
        <f>IF(D24&lt;D26,D24,D26)</f>
        <v>#DIV/0!</v>
      </c>
    </row>
    <row r="29" spans="1:4" x14ac:dyDescent="0.3">
      <c r="A29" s="40" t="s">
        <v>50</v>
      </c>
      <c r="B29" s="40"/>
      <c r="C29" s="40"/>
      <c r="D29" s="40"/>
    </row>
    <row r="30" spans="1:4" ht="15" thickBot="1" x14ac:dyDescent="0.35">
      <c r="A30" s="55"/>
      <c r="B30" s="55"/>
      <c r="C30" s="55"/>
      <c r="D30" s="55"/>
    </row>
    <row r="42" spans="1:4" ht="16.2" x14ac:dyDescent="0.35">
      <c r="A42" s="127" t="s">
        <v>73</v>
      </c>
    </row>
    <row r="43" spans="1:4" ht="16.5" customHeight="1" x14ac:dyDescent="0.3">
      <c r="A43" s="114" t="s">
        <v>23</v>
      </c>
      <c r="B43" s="115" t="str">
        <f t="shared" ref="B43:D44" si="0">B8</f>
        <v>Estimated</v>
      </c>
      <c r="C43" s="118" t="str">
        <f t="shared" si="0"/>
        <v>Projected</v>
      </c>
      <c r="D43" s="118" t="str">
        <f t="shared" si="0"/>
        <v>Projected</v>
      </c>
    </row>
    <row r="44" spans="1:4" ht="16.5" customHeight="1" thickBot="1" x14ac:dyDescent="0.35">
      <c r="A44" s="116"/>
      <c r="B44" s="117">
        <f t="shared" si="0"/>
        <v>0</v>
      </c>
      <c r="C44" s="117">
        <f t="shared" si="0"/>
        <v>0</v>
      </c>
      <c r="D44" s="117">
        <f t="shared" si="0"/>
        <v>0</v>
      </c>
    </row>
    <row r="45" spans="1:4" ht="15" thickTop="1" x14ac:dyDescent="0.3">
      <c r="B45" s="42"/>
      <c r="C45" s="42"/>
      <c r="D45" s="42"/>
    </row>
    <row r="46" spans="1:4" x14ac:dyDescent="0.3">
      <c r="A46" s="38" t="s">
        <v>42</v>
      </c>
      <c r="B46" s="43" t="e">
        <f>B11</f>
        <v>#DIV/0!</v>
      </c>
      <c r="C46" s="43" t="e">
        <f>C11</f>
        <v>#DIV/0!</v>
      </c>
      <c r="D46" s="43" t="e">
        <f>D11</f>
        <v>#DIV/0!</v>
      </c>
    </row>
    <row r="47" spans="1:4" x14ac:dyDescent="0.3">
      <c r="B47" s="43"/>
      <c r="C47" s="43"/>
      <c r="D47" s="43"/>
    </row>
    <row r="48" spans="1:4" x14ac:dyDescent="0.3">
      <c r="A48" s="38" t="s">
        <v>43</v>
      </c>
      <c r="B48" s="43" t="e">
        <f>B13</f>
        <v>#DIV/0!</v>
      </c>
      <c r="C48" s="43" t="e">
        <f>C13</f>
        <v>#DIV/0!</v>
      </c>
      <c r="D48" s="43" t="e">
        <f>D13</f>
        <v>#DIV/0!</v>
      </c>
    </row>
    <row r="49" spans="1:4" x14ac:dyDescent="0.3">
      <c r="A49" s="38" t="s">
        <v>44</v>
      </c>
    </row>
    <row r="51" spans="1:4" x14ac:dyDescent="0.3">
      <c r="A51" s="38" t="s">
        <v>45</v>
      </c>
      <c r="B51" s="43" t="e">
        <f>+B46-B48</f>
        <v>#DIV/0!</v>
      </c>
      <c r="C51" s="43" t="e">
        <f>+C46-C48</f>
        <v>#DIV/0!</v>
      </c>
      <c r="D51" s="43" t="e">
        <f>+D46-D48</f>
        <v>#DIV/0!</v>
      </c>
    </row>
    <row r="52" spans="1:4" x14ac:dyDescent="0.3">
      <c r="B52" s="43"/>
      <c r="C52" s="43"/>
      <c r="D52" s="43"/>
    </row>
    <row r="53" spans="1:4" x14ac:dyDescent="0.3">
      <c r="A53" s="38" t="s">
        <v>52</v>
      </c>
    </row>
    <row r="54" spans="1:4" x14ac:dyDescent="0.3">
      <c r="A54" s="38" t="s">
        <v>71</v>
      </c>
      <c r="B54" s="43" t="e">
        <f>25/100*B46</f>
        <v>#DIV/0!</v>
      </c>
      <c r="C54" s="43" t="e">
        <f>25/100*C46</f>
        <v>#DIV/0!</v>
      </c>
      <c r="D54" s="43" t="e">
        <f>25/100*D46</f>
        <v>#DIV/0!</v>
      </c>
    </row>
    <row r="56" spans="1:4" x14ac:dyDescent="0.3">
      <c r="A56" s="38" t="s">
        <v>46</v>
      </c>
      <c r="B56" s="43" t="e">
        <f>B22</f>
        <v>#DIV/0!</v>
      </c>
      <c r="C56" s="43" t="e">
        <f>C22</f>
        <v>#DIV/0!</v>
      </c>
      <c r="D56" s="43" t="e">
        <f>D22</f>
        <v>#DIV/0!</v>
      </c>
    </row>
    <row r="57" spans="1:4" x14ac:dyDescent="0.3">
      <c r="B57" s="43"/>
      <c r="C57" s="43"/>
      <c r="D57" s="43"/>
    </row>
    <row r="58" spans="1:4" x14ac:dyDescent="0.3">
      <c r="A58" s="38" t="s">
        <v>47</v>
      </c>
      <c r="B58" s="43" t="e">
        <f>+B51-B54</f>
        <v>#DIV/0!</v>
      </c>
      <c r="C58" s="43" t="e">
        <f>+C51-C54</f>
        <v>#DIV/0!</v>
      </c>
      <c r="D58" s="43" t="e">
        <f>+D51-D54</f>
        <v>#DIV/0!</v>
      </c>
    </row>
    <row r="59" spans="1:4" x14ac:dyDescent="0.3">
      <c r="B59" s="43"/>
      <c r="C59" s="43"/>
      <c r="D59" s="43"/>
    </row>
    <row r="60" spans="1:4" x14ac:dyDescent="0.3">
      <c r="A60" s="38" t="s">
        <v>48</v>
      </c>
      <c r="B60" s="43" t="e">
        <f>B51-B56</f>
        <v>#DIV/0!</v>
      </c>
      <c r="C60" s="43" t="e">
        <f>C51-C56</f>
        <v>#DIV/0!</v>
      </c>
      <c r="D60" s="43" t="e">
        <f>D51-D56</f>
        <v>#DIV/0!</v>
      </c>
    </row>
    <row r="61" spans="1:4" x14ac:dyDescent="0.3">
      <c r="B61" s="43"/>
      <c r="C61" s="43"/>
      <c r="D61" s="43"/>
    </row>
    <row r="62" spans="1:4" x14ac:dyDescent="0.3">
      <c r="A62" s="40" t="s">
        <v>49</v>
      </c>
      <c r="B62" s="66" t="e">
        <f>IF(B58&lt;B60,B58,B60)</f>
        <v>#DIV/0!</v>
      </c>
      <c r="C62" s="66" t="e">
        <f>IF(C58&lt;C60,C58,C60)</f>
        <v>#DIV/0!</v>
      </c>
      <c r="D62" s="66" t="e">
        <f>IF(D58&lt;D60,D58,D60)</f>
        <v>#DIV/0!</v>
      </c>
    </row>
    <row r="63" spans="1:4" x14ac:dyDescent="0.3">
      <c r="A63" s="40" t="s">
        <v>50</v>
      </c>
      <c r="B63" s="40"/>
      <c r="C63" s="40"/>
      <c r="D63" s="40"/>
    </row>
    <row r="65" spans="1:4" ht="15" thickBot="1" x14ac:dyDescent="0.35">
      <c r="A65" s="55"/>
      <c r="B65" s="55"/>
      <c r="C65" s="55"/>
      <c r="D65" s="55"/>
    </row>
  </sheetData>
  <mergeCells count="4">
    <mergeCell ref="A1:D1"/>
    <mergeCell ref="A2:D2"/>
    <mergeCell ref="A3:D3"/>
    <mergeCell ref="A5:D5"/>
  </mergeCells>
  <pageMargins left="0.43307086614173229" right="0.15748031496062992" top="0.27559055118110237" bottom="0.27559055118110237" header="0.19685039370078741" footer="0.15748031496062992"/>
  <pageSetup scale="1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workbookViewId="0">
      <selection activeCell="A16" sqref="A16"/>
    </sheetView>
  </sheetViews>
  <sheetFormatPr defaultColWidth="9.21875" defaultRowHeight="14.4" x14ac:dyDescent="0.3"/>
  <cols>
    <col min="1" max="1" width="27.21875" style="38" customWidth="1"/>
    <col min="2" max="2" width="10.44140625" style="38" customWidth="1"/>
    <col min="3" max="3" width="12.5546875" style="38" customWidth="1"/>
    <col min="4" max="4" width="15.21875" style="38" customWidth="1"/>
    <col min="5" max="5" width="14.77734375" style="38" customWidth="1"/>
    <col min="6" max="16384" width="9.21875" style="38"/>
  </cols>
  <sheetData>
    <row r="1" spans="1:5" ht="7.5" customHeight="1" x14ac:dyDescent="0.3"/>
    <row r="2" spans="1:5" ht="20.25" customHeight="1" x14ac:dyDescent="0.3">
      <c r="A2" s="338">
        <f>Assumptions.1!I4</f>
        <v>0</v>
      </c>
      <c r="B2" s="338"/>
      <c r="C2" s="338"/>
      <c r="D2" s="338"/>
      <c r="E2" s="338"/>
    </row>
    <row r="3" spans="1:5" ht="18.75" customHeight="1" x14ac:dyDescent="0.3">
      <c r="A3" s="338">
        <f>Assumptions.1!I6</f>
        <v>0</v>
      </c>
      <c r="B3" s="338"/>
      <c r="C3" s="338"/>
      <c r="D3" s="338"/>
      <c r="E3" s="338"/>
    </row>
    <row r="4" spans="1:5" ht="21.75" customHeight="1" x14ac:dyDescent="0.3">
      <c r="A4" s="338">
        <f>Assumptions.1!I7</f>
        <v>0</v>
      </c>
      <c r="B4" s="338"/>
      <c r="C4" s="338"/>
      <c r="D4" s="338"/>
      <c r="E4" s="338"/>
    </row>
    <row r="6" spans="1:5" ht="18.75" customHeight="1" x14ac:dyDescent="0.3">
      <c r="A6" s="339" t="s">
        <v>82</v>
      </c>
      <c r="B6" s="339"/>
      <c r="C6" s="339"/>
      <c r="D6" s="339"/>
      <c r="E6" s="339"/>
    </row>
    <row r="7" spans="1:5" x14ac:dyDescent="0.3">
      <c r="A7" s="40"/>
      <c r="B7" s="40"/>
    </row>
    <row r="8" spans="1:5" x14ac:dyDescent="0.3">
      <c r="A8" s="338" t="s">
        <v>83</v>
      </c>
      <c r="B8" s="338"/>
      <c r="C8" s="338"/>
      <c r="D8" s="338"/>
      <c r="E8" s="338"/>
    </row>
    <row r="10" spans="1:5" ht="20.25" customHeight="1" x14ac:dyDescent="0.3">
      <c r="A10" s="114" t="s">
        <v>0</v>
      </c>
      <c r="B10" s="118"/>
      <c r="C10" s="115" t="str">
        <f>'MPBF '!B8</f>
        <v>Estimated</v>
      </c>
      <c r="D10" s="115" t="str">
        <f>'MPBF '!C8</f>
        <v>Projected</v>
      </c>
      <c r="E10" s="115" t="str">
        <f>'MPBF '!D8</f>
        <v>Projected</v>
      </c>
    </row>
    <row r="11" spans="1:5" ht="17.25" customHeight="1" thickBot="1" x14ac:dyDescent="0.35">
      <c r="A11" s="116"/>
      <c r="B11" s="117"/>
      <c r="C11" s="117">
        <f>'MPBF '!B9</f>
        <v>0</v>
      </c>
      <c r="D11" s="117">
        <f>'MPBF '!C9</f>
        <v>0</v>
      </c>
      <c r="E11" s="117">
        <f>'MPBF '!D9</f>
        <v>0</v>
      </c>
    </row>
    <row r="12" spans="1:5" ht="15" thickTop="1" x14ac:dyDescent="0.3"/>
    <row r="13" spans="1:5" x14ac:dyDescent="0.3">
      <c r="A13" s="38" t="s">
        <v>41</v>
      </c>
      <c r="B13" s="43"/>
      <c r="C13" s="43" t="e">
        <f>PLBS!D10</f>
        <v>#DIV/0!</v>
      </c>
      <c r="D13" s="43" t="e">
        <f>PLBS!E10</f>
        <v>#DIV/0!</v>
      </c>
      <c r="E13" s="43" t="e">
        <f>PLBS!F10</f>
        <v>#DIV/0!</v>
      </c>
    </row>
    <row r="14" spans="1:5" x14ac:dyDescent="0.3">
      <c r="B14" s="43"/>
    </row>
    <row r="15" spans="1:5" x14ac:dyDescent="0.3">
      <c r="A15" s="38" t="s">
        <v>255</v>
      </c>
      <c r="B15" s="43"/>
      <c r="C15" s="43" t="e">
        <f>C13*25/100</f>
        <v>#DIV/0!</v>
      </c>
      <c r="D15" s="43" t="e">
        <f>D13*25/100</f>
        <v>#DIV/0!</v>
      </c>
      <c r="E15" s="43" t="e">
        <f>E13*25/100</f>
        <v>#DIV/0!</v>
      </c>
    </row>
    <row r="16" spans="1:5" x14ac:dyDescent="0.3">
      <c r="A16" s="38" t="s">
        <v>84</v>
      </c>
      <c r="B16" s="43"/>
    </row>
    <row r="17" spans="1:5" x14ac:dyDescent="0.3">
      <c r="B17" s="43"/>
    </row>
    <row r="18" spans="1:5" x14ac:dyDescent="0.3">
      <c r="A18" s="38" t="s">
        <v>253</v>
      </c>
      <c r="B18" s="43"/>
      <c r="C18" s="43" t="e">
        <f>C15*80/100</f>
        <v>#DIV/0!</v>
      </c>
      <c r="D18" s="43" t="e">
        <f>D15*80/100</f>
        <v>#DIV/0!</v>
      </c>
      <c r="E18" s="43" t="e">
        <f>E15*80/100</f>
        <v>#DIV/0!</v>
      </c>
    </row>
    <row r="19" spans="1:5" x14ac:dyDescent="0.3">
      <c r="A19" s="38" t="s">
        <v>254</v>
      </c>
      <c r="B19" s="43"/>
    </row>
    <row r="20" spans="1:5" x14ac:dyDescent="0.3">
      <c r="B20" s="43"/>
    </row>
    <row r="21" spans="1:5" x14ac:dyDescent="0.3">
      <c r="A21" s="38" t="s">
        <v>85</v>
      </c>
      <c r="B21" s="43"/>
      <c r="C21" s="43">
        <f>Assumptions.1!I12</f>
        <v>0</v>
      </c>
      <c r="D21" s="43">
        <f>C21</f>
        <v>0</v>
      </c>
      <c r="E21" s="43">
        <f>D21</f>
        <v>0</v>
      </c>
    </row>
    <row r="22" spans="1:5" x14ac:dyDescent="0.3">
      <c r="B22" s="43"/>
    </row>
    <row r="23" spans="1:5" x14ac:dyDescent="0.3">
      <c r="A23" s="38" t="s">
        <v>86</v>
      </c>
      <c r="B23" s="43"/>
      <c r="C23" s="43" t="e">
        <f>IF(C18&lt;C21,C18,C21)</f>
        <v>#DIV/0!</v>
      </c>
      <c r="D23" s="43" t="e">
        <f>IF(D18&lt;D21,D18,D21)</f>
        <v>#DIV/0!</v>
      </c>
      <c r="E23" s="43" t="e">
        <f>IF(E18&lt;E21,E18,E21)</f>
        <v>#DIV/0!</v>
      </c>
    </row>
    <row r="24" spans="1:5" ht="15" thickBot="1" x14ac:dyDescent="0.35">
      <c r="A24" s="55"/>
      <c r="B24" s="55"/>
      <c r="C24" s="55"/>
      <c r="D24" s="55"/>
      <c r="E24" s="55"/>
    </row>
    <row r="27" spans="1:5" x14ac:dyDescent="0.3">
      <c r="A27" s="40" t="s">
        <v>87</v>
      </c>
    </row>
    <row r="28" spans="1:5" x14ac:dyDescent="0.3">
      <c r="A28" s="38" t="s">
        <v>88</v>
      </c>
    </row>
    <row r="29" spans="1:5" x14ac:dyDescent="0.3">
      <c r="A29" s="38" t="s">
        <v>89</v>
      </c>
    </row>
  </sheetData>
  <mergeCells count="5">
    <mergeCell ref="A3:E3"/>
    <mergeCell ref="A2:E2"/>
    <mergeCell ref="A4:E4"/>
    <mergeCell ref="A6:E6"/>
    <mergeCell ref="A8:E8"/>
  </mergeCells>
  <pageMargins left="0.31496062992125984" right="0.70866141732283472" top="0.47244094488188981" bottom="0.74803149606299213" header="0.31496062992125984" footer="0.31496062992125984"/>
  <pageSetup scale="12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4"/>
  <sheetViews>
    <sheetView workbookViewId="0">
      <selection activeCell="O13" sqref="O13"/>
    </sheetView>
  </sheetViews>
  <sheetFormatPr defaultColWidth="9.21875" defaultRowHeight="14.4" x14ac:dyDescent="0.35"/>
  <cols>
    <col min="1" max="1" width="26.77734375" style="18" customWidth="1"/>
    <col min="2" max="2" width="15.21875" style="18" customWidth="1"/>
    <col min="3" max="12" width="11" style="18" customWidth="1"/>
    <col min="13" max="13" width="11.44140625" style="18" customWidth="1"/>
    <col min="14" max="16384" width="9.21875" style="18"/>
  </cols>
  <sheetData>
    <row r="1" spans="1:13" x14ac:dyDescent="0.35">
      <c r="A1" s="349">
        <f>Assumptions.1!I4</f>
        <v>0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</row>
    <row r="2" spans="1:13" x14ac:dyDescent="0.35">
      <c r="A2" s="349">
        <f>Assumptions.1!I6</f>
        <v>0</v>
      </c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</row>
    <row r="3" spans="1:13" x14ac:dyDescent="0.35">
      <c r="A3" s="349">
        <f>Assumptions.1!I7</f>
        <v>0</v>
      </c>
      <c r="B3" s="349"/>
      <c r="C3" s="349"/>
      <c r="D3" s="349"/>
      <c r="E3" s="349"/>
      <c r="F3" s="349"/>
      <c r="G3" s="349"/>
      <c r="H3" s="349"/>
      <c r="I3" s="349"/>
      <c r="J3" s="349"/>
      <c r="K3" s="349"/>
      <c r="L3" s="349"/>
      <c r="M3" s="349"/>
    </row>
    <row r="5" spans="1:13" x14ac:dyDescent="0.35">
      <c r="A5" s="349" t="s">
        <v>112</v>
      </c>
      <c r="B5" s="349"/>
      <c r="C5" s="349"/>
      <c r="D5" s="349"/>
      <c r="E5" s="349"/>
      <c r="F5" s="349"/>
      <c r="G5" s="349"/>
      <c r="H5" s="349"/>
      <c r="I5" s="349"/>
      <c r="J5" s="349"/>
      <c r="K5" s="349"/>
      <c r="L5" s="349"/>
      <c r="M5" s="349"/>
    </row>
    <row r="6" spans="1:13" x14ac:dyDescent="0.3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</row>
    <row r="7" spans="1:13" x14ac:dyDescent="0.35">
      <c r="B7" s="90"/>
      <c r="M7" s="26" t="s">
        <v>113</v>
      </c>
    </row>
    <row r="8" spans="1:13" ht="15" customHeight="1" x14ac:dyDescent="0.35">
      <c r="A8" s="79"/>
      <c r="B8" s="82"/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80"/>
    </row>
    <row r="9" spans="1:13" ht="30" customHeight="1" x14ac:dyDescent="0.35">
      <c r="A9" s="81"/>
      <c r="B9" s="351" t="str">
        <f>Assumptions.1!B96</f>
        <v>Plant and Machinery</v>
      </c>
      <c r="C9" s="350" t="str">
        <f>Assumptions.1!B106</f>
        <v>Service Equipment</v>
      </c>
      <c r="D9" s="350" t="str">
        <f>Assumptions.1!B116</f>
        <v>Shed and Civil works</v>
      </c>
      <c r="E9" s="350" t="str">
        <f>Assumptions.1!B126</f>
        <v>Land</v>
      </c>
      <c r="F9" s="350" t="str">
        <f>Assumptions.1!B129</f>
        <v>Electrical Items</v>
      </c>
      <c r="G9" s="350" t="str">
        <f>Assumptions.1!B138</f>
        <v>Electronic items</v>
      </c>
      <c r="H9" s="350" t="str">
        <f>Assumptions.1!B148</f>
        <v xml:space="preserve">Furniture and Fittings </v>
      </c>
      <c r="I9" s="350" t="str">
        <f>Assumptions.1!B158</f>
        <v>Vehicles</v>
      </c>
      <c r="J9" s="350" t="str">
        <f>Assumptions.1!B168</f>
        <v>Live stock</v>
      </c>
      <c r="K9" s="350" t="str">
        <f>Assumptions.1!B177</f>
        <v>Other Assets</v>
      </c>
      <c r="L9" s="350" t="str">
        <f>Assumptions.1!B187</f>
        <v>Other Assets (Nil Depreciation)</v>
      </c>
      <c r="M9" s="82"/>
    </row>
    <row r="10" spans="1:13" ht="7.5" customHeight="1" x14ac:dyDescent="0.35">
      <c r="A10" s="81"/>
      <c r="B10" s="351"/>
      <c r="C10" s="350"/>
      <c r="D10" s="350"/>
      <c r="E10" s="350"/>
      <c r="F10" s="350"/>
      <c r="G10" s="350"/>
      <c r="H10" s="350"/>
      <c r="I10" s="350"/>
      <c r="J10" s="350"/>
      <c r="K10" s="350"/>
      <c r="L10" s="350"/>
      <c r="M10" s="82"/>
    </row>
    <row r="11" spans="1:13" ht="17.25" customHeight="1" x14ac:dyDescent="0.35">
      <c r="A11" s="81"/>
      <c r="B11" s="82"/>
      <c r="C11" s="350"/>
      <c r="D11" s="350"/>
      <c r="E11" s="350"/>
      <c r="F11" s="350"/>
      <c r="G11" s="350"/>
      <c r="H11" s="350"/>
      <c r="I11" s="350"/>
      <c r="J11" s="350"/>
      <c r="K11" s="350"/>
      <c r="L11" s="350"/>
      <c r="M11" s="82" t="s">
        <v>114</v>
      </c>
    </row>
    <row r="12" spans="1:13" ht="15" thickBot="1" x14ac:dyDescent="0.4">
      <c r="A12" s="83"/>
      <c r="B12" s="84">
        <f>Assumptions.1!I65</f>
        <v>0.15</v>
      </c>
      <c r="C12" s="84">
        <f>Assumptions.1!I66</f>
        <v>0.15</v>
      </c>
      <c r="D12" s="84">
        <f>Assumptions.1!I67</f>
        <v>0.1</v>
      </c>
      <c r="E12" s="84">
        <f>Assumptions.1!I68</f>
        <v>0</v>
      </c>
      <c r="F12" s="84">
        <f>Assumptions.1!I70</f>
        <v>0.15</v>
      </c>
      <c r="G12" s="84">
        <f>Assumptions.1!I71</f>
        <v>0.15</v>
      </c>
      <c r="H12" s="84">
        <f>Assumptions.1!I69</f>
        <v>0.1</v>
      </c>
      <c r="I12" s="84">
        <f>Assumptions.1!I72</f>
        <v>0.15</v>
      </c>
      <c r="J12" s="84">
        <f>Assumptions.1!I73</f>
        <v>0</v>
      </c>
      <c r="K12" s="84">
        <f>Assumptions.1!I75</f>
        <v>0.1</v>
      </c>
      <c r="L12" s="84">
        <f>Assumptions.1!I74</f>
        <v>0</v>
      </c>
      <c r="M12" s="85"/>
    </row>
    <row r="13" spans="1:13" ht="15" thickTop="1" x14ac:dyDescent="0.35"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27"/>
    </row>
    <row r="14" spans="1:13" x14ac:dyDescent="0.35">
      <c r="A14" s="24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33"/>
    </row>
    <row r="15" spans="1:13" x14ac:dyDescent="0.35">
      <c r="A15" s="91">
        <f>PLBS!D45</f>
        <v>0</v>
      </c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33"/>
    </row>
    <row r="16" spans="1:13" x14ac:dyDescent="0.35">
      <c r="A16" s="18" t="s">
        <v>273</v>
      </c>
      <c r="B16" s="87">
        <f>Assumptions.1!F96</f>
        <v>0</v>
      </c>
      <c r="C16" s="87">
        <f>Assumptions.1!F106</f>
        <v>0</v>
      </c>
      <c r="D16" s="87">
        <f>Assumptions.1!F116</f>
        <v>0</v>
      </c>
      <c r="E16" s="87">
        <f>Assumptions.1!F126</f>
        <v>0</v>
      </c>
      <c r="F16" s="87">
        <f>Assumptions.1!F129</f>
        <v>0</v>
      </c>
      <c r="G16" s="87">
        <f>Assumptions.1!F138</f>
        <v>0</v>
      </c>
      <c r="H16" s="87">
        <f>Assumptions.1!F148</f>
        <v>0</v>
      </c>
      <c r="I16" s="87">
        <f>Assumptions.1!F158</f>
        <v>0</v>
      </c>
      <c r="J16" s="87">
        <f>Assumptions.1!F168</f>
        <v>0</v>
      </c>
      <c r="K16" s="87">
        <f>Assumptions.1!F177</f>
        <v>0</v>
      </c>
      <c r="L16" s="87">
        <f>Assumptions.1!F187</f>
        <v>0</v>
      </c>
      <c r="M16" s="33">
        <f>B16+C16+D16+E16+F16+G16+H16+I16+J16+K16+L16</f>
        <v>0</v>
      </c>
    </row>
    <row r="17" spans="1:13" x14ac:dyDescent="0.35">
      <c r="A17" s="18" t="s">
        <v>115</v>
      </c>
      <c r="B17" s="87">
        <v>0</v>
      </c>
      <c r="C17" s="87">
        <v>0</v>
      </c>
      <c r="D17" s="87">
        <v>0</v>
      </c>
      <c r="E17" s="87">
        <v>0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>
        <v>0</v>
      </c>
      <c r="L17" s="87">
        <v>0</v>
      </c>
      <c r="M17" s="33">
        <f t="shared" ref="M17:M34" si="0">B17+C17+D17+E17+F17+G17+H17+I17+J17+K17+L17</f>
        <v>0</v>
      </c>
    </row>
    <row r="18" spans="1:13" x14ac:dyDescent="0.35">
      <c r="A18" s="18" t="s">
        <v>114</v>
      </c>
      <c r="B18" s="87">
        <f>B16+B17</f>
        <v>0</v>
      </c>
      <c r="C18" s="87">
        <f t="shared" ref="C18:L18" si="1">C16+C17</f>
        <v>0</v>
      </c>
      <c r="D18" s="87">
        <f t="shared" si="1"/>
        <v>0</v>
      </c>
      <c r="E18" s="87">
        <f t="shared" si="1"/>
        <v>0</v>
      </c>
      <c r="F18" s="87">
        <f t="shared" si="1"/>
        <v>0</v>
      </c>
      <c r="G18" s="87">
        <f t="shared" si="1"/>
        <v>0</v>
      </c>
      <c r="H18" s="87">
        <f t="shared" si="1"/>
        <v>0</v>
      </c>
      <c r="I18" s="87">
        <f t="shared" si="1"/>
        <v>0</v>
      </c>
      <c r="J18" s="87">
        <f t="shared" si="1"/>
        <v>0</v>
      </c>
      <c r="K18" s="87">
        <f t="shared" si="1"/>
        <v>0</v>
      </c>
      <c r="L18" s="87">
        <f t="shared" si="1"/>
        <v>0</v>
      </c>
      <c r="M18" s="33">
        <f t="shared" si="0"/>
        <v>0</v>
      </c>
    </row>
    <row r="19" spans="1:13" x14ac:dyDescent="0.35">
      <c r="A19" s="18" t="s">
        <v>33</v>
      </c>
      <c r="B19" s="87">
        <f>B18*B12</f>
        <v>0</v>
      </c>
      <c r="C19" s="87">
        <f t="shared" ref="C19:L19" si="2">C18*C12</f>
        <v>0</v>
      </c>
      <c r="D19" s="87">
        <f t="shared" si="2"/>
        <v>0</v>
      </c>
      <c r="E19" s="87">
        <f t="shared" si="2"/>
        <v>0</v>
      </c>
      <c r="F19" s="87">
        <f t="shared" si="2"/>
        <v>0</v>
      </c>
      <c r="G19" s="87">
        <f t="shared" si="2"/>
        <v>0</v>
      </c>
      <c r="H19" s="87">
        <f t="shared" si="2"/>
        <v>0</v>
      </c>
      <c r="I19" s="87">
        <f t="shared" si="2"/>
        <v>0</v>
      </c>
      <c r="J19" s="87">
        <f t="shared" si="2"/>
        <v>0</v>
      </c>
      <c r="K19" s="87">
        <f t="shared" si="2"/>
        <v>0</v>
      </c>
      <c r="L19" s="87">
        <f t="shared" si="2"/>
        <v>0</v>
      </c>
      <c r="M19" s="33">
        <f t="shared" si="0"/>
        <v>0</v>
      </c>
    </row>
    <row r="20" spans="1:13" x14ac:dyDescent="0.35">
      <c r="A20" s="18" t="s">
        <v>274</v>
      </c>
      <c r="B20" s="87">
        <f>B18-B19</f>
        <v>0</v>
      </c>
      <c r="C20" s="87">
        <f t="shared" ref="C20:L20" si="3">C18-C19</f>
        <v>0</v>
      </c>
      <c r="D20" s="87">
        <f t="shared" si="3"/>
        <v>0</v>
      </c>
      <c r="E20" s="87">
        <f t="shared" si="3"/>
        <v>0</v>
      </c>
      <c r="F20" s="87">
        <f t="shared" si="3"/>
        <v>0</v>
      </c>
      <c r="G20" s="87">
        <f t="shared" si="3"/>
        <v>0</v>
      </c>
      <c r="H20" s="87">
        <f t="shared" si="3"/>
        <v>0</v>
      </c>
      <c r="I20" s="87">
        <f t="shared" si="3"/>
        <v>0</v>
      </c>
      <c r="J20" s="87">
        <f t="shared" si="3"/>
        <v>0</v>
      </c>
      <c r="K20" s="87">
        <f t="shared" si="3"/>
        <v>0</v>
      </c>
      <c r="L20" s="87">
        <f t="shared" si="3"/>
        <v>0</v>
      </c>
      <c r="M20" s="33">
        <f t="shared" si="0"/>
        <v>0</v>
      </c>
    </row>
    <row r="21" spans="1:13" x14ac:dyDescent="0.35"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33">
        <f t="shared" si="0"/>
        <v>0</v>
      </c>
    </row>
    <row r="22" spans="1:13" x14ac:dyDescent="0.35">
      <c r="A22" s="91">
        <f>PLBS!E45</f>
        <v>0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33">
        <f t="shared" si="0"/>
        <v>0</v>
      </c>
    </row>
    <row r="23" spans="1:13" x14ac:dyDescent="0.35">
      <c r="A23" s="18" t="s">
        <v>273</v>
      </c>
      <c r="B23" s="87">
        <f>B20</f>
        <v>0</v>
      </c>
      <c r="C23" s="87">
        <f t="shared" ref="C23:L23" si="4">C20</f>
        <v>0</v>
      </c>
      <c r="D23" s="87">
        <f t="shared" si="4"/>
        <v>0</v>
      </c>
      <c r="E23" s="87">
        <f t="shared" si="4"/>
        <v>0</v>
      </c>
      <c r="F23" s="87">
        <f t="shared" si="4"/>
        <v>0</v>
      </c>
      <c r="G23" s="87">
        <f t="shared" si="4"/>
        <v>0</v>
      </c>
      <c r="H23" s="87">
        <f t="shared" si="4"/>
        <v>0</v>
      </c>
      <c r="I23" s="87">
        <f t="shared" si="4"/>
        <v>0</v>
      </c>
      <c r="J23" s="87">
        <f t="shared" si="4"/>
        <v>0</v>
      </c>
      <c r="K23" s="87">
        <f t="shared" si="4"/>
        <v>0</v>
      </c>
      <c r="L23" s="87">
        <f t="shared" si="4"/>
        <v>0</v>
      </c>
      <c r="M23" s="33">
        <f t="shared" si="0"/>
        <v>0</v>
      </c>
    </row>
    <row r="24" spans="1:13" x14ac:dyDescent="0.35">
      <c r="A24" s="18" t="s">
        <v>115</v>
      </c>
      <c r="B24" s="87">
        <v>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0</v>
      </c>
      <c r="I24" s="87">
        <v>0</v>
      </c>
      <c r="J24" s="87">
        <v>0</v>
      </c>
      <c r="K24" s="87">
        <v>0</v>
      </c>
      <c r="L24" s="87">
        <v>0</v>
      </c>
      <c r="M24" s="33">
        <f t="shared" si="0"/>
        <v>0</v>
      </c>
    </row>
    <row r="25" spans="1:13" x14ac:dyDescent="0.35">
      <c r="A25" s="18" t="s">
        <v>114</v>
      </c>
      <c r="B25" s="87">
        <f>B23+B24</f>
        <v>0</v>
      </c>
      <c r="C25" s="87">
        <f t="shared" ref="C25:L25" si="5">C23+C24</f>
        <v>0</v>
      </c>
      <c r="D25" s="87">
        <f t="shared" si="5"/>
        <v>0</v>
      </c>
      <c r="E25" s="87">
        <f t="shared" si="5"/>
        <v>0</v>
      </c>
      <c r="F25" s="87">
        <f t="shared" si="5"/>
        <v>0</v>
      </c>
      <c r="G25" s="87">
        <f t="shared" si="5"/>
        <v>0</v>
      </c>
      <c r="H25" s="87">
        <f t="shared" si="5"/>
        <v>0</v>
      </c>
      <c r="I25" s="87">
        <f t="shared" si="5"/>
        <v>0</v>
      </c>
      <c r="J25" s="87">
        <f t="shared" si="5"/>
        <v>0</v>
      </c>
      <c r="K25" s="87">
        <f t="shared" si="5"/>
        <v>0</v>
      </c>
      <c r="L25" s="87">
        <f t="shared" si="5"/>
        <v>0</v>
      </c>
      <c r="M25" s="33">
        <f t="shared" si="0"/>
        <v>0</v>
      </c>
    </row>
    <row r="26" spans="1:13" x14ac:dyDescent="0.35">
      <c r="A26" s="18" t="s">
        <v>33</v>
      </c>
      <c r="B26" s="87">
        <f>B25*B12</f>
        <v>0</v>
      </c>
      <c r="C26" s="87">
        <f t="shared" ref="C26:L26" si="6">C25*C12</f>
        <v>0</v>
      </c>
      <c r="D26" s="87">
        <f t="shared" si="6"/>
        <v>0</v>
      </c>
      <c r="E26" s="87">
        <f t="shared" si="6"/>
        <v>0</v>
      </c>
      <c r="F26" s="87">
        <f t="shared" si="6"/>
        <v>0</v>
      </c>
      <c r="G26" s="87">
        <f t="shared" si="6"/>
        <v>0</v>
      </c>
      <c r="H26" s="87">
        <f t="shared" si="6"/>
        <v>0</v>
      </c>
      <c r="I26" s="87">
        <f t="shared" si="6"/>
        <v>0</v>
      </c>
      <c r="J26" s="87">
        <f t="shared" si="6"/>
        <v>0</v>
      </c>
      <c r="K26" s="87">
        <f t="shared" si="6"/>
        <v>0</v>
      </c>
      <c r="L26" s="87">
        <f t="shared" si="6"/>
        <v>0</v>
      </c>
      <c r="M26" s="33">
        <f t="shared" si="0"/>
        <v>0</v>
      </c>
    </row>
    <row r="27" spans="1:13" x14ac:dyDescent="0.35">
      <c r="A27" s="18" t="s">
        <v>275</v>
      </c>
      <c r="B27" s="87">
        <f>B25-B26</f>
        <v>0</v>
      </c>
      <c r="C27" s="87">
        <f t="shared" ref="C27:L27" si="7">C25-C26</f>
        <v>0</v>
      </c>
      <c r="D27" s="87">
        <f t="shared" si="7"/>
        <v>0</v>
      </c>
      <c r="E27" s="87">
        <f t="shared" si="7"/>
        <v>0</v>
      </c>
      <c r="F27" s="87">
        <f t="shared" si="7"/>
        <v>0</v>
      </c>
      <c r="G27" s="87">
        <f t="shared" si="7"/>
        <v>0</v>
      </c>
      <c r="H27" s="87">
        <f t="shared" si="7"/>
        <v>0</v>
      </c>
      <c r="I27" s="87">
        <f t="shared" si="7"/>
        <v>0</v>
      </c>
      <c r="J27" s="87">
        <f t="shared" si="7"/>
        <v>0</v>
      </c>
      <c r="K27" s="87">
        <f t="shared" si="7"/>
        <v>0</v>
      </c>
      <c r="L27" s="87">
        <f t="shared" si="7"/>
        <v>0</v>
      </c>
      <c r="M27" s="33">
        <f t="shared" si="0"/>
        <v>0</v>
      </c>
    </row>
    <row r="28" spans="1:13" x14ac:dyDescent="0.35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33">
        <f t="shared" si="0"/>
        <v>0</v>
      </c>
    </row>
    <row r="29" spans="1:13" x14ac:dyDescent="0.35">
      <c r="A29" s="91">
        <f>PLBS!F45</f>
        <v>0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33">
        <f t="shared" si="0"/>
        <v>0</v>
      </c>
    </row>
    <row r="30" spans="1:13" x14ac:dyDescent="0.35">
      <c r="A30" s="18" t="s">
        <v>273</v>
      </c>
      <c r="B30" s="87">
        <f>B27</f>
        <v>0</v>
      </c>
      <c r="C30" s="87">
        <f t="shared" ref="C30:L30" si="8">C27</f>
        <v>0</v>
      </c>
      <c r="D30" s="87">
        <f t="shared" si="8"/>
        <v>0</v>
      </c>
      <c r="E30" s="87">
        <f t="shared" si="8"/>
        <v>0</v>
      </c>
      <c r="F30" s="87">
        <f t="shared" si="8"/>
        <v>0</v>
      </c>
      <c r="G30" s="87">
        <f t="shared" si="8"/>
        <v>0</v>
      </c>
      <c r="H30" s="87">
        <f t="shared" si="8"/>
        <v>0</v>
      </c>
      <c r="I30" s="87">
        <f t="shared" si="8"/>
        <v>0</v>
      </c>
      <c r="J30" s="87">
        <f t="shared" si="8"/>
        <v>0</v>
      </c>
      <c r="K30" s="87">
        <f t="shared" si="8"/>
        <v>0</v>
      </c>
      <c r="L30" s="87">
        <f t="shared" si="8"/>
        <v>0</v>
      </c>
      <c r="M30" s="33">
        <f t="shared" si="0"/>
        <v>0</v>
      </c>
    </row>
    <row r="31" spans="1:13" x14ac:dyDescent="0.35">
      <c r="A31" s="18" t="s">
        <v>115</v>
      </c>
      <c r="B31" s="87">
        <v>0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0</v>
      </c>
      <c r="M31" s="33">
        <f t="shared" si="0"/>
        <v>0</v>
      </c>
    </row>
    <row r="32" spans="1:13" x14ac:dyDescent="0.35">
      <c r="A32" s="18" t="s">
        <v>114</v>
      </c>
      <c r="B32" s="87">
        <f>B30+B31</f>
        <v>0</v>
      </c>
      <c r="C32" s="87">
        <f t="shared" ref="C32:L32" si="9">C30+C31</f>
        <v>0</v>
      </c>
      <c r="D32" s="87">
        <f t="shared" si="9"/>
        <v>0</v>
      </c>
      <c r="E32" s="87">
        <f t="shared" si="9"/>
        <v>0</v>
      </c>
      <c r="F32" s="87">
        <f t="shared" si="9"/>
        <v>0</v>
      </c>
      <c r="G32" s="87">
        <f t="shared" si="9"/>
        <v>0</v>
      </c>
      <c r="H32" s="87">
        <f t="shared" si="9"/>
        <v>0</v>
      </c>
      <c r="I32" s="87">
        <f t="shared" si="9"/>
        <v>0</v>
      </c>
      <c r="J32" s="87">
        <f t="shared" si="9"/>
        <v>0</v>
      </c>
      <c r="K32" s="87">
        <f t="shared" si="9"/>
        <v>0</v>
      </c>
      <c r="L32" s="87">
        <f t="shared" si="9"/>
        <v>0</v>
      </c>
      <c r="M32" s="33">
        <f t="shared" si="0"/>
        <v>0</v>
      </c>
    </row>
    <row r="33" spans="1:13" x14ac:dyDescent="0.35">
      <c r="A33" s="18" t="s">
        <v>33</v>
      </c>
      <c r="B33" s="87">
        <f>B32*B12</f>
        <v>0</v>
      </c>
      <c r="C33" s="87">
        <f t="shared" ref="C33:L33" si="10">C32*C12</f>
        <v>0</v>
      </c>
      <c r="D33" s="87">
        <f t="shared" si="10"/>
        <v>0</v>
      </c>
      <c r="E33" s="87">
        <f t="shared" si="10"/>
        <v>0</v>
      </c>
      <c r="F33" s="87">
        <f t="shared" si="10"/>
        <v>0</v>
      </c>
      <c r="G33" s="87">
        <f t="shared" si="10"/>
        <v>0</v>
      </c>
      <c r="H33" s="87">
        <f t="shared" si="10"/>
        <v>0</v>
      </c>
      <c r="I33" s="87">
        <f t="shared" si="10"/>
        <v>0</v>
      </c>
      <c r="J33" s="87">
        <f t="shared" si="10"/>
        <v>0</v>
      </c>
      <c r="K33" s="87">
        <f t="shared" si="10"/>
        <v>0</v>
      </c>
      <c r="L33" s="87">
        <f t="shared" si="10"/>
        <v>0</v>
      </c>
      <c r="M33" s="33">
        <f t="shared" si="0"/>
        <v>0</v>
      </c>
    </row>
    <row r="34" spans="1:13" x14ac:dyDescent="0.35">
      <c r="A34" s="18" t="s">
        <v>275</v>
      </c>
      <c r="B34" s="87">
        <f>B32-B33</f>
        <v>0</v>
      </c>
      <c r="C34" s="87">
        <f t="shared" ref="C34:L34" si="11">C32-C33</f>
        <v>0</v>
      </c>
      <c r="D34" s="87">
        <f t="shared" si="11"/>
        <v>0</v>
      </c>
      <c r="E34" s="87">
        <f t="shared" si="11"/>
        <v>0</v>
      </c>
      <c r="F34" s="87">
        <f t="shared" si="11"/>
        <v>0</v>
      </c>
      <c r="G34" s="87">
        <f t="shared" si="11"/>
        <v>0</v>
      </c>
      <c r="H34" s="87">
        <f t="shared" si="11"/>
        <v>0</v>
      </c>
      <c r="I34" s="87">
        <f t="shared" si="11"/>
        <v>0</v>
      </c>
      <c r="J34" s="87">
        <f t="shared" si="11"/>
        <v>0</v>
      </c>
      <c r="K34" s="87">
        <f t="shared" si="11"/>
        <v>0</v>
      </c>
      <c r="L34" s="87">
        <f t="shared" si="11"/>
        <v>0</v>
      </c>
      <c r="M34" s="33">
        <f t="shared" si="0"/>
        <v>0</v>
      </c>
    </row>
    <row r="35" spans="1:13" ht="15" thickBot="1" x14ac:dyDescent="0.4">
      <c r="A35" s="22"/>
      <c r="B35" s="274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</row>
    <row r="36" spans="1:13" x14ac:dyDescent="0.35">
      <c r="A36" s="31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33"/>
    </row>
    <row r="37" spans="1:13" x14ac:dyDescent="0.35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33"/>
    </row>
    <row r="38" spans="1:13" x14ac:dyDescent="0.35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33"/>
    </row>
    <row r="39" spans="1:13" x14ac:dyDescent="0.35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33"/>
    </row>
    <row r="40" spans="1:13" x14ac:dyDescent="0.35"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33"/>
    </row>
    <row r="41" spans="1:13" x14ac:dyDescent="0.35"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33"/>
    </row>
    <row r="42" spans="1:13" x14ac:dyDescent="0.35"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33"/>
    </row>
    <row r="43" spans="1:13" x14ac:dyDescent="0.35">
      <c r="A43" s="31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33"/>
    </row>
    <row r="44" spans="1:13" x14ac:dyDescent="0.35"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33"/>
    </row>
    <row r="45" spans="1:13" x14ac:dyDescent="0.35"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33"/>
    </row>
    <row r="46" spans="1:13" x14ac:dyDescent="0.35"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33"/>
    </row>
    <row r="47" spans="1:13" x14ac:dyDescent="0.35"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33"/>
    </row>
    <row r="48" spans="1:13" x14ac:dyDescent="0.35"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33"/>
    </row>
    <row r="49" spans="1:13" x14ac:dyDescent="0.35"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33"/>
    </row>
    <row r="50" spans="1:13" x14ac:dyDescent="0.35">
      <c r="A50" s="31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33"/>
    </row>
    <row r="51" spans="1:13" x14ac:dyDescent="0.35"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33"/>
    </row>
    <row r="52" spans="1:13" x14ac:dyDescent="0.35"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33"/>
    </row>
    <row r="53" spans="1:13" x14ac:dyDescent="0.35"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33"/>
    </row>
    <row r="54" spans="1:13" x14ac:dyDescent="0.35"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33"/>
    </row>
    <row r="55" spans="1:13" x14ac:dyDescent="0.35"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33"/>
    </row>
    <row r="56" spans="1:13" x14ac:dyDescent="0.35"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</row>
    <row r="57" spans="1:13" x14ac:dyDescent="0.35">
      <c r="A57" s="31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33"/>
    </row>
    <row r="58" spans="1:13" x14ac:dyDescent="0.35"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33"/>
    </row>
    <row r="59" spans="1:13" x14ac:dyDescent="0.35"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33"/>
    </row>
    <row r="60" spans="1:13" x14ac:dyDescent="0.35"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33"/>
    </row>
    <row r="61" spans="1:13" x14ac:dyDescent="0.35"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33"/>
    </row>
    <row r="62" spans="1:13" x14ac:dyDescent="0.35"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33"/>
    </row>
    <row r="63" spans="1:13" x14ac:dyDescent="0.35"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</row>
    <row r="64" spans="1:13" x14ac:dyDescent="0.35">
      <c r="A64" s="31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33"/>
    </row>
    <row r="65" spans="1:13" x14ac:dyDescent="0.35"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33"/>
    </row>
    <row r="66" spans="1:13" x14ac:dyDescent="0.35"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33"/>
    </row>
    <row r="67" spans="1:13" x14ac:dyDescent="0.35"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33"/>
    </row>
    <row r="68" spans="1:13" x14ac:dyDescent="0.35"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33"/>
    </row>
    <row r="69" spans="1:13" x14ac:dyDescent="0.35"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33"/>
    </row>
    <row r="70" spans="1:13" x14ac:dyDescent="0.35"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</row>
    <row r="71" spans="1:13" x14ac:dyDescent="0.35">
      <c r="A71" s="31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33"/>
    </row>
    <row r="72" spans="1:13" x14ac:dyDescent="0.35"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33"/>
    </row>
    <row r="73" spans="1:13" x14ac:dyDescent="0.35"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33"/>
    </row>
    <row r="74" spans="1:13" x14ac:dyDescent="0.35"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33"/>
    </row>
    <row r="75" spans="1:13" x14ac:dyDescent="0.35"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33"/>
    </row>
    <row r="76" spans="1:13" x14ac:dyDescent="0.35"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33"/>
    </row>
    <row r="77" spans="1:13" x14ac:dyDescent="0.35"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</row>
    <row r="78" spans="1:13" x14ac:dyDescent="0.35">
      <c r="A78" s="31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33"/>
    </row>
    <row r="79" spans="1:13" x14ac:dyDescent="0.35"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33"/>
    </row>
    <row r="80" spans="1:13" x14ac:dyDescent="0.35"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33"/>
    </row>
    <row r="81" spans="1:13" x14ac:dyDescent="0.35"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33"/>
    </row>
    <row r="82" spans="1:13" x14ac:dyDescent="0.35"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33"/>
    </row>
    <row r="83" spans="1:13" x14ac:dyDescent="0.35"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33"/>
    </row>
    <row r="84" spans="1:13" x14ac:dyDescent="0.35"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</row>
    <row r="85" spans="1:13" x14ac:dyDescent="0.35">
      <c r="A85" s="31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33"/>
    </row>
    <row r="86" spans="1:13" x14ac:dyDescent="0.35"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33"/>
    </row>
    <row r="87" spans="1:13" x14ac:dyDescent="0.35"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33"/>
    </row>
    <row r="88" spans="1:13" x14ac:dyDescent="0.35"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33"/>
    </row>
    <row r="89" spans="1:13" x14ac:dyDescent="0.35"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33"/>
    </row>
    <row r="90" spans="1:13" x14ac:dyDescent="0.35"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33"/>
    </row>
    <row r="91" spans="1:13" x14ac:dyDescent="0.35"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</row>
    <row r="92" spans="1:13" x14ac:dyDescent="0.35"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</row>
    <row r="93" spans="1:13" x14ac:dyDescent="0.35"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</row>
    <row r="94" spans="1:13" x14ac:dyDescent="0.35">
      <c r="C94" s="33"/>
      <c r="D94" s="33"/>
      <c r="E94" s="33"/>
      <c r="F94" s="33"/>
      <c r="G94" s="33"/>
      <c r="H94" s="33"/>
      <c r="I94" s="33"/>
      <c r="J94" s="33"/>
      <c r="K94" s="33"/>
      <c r="L94" s="33"/>
    </row>
  </sheetData>
  <mergeCells count="15">
    <mergeCell ref="A1:M1"/>
    <mergeCell ref="A2:M2"/>
    <mergeCell ref="A3:M3"/>
    <mergeCell ref="A5:M5"/>
    <mergeCell ref="C9:C11"/>
    <mergeCell ref="B9:B10"/>
    <mergeCell ref="D9:D11"/>
    <mergeCell ref="E9:E11"/>
    <mergeCell ref="F9:F11"/>
    <mergeCell ref="G9:G11"/>
    <mergeCell ref="H9:H11"/>
    <mergeCell ref="I9:I11"/>
    <mergeCell ref="J9:J11"/>
    <mergeCell ref="K9:K11"/>
    <mergeCell ref="L9:L1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Assumptions.1</vt:lpstr>
      <vt:lpstr>wp</vt:lpstr>
      <vt:lpstr>FinalWorkings</vt:lpstr>
      <vt:lpstr>coverpage</vt:lpstr>
      <vt:lpstr>PLBS</vt:lpstr>
      <vt:lpstr>RATIO</vt:lpstr>
      <vt:lpstr>MPBF </vt:lpstr>
      <vt:lpstr>nayak</vt:lpstr>
      <vt:lpstr>Depsch</vt:lpstr>
      <vt:lpstr>coverpage!Print_Area</vt:lpstr>
      <vt:lpstr>FinalWorkings!Print_Area</vt:lpstr>
      <vt:lpstr>'MPBF '!Print_Area</vt:lpstr>
      <vt:lpstr>PLBS!Print_Area</vt:lpstr>
      <vt:lpstr>RATIO!Print_Area</vt:lpstr>
      <vt:lpstr>wp!Print_Area</vt:lpstr>
    </vt:vector>
  </TitlesOfParts>
  <Company>Auditing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MSrinivas</dc:creator>
  <cp:lastModifiedBy>MATTA JITHENDRA SAI RAMESH</cp:lastModifiedBy>
  <cp:lastPrinted>2025-11-09T06:43:54Z</cp:lastPrinted>
  <dcterms:created xsi:type="dcterms:W3CDTF">2007-11-14T04:27:01Z</dcterms:created>
  <dcterms:modified xsi:type="dcterms:W3CDTF">2026-01-06T15:39:40Z</dcterms:modified>
</cp:coreProperties>
</file>