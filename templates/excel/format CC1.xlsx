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templates\excel\"/>
    </mc:Choice>
  </mc:AlternateContent>
  <xr:revisionPtr revIDLastSave="0" documentId="13_ncr:1_{336AB190-9470-4E9D-84BA-E647A9F15DD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sumptions.1" sheetId="1" r:id="rId1"/>
    <sheet name="wc" sheetId="2" r:id="rId2"/>
    <sheet name="FinalWorkings" sheetId="3" r:id="rId3"/>
    <sheet name="Coverpage" sheetId="4" r:id="rId4"/>
    <sheet name="plbs" sheetId="5" r:id="rId5"/>
    <sheet name="RATIO" sheetId="6" r:id="rId6"/>
    <sheet name="MPBF " sheetId="7" r:id="rId7"/>
    <sheet name="Nayak" sheetId="8" r:id="rId8"/>
    <sheet name="Depsch" sheetId="9" r:id="rId9"/>
    <sheet name="Fixed assets sch" sheetId="10" state="hidden" r:id="rId10"/>
  </sheets>
  <definedNames>
    <definedName name="_xlnm.Print_Area" localSheetId="3">Coverpage!$A$1:$M$36</definedName>
    <definedName name="_xlnm.Print_Area" localSheetId="2">FinalWorkings!$A$1:$G$39</definedName>
    <definedName name="_xlnm.Print_Area" localSheetId="6">'MPBF '!$A$1:$F$54</definedName>
    <definedName name="_xlnm.Print_Area" localSheetId="4">plbs!$A$1:$G$88</definedName>
    <definedName name="_xlnm.Print_Area" localSheetId="5">RATIO!$A$1:$G$98</definedName>
    <definedName name="_xlnm.Print_Area" localSheetId="1">wc!$A$1:$G$84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I45" i="1"/>
  <c r="I44" i="1"/>
  <c r="I43" i="1"/>
  <c r="I42" i="1"/>
  <c r="I41" i="1"/>
  <c r="I40" i="1"/>
  <c r="I39" i="1"/>
  <c r="I38" i="1"/>
  <c r="C14" i="10"/>
  <c r="N43" i="9"/>
  <c r="N36" i="9"/>
  <c r="N29" i="9"/>
  <c r="N22" i="9"/>
  <c r="M16" i="9"/>
  <c r="M17" i="9" s="1"/>
  <c r="M18" i="9" s="1"/>
  <c r="M21" i="9" s="1"/>
  <c r="M23" i="9" s="1"/>
  <c r="M24" i="9" s="1"/>
  <c r="N15" i="9"/>
  <c r="M14" i="9"/>
  <c r="I14" i="9"/>
  <c r="I16" i="9" s="1"/>
  <c r="H14" i="9"/>
  <c r="H16" i="9" s="1"/>
  <c r="M10" i="9"/>
  <c r="L10" i="9"/>
  <c r="K10" i="9"/>
  <c r="J10" i="9"/>
  <c r="I10" i="9"/>
  <c r="H10" i="9"/>
  <c r="G10" i="9"/>
  <c r="F10" i="9"/>
  <c r="E10" i="9"/>
  <c r="D10" i="9"/>
  <c r="C10" i="9"/>
  <c r="M8" i="9"/>
  <c r="L8" i="9"/>
  <c r="K8" i="9"/>
  <c r="J8" i="9"/>
  <c r="I8" i="9"/>
  <c r="H8" i="9"/>
  <c r="G8" i="9"/>
  <c r="F8" i="9"/>
  <c r="E8" i="9"/>
  <c r="D8" i="9"/>
  <c r="C8" i="9"/>
  <c r="A3" i="9"/>
  <c r="A2" i="9"/>
  <c r="A1" i="9"/>
  <c r="D20" i="8"/>
  <c r="E20" i="8" s="1"/>
  <c r="F20" i="8" s="1"/>
  <c r="G20" i="8" s="1"/>
  <c r="C20" i="8"/>
  <c r="A4" i="8"/>
  <c r="A3" i="8"/>
  <c r="A2" i="8"/>
  <c r="C12" i="7"/>
  <c r="C36" i="7" s="1"/>
  <c r="B12" i="7"/>
  <c r="B36" i="7" s="1"/>
  <c r="A3" i="7"/>
  <c r="A2" i="7"/>
  <c r="A1" i="7"/>
  <c r="G93" i="6"/>
  <c r="G62" i="6"/>
  <c r="A3" i="6"/>
  <c r="A2" i="6"/>
  <c r="A1" i="6"/>
  <c r="G68" i="5"/>
  <c r="F68" i="5"/>
  <c r="E68" i="5"/>
  <c r="A66" i="5"/>
  <c r="G52" i="5"/>
  <c r="F12" i="7" s="1"/>
  <c r="F36" i="7" s="1"/>
  <c r="C52" i="5"/>
  <c r="A52" i="5"/>
  <c r="D43" i="5"/>
  <c r="E43" i="5" s="1"/>
  <c r="F43" i="5" s="1"/>
  <c r="G43" i="5" s="1"/>
  <c r="C43" i="5"/>
  <c r="A38" i="5"/>
  <c r="C16" i="5"/>
  <c r="G6" i="5"/>
  <c r="G44" i="5" s="1"/>
  <c r="F6" i="5"/>
  <c r="F75" i="5" s="1"/>
  <c r="E6" i="5"/>
  <c r="D6" i="5"/>
  <c r="D44" i="5" s="1"/>
  <c r="C6" i="5"/>
  <c r="C44" i="5" s="1"/>
  <c r="G5" i="5"/>
  <c r="F5" i="5"/>
  <c r="E5" i="5"/>
  <c r="D5" i="5"/>
  <c r="C5" i="5"/>
  <c r="A3" i="5"/>
  <c r="A40" i="5" s="1"/>
  <c r="A2" i="5"/>
  <c r="A39" i="5" s="1"/>
  <c r="A1" i="5"/>
  <c r="H24" i="4"/>
  <c r="D20" i="4"/>
  <c r="D16" i="4"/>
  <c r="D12" i="4"/>
  <c r="D9" i="4"/>
  <c r="G25" i="3"/>
  <c r="F25" i="3"/>
  <c r="E25" i="3"/>
  <c r="D25" i="3"/>
  <c r="D68" i="5" s="1"/>
  <c r="C25" i="3"/>
  <c r="C68" i="5" s="1"/>
  <c r="G22" i="3"/>
  <c r="F22" i="3"/>
  <c r="F52" i="5" s="1"/>
  <c r="E12" i="7" s="1"/>
  <c r="E36" i="7" s="1"/>
  <c r="E22" i="3"/>
  <c r="E52" i="5" s="1"/>
  <c r="D12" i="7" s="1"/>
  <c r="D36" i="7" s="1"/>
  <c r="D22" i="3"/>
  <c r="D52" i="5" s="1"/>
  <c r="C22" i="3"/>
  <c r="D13" i="3"/>
  <c r="D77" i="5" s="1"/>
  <c r="G6" i="3"/>
  <c r="F6" i="3"/>
  <c r="E6" i="3"/>
  <c r="D6" i="3"/>
  <c r="C6" i="3"/>
  <c r="G5" i="3"/>
  <c r="F5" i="3"/>
  <c r="E5" i="3"/>
  <c r="D5" i="3"/>
  <c r="C5" i="3"/>
  <c r="F78" i="2"/>
  <c r="G78" i="2" s="1"/>
  <c r="E78" i="2"/>
  <c r="D78" i="2"/>
  <c r="C78" i="2"/>
  <c r="D66" i="2"/>
  <c r="D15" i="3" s="1"/>
  <c r="D79" i="5" s="1"/>
  <c r="C66" i="2"/>
  <c r="C15" i="3" s="1"/>
  <c r="C79" i="5" s="1"/>
  <c r="D64" i="2"/>
  <c r="C64" i="2"/>
  <c r="C13" i="3" s="1"/>
  <c r="C77" i="5" s="1"/>
  <c r="F62" i="2"/>
  <c r="E62" i="2"/>
  <c r="C62" i="2"/>
  <c r="A53" i="2"/>
  <c r="C32" i="2"/>
  <c r="D12" i="2"/>
  <c r="C12" i="2"/>
  <c r="C10" i="2"/>
  <c r="C8" i="2"/>
  <c r="C54" i="2" s="1"/>
  <c r="C23" i="3" s="1"/>
  <c r="C67" i="5" s="1"/>
  <c r="G6" i="2"/>
  <c r="G50" i="6" s="1"/>
  <c r="F6" i="2"/>
  <c r="F42" i="6" s="1"/>
  <c r="E6" i="2"/>
  <c r="D6" i="2"/>
  <c r="D85" i="6" s="1"/>
  <c r="C6" i="2"/>
  <c r="C62" i="6" s="1"/>
  <c r="G5" i="2"/>
  <c r="F5" i="2"/>
  <c r="E5" i="2"/>
  <c r="D5" i="2"/>
  <c r="D32" i="2" s="1"/>
  <c r="E32" i="2" s="1"/>
  <c r="F32" i="2" s="1"/>
  <c r="G32" i="2" s="1"/>
  <c r="C5" i="2"/>
  <c r="F190" i="1"/>
  <c r="F180" i="1"/>
  <c r="L14" i="9" s="1"/>
  <c r="L16" i="9" s="1"/>
  <c r="L17" i="9" s="1"/>
  <c r="F171" i="1"/>
  <c r="K14" i="9" s="1"/>
  <c r="K16" i="9" s="1"/>
  <c r="F161" i="1"/>
  <c r="J14" i="9" s="1"/>
  <c r="J16" i="9" s="1"/>
  <c r="F151" i="1"/>
  <c r="F141" i="1"/>
  <c r="F132" i="1"/>
  <c r="G14" i="9" s="1"/>
  <c r="G16" i="9" s="1"/>
  <c r="F129" i="1"/>
  <c r="F14" i="9" s="1"/>
  <c r="F16" i="9" s="1"/>
  <c r="F119" i="1"/>
  <c r="E14" i="9" s="1"/>
  <c r="E16" i="9" s="1"/>
  <c r="F109" i="1"/>
  <c r="D14" i="9" s="1"/>
  <c r="D16" i="9" s="1"/>
  <c r="F99" i="1"/>
  <c r="I37" i="1" s="1"/>
  <c r="F71" i="1"/>
  <c r="I33" i="1"/>
  <c r="I8" i="2" s="1"/>
  <c r="I32" i="1"/>
  <c r="I30" i="1"/>
  <c r="I28" i="1"/>
  <c r="I27" i="1"/>
  <c r="D65" i="2" s="1"/>
  <c r="D14" i="3" s="1"/>
  <c r="D78" i="5" s="1"/>
  <c r="K15" i="1"/>
  <c r="I15" i="1"/>
  <c r="K14" i="1"/>
  <c r="I14" i="1"/>
  <c r="C67" i="2" s="1"/>
  <c r="K13" i="1"/>
  <c r="I13" i="1"/>
  <c r="C27" i="2" s="1"/>
  <c r="C14" i="9" l="1"/>
  <c r="C16" i="9" s="1"/>
  <c r="C17" i="9" s="1"/>
  <c r="D8" i="2"/>
  <c r="E64" i="2"/>
  <c r="E66" i="2"/>
  <c r="F64" i="2"/>
  <c r="G75" i="5"/>
  <c r="G9" i="6"/>
  <c r="D33" i="2"/>
  <c r="A20" i="9" s="1"/>
  <c r="D34" i="6"/>
  <c r="D62" i="2"/>
  <c r="D10" i="8"/>
  <c r="D62" i="6"/>
  <c r="D72" i="6"/>
  <c r="D75" i="5"/>
  <c r="D93" i="6"/>
  <c r="B8" i="7"/>
  <c r="B32" i="7" s="1"/>
  <c r="C75" i="5"/>
  <c r="C50" i="6"/>
  <c r="C34" i="6"/>
  <c r="C72" i="6"/>
  <c r="C33" i="2"/>
  <c r="A13" i="9" s="1"/>
  <c r="C93" i="6"/>
  <c r="C9" i="6"/>
  <c r="D27" i="2"/>
  <c r="C68" i="2"/>
  <c r="C16" i="3" s="1"/>
  <c r="C81" i="5" s="1"/>
  <c r="C19" i="2"/>
  <c r="C73" i="2" s="1"/>
  <c r="C80" i="5"/>
  <c r="D67" i="2"/>
  <c r="E10" i="2"/>
  <c r="E16" i="5" s="1"/>
  <c r="D53" i="2"/>
  <c r="D80" i="2" s="1"/>
  <c r="D11" i="3"/>
  <c r="D18" i="5" s="1"/>
  <c r="D66" i="5" s="1"/>
  <c r="D17" i="9"/>
  <c r="C33" i="5"/>
  <c r="C55" i="6" s="1"/>
  <c r="C18" i="3"/>
  <c r="E13" i="3"/>
  <c r="E77" i="5" s="1"/>
  <c r="F13" i="3"/>
  <c r="F77" i="5" s="1"/>
  <c r="G64" i="2"/>
  <c r="G13" i="3" s="1"/>
  <c r="G77" i="5" s="1"/>
  <c r="L18" i="9"/>
  <c r="L21" i="9" s="1"/>
  <c r="L23" i="9" s="1"/>
  <c r="D9" i="3"/>
  <c r="D10" i="5" s="1"/>
  <c r="D17" i="2"/>
  <c r="D12" i="3" s="1"/>
  <c r="D23" i="5" s="1"/>
  <c r="D54" i="2"/>
  <c r="D15" i="2"/>
  <c r="E8" i="2"/>
  <c r="D19" i="2"/>
  <c r="D73" i="2" s="1"/>
  <c r="D13" i="2"/>
  <c r="D68" i="2"/>
  <c r="D16" i="3" s="1"/>
  <c r="D81" i="5" s="1"/>
  <c r="D18" i="3"/>
  <c r="D33" i="5"/>
  <c r="D55" i="6" s="1"/>
  <c r="C75" i="6"/>
  <c r="G17" i="9"/>
  <c r="G18" i="9"/>
  <c r="G21" i="9" s="1"/>
  <c r="G23" i="9" s="1"/>
  <c r="J17" i="9"/>
  <c r="J18" i="9" s="1"/>
  <c r="J21" i="9" s="1"/>
  <c r="J23" i="9" s="1"/>
  <c r="F93" i="6"/>
  <c r="F34" i="6"/>
  <c r="F50" i="6"/>
  <c r="F9" i="6"/>
  <c r="F72" i="6"/>
  <c r="F33" i="2"/>
  <c r="A34" i="9" s="1"/>
  <c r="F62" i="6"/>
  <c r="F10" i="8"/>
  <c r="E8" i="7"/>
  <c r="E32" i="7" s="1"/>
  <c r="F85" i="6"/>
  <c r="I17" i="9"/>
  <c r="I18" i="9" s="1"/>
  <c r="I21" i="9" s="1"/>
  <c r="I23" i="9" s="1"/>
  <c r="E75" i="5"/>
  <c r="E44" i="5"/>
  <c r="M25" i="9"/>
  <c r="M28" i="9" s="1"/>
  <c r="M30" i="9" s="1"/>
  <c r="E12" i="2"/>
  <c r="D8" i="7"/>
  <c r="D32" i="7" s="1"/>
  <c r="E93" i="6"/>
  <c r="E19" i="6"/>
  <c r="E50" i="6"/>
  <c r="E9" i="6"/>
  <c r="E72" i="6"/>
  <c r="E33" i="2"/>
  <c r="A27" i="9" s="1"/>
  <c r="E42" i="6"/>
  <c r="E34" i="6"/>
  <c r="E62" i="6"/>
  <c r="E85" i="6"/>
  <c r="F19" i="6"/>
  <c r="H17" i="9"/>
  <c r="H18" i="9"/>
  <c r="H21" i="9" s="1"/>
  <c r="H23" i="9" s="1"/>
  <c r="E27" i="2"/>
  <c r="D10" i="2"/>
  <c r="D16" i="5" s="1"/>
  <c r="C53" i="2"/>
  <c r="C80" i="2" s="1"/>
  <c r="C11" i="3"/>
  <c r="C18" i="5" s="1"/>
  <c r="C66" i="5" s="1"/>
  <c r="E10" i="8"/>
  <c r="N14" i="9"/>
  <c r="E65" i="2"/>
  <c r="G85" i="6"/>
  <c r="E17" i="9"/>
  <c r="E18" i="9" s="1"/>
  <c r="E21" i="9" s="1"/>
  <c r="E23" i="9" s="1"/>
  <c r="G42" i="6"/>
  <c r="F44" i="5"/>
  <c r="F17" i="9"/>
  <c r="F18" i="9" s="1"/>
  <c r="F21" i="9" s="1"/>
  <c r="F23" i="9" s="1"/>
  <c r="F8" i="7"/>
  <c r="F32" i="7" s="1"/>
  <c r="E15" i="3"/>
  <c r="E79" i="5" s="1"/>
  <c r="F66" i="2"/>
  <c r="C81" i="2"/>
  <c r="K17" i="9"/>
  <c r="K18" i="9" s="1"/>
  <c r="K21" i="9" s="1"/>
  <c r="K23" i="9" s="1"/>
  <c r="G34" i="6"/>
  <c r="G10" i="8"/>
  <c r="G72" i="6"/>
  <c r="G33" i="2"/>
  <c r="A41" i="9" s="1"/>
  <c r="G62" i="2"/>
  <c r="G19" i="6"/>
  <c r="C9" i="3"/>
  <c r="C10" i="5" s="1"/>
  <c r="C17" i="2"/>
  <c r="C12" i="3" s="1"/>
  <c r="C23" i="5" s="1"/>
  <c r="C15" i="2"/>
  <c r="D9" i="6"/>
  <c r="C19" i="6"/>
  <c r="D50" i="6"/>
  <c r="D19" i="6"/>
  <c r="C42" i="6"/>
  <c r="D42" i="6"/>
  <c r="C10" i="8"/>
  <c r="C65" i="2"/>
  <c r="C14" i="3" s="1"/>
  <c r="C78" i="5" s="1"/>
  <c r="C85" i="6"/>
  <c r="C8" i="7"/>
  <c r="C32" i="7" s="1"/>
  <c r="C18" i="9" l="1"/>
  <c r="C21" i="9" s="1"/>
  <c r="N16" i="9"/>
  <c r="N17" i="9"/>
  <c r="D11" i="2"/>
  <c r="D10" i="3" s="1"/>
  <c r="D17" i="5" s="1"/>
  <c r="D19" i="5" s="1"/>
  <c r="D74" i="6" s="1"/>
  <c r="C23" i="2"/>
  <c r="C29" i="5"/>
  <c r="E24" i="9"/>
  <c r="E25" i="9" s="1"/>
  <c r="E28" i="9" s="1"/>
  <c r="E30" i="9" s="1"/>
  <c r="J24" i="9"/>
  <c r="J25" i="9" s="1"/>
  <c r="J28" i="9" s="1"/>
  <c r="J30" i="9" s="1"/>
  <c r="K24" i="9"/>
  <c r="K25" i="9" s="1"/>
  <c r="K28" i="9" s="1"/>
  <c r="K30" i="9" s="1"/>
  <c r="I24" i="9"/>
  <c r="I25" i="9" s="1"/>
  <c r="I28" i="9" s="1"/>
  <c r="I30" i="9" s="1"/>
  <c r="C23" i="9"/>
  <c r="F15" i="3"/>
  <c r="F79" i="5" s="1"/>
  <c r="G66" i="2"/>
  <c r="G15" i="3" s="1"/>
  <c r="G79" i="5" s="1"/>
  <c r="E54" i="2"/>
  <c r="F8" i="2"/>
  <c r="E19" i="2"/>
  <c r="E73" i="2" s="1"/>
  <c r="E17" i="2"/>
  <c r="E12" i="3" s="1"/>
  <c r="E23" i="5" s="1"/>
  <c r="E68" i="2"/>
  <c r="E16" i="3" s="1"/>
  <c r="E81" i="5" s="1"/>
  <c r="E15" i="2"/>
  <c r="E9" i="3"/>
  <c r="E10" i="5" s="1"/>
  <c r="E13" i="2"/>
  <c r="E11" i="2" s="1"/>
  <c r="E10" i="3" s="1"/>
  <c r="E17" i="5" s="1"/>
  <c r="C86" i="5"/>
  <c r="C25" i="5" s="1"/>
  <c r="E33" i="5"/>
  <c r="E55" i="6" s="1"/>
  <c r="F27" i="2"/>
  <c r="E18" i="3"/>
  <c r="L24" i="9"/>
  <c r="L25" i="9" s="1"/>
  <c r="L28" i="9" s="1"/>
  <c r="L30" i="9" s="1"/>
  <c r="C21" i="2"/>
  <c r="C13" i="2"/>
  <c r="C11" i="2" s="1"/>
  <c r="C10" i="3" s="1"/>
  <c r="C17" i="5" s="1"/>
  <c r="C19" i="5" s="1"/>
  <c r="C74" i="6" s="1"/>
  <c r="C76" i="6" s="1"/>
  <c r="C69" i="2"/>
  <c r="C17" i="3" s="1"/>
  <c r="C82" i="5" s="1"/>
  <c r="G24" i="9"/>
  <c r="G25" i="9"/>
  <c r="G28" i="9" s="1"/>
  <c r="G30" i="9" s="1"/>
  <c r="D21" i="2"/>
  <c r="D18" i="9"/>
  <c r="C24" i="3" s="1"/>
  <c r="H24" i="9"/>
  <c r="H25" i="9" s="1"/>
  <c r="H28" i="9" s="1"/>
  <c r="H30" i="9" s="1"/>
  <c r="F65" i="2"/>
  <c r="E14" i="3"/>
  <c r="E78" i="5" s="1"/>
  <c r="D69" i="2"/>
  <c r="D17" i="3" s="1"/>
  <c r="D82" i="5" s="1"/>
  <c r="C12" i="5"/>
  <c r="C21" i="6"/>
  <c r="C27" i="6" s="1"/>
  <c r="C31" i="3" s="1"/>
  <c r="C83" i="2"/>
  <c r="D23" i="3"/>
  <c r="D67" i="5" s="1"/>
  <c r="D81" i="2"/>
  <c r="D83" i="2" s="1"/>
  <c r="F24" i="9"/>
  <c r="F25" i="9" s="1"/>
  <c r="F28" i="9" s="1"/>
  <c r="F30" i="9" s="1"/>
  <c r="D12" i="5"/>
  <c r="D75" i="6"/>
  <c r="E67" i="2"/>
  <c r="D80" i="5"/>
  <c r="E11" i="3"/>
  <c r="E18" i="5" s="1"/>
  <c r="E66" i="5" s="1"/>
  <c r="F12" i="2"/>
  <c r="E53" i="2"/>
  <c r="E80" i="2" s="1"/>
  <c r="F10" i="2"/>
  <c r="F16" i="5" s="1"/>
  <c r="M31" i="9"/>
  <c r="M32" i="9" s="1"/>
  <c r="M35" i="9" s="1"/>
  <c r="M37" i="9" s="1"/>
  <c r="C25" i="2" l="1"/>
  <c r="C29" i="2" s="1"/>
  <c r="D86" i="5"/>
  <c r="D25" i="5" s="1"/>
  <c r="E69" i="2"/>
  <c r="E17" i="3" s="1"/>
  <c r="E82" i="5" s="1"/>
  <c r="A63" i="5"/>
  <c r="C63" i="5"/>
  <c r="L31" i="9"/>
  <c r="L32" i="9" s="1"/>
  <c r="L35" i="9" s="1"/>
  <c r="L37" i="9" s="1"/>
  <c r="E86" i="5"/>
  <c r="E25" i="5" s="1"/>
  <c r="I31" i="9"/>
  <c r="I32" i="9" s="1"/>
  <c r="I35" i="9" s="1"/>
  <c r="I37" i="9" s="1"/>
  <c r="F32" i="9"/>
  <c r="F35" i="9" s="1"/>
  <c r="F37" i="9" s="1"/>
  <c r="F31" i="9"/>
  <c r="D39" i="2"/>
  <c r="H64" i="1"/>
  <c r="H31" i="9"/>
  <c r="H32" i="9"/>
  <c r="H35" i="9" s="1"/>
  <c r="H37" i="9" s="1"/>
  <c r="K31" i="9"/>
  <c r="K32" i="9" s="1"/>
  <c r="K35" i="9" s="1"/>
  <c r="K37" i="9" s="1"/>
  <c r="J31" i="9"/>
  <c r="J32" i="9"/>
  <c r="J35" i="9" s="1"/>
  <c r="J37" i="9" s="1"/>
  <c r="E31" i="9"/>
  <c r="E32" i="9"/>
  <c r="E35" i="9" s="1"/>
  <c r="E37" i="9" s="1"/>
  <c r="M38" i="9"/>
  <c r="M39" i="9" s="1"/>
  <c r="M42" i="9" s="1"/>
  <c r="M44" i="9" s="1"/>
  <c r="E12" i="5"/>
  <c r="E21" i="2"/>
  <c r="G65" i="2"/>
  <c r="G14" i="3" s="1"/>
  <c r="G78" i="5" s="1"/>
  <c r="F14" i="3"/>
  <c r="F78" i="5" s="1"/>
  <c r="E19" i="5"/>
  <c r="E74" i="6" s="1"/>
  <c r="G31" i="9"/>
  <c r="G32" i="9" s="1"/>
  <c r="G35" i="9" s="1"/>
  <c r="G37" i="9" s="1"/>
  <c r="C24" i="9"/>
  <c r="C39" i="2"/>
  <c r="H63" i="1"/>
  <c r="D76" i="6"/>
  <c r="D21" i="5"/>
  <c r="D12" i="8"/>
  <c r="D14" i="8" s="1"/>
  <c r="D17" i="8" s="1"/>
  <c r="D23" i="8" s="1"/>
  <c r="D38" i="3" s="1"/>
  <c r="C12" i="8"/>
  <c r="C14" i="8" s="1"/>
  <c r="C17" i="8" s="1"/>
  <c r="C23" i="8" s="1"/>
  <c r="C38" i="3" s="1"/>
  <c r="C21" i="5"/>
  <c r="F11" i="3"/>
  <c r="F18" i="5" s="1"/>
  <c r="F66" i="5" s="1"/>
  <c r="G12" i="2"/>
  <c r="G10" i="2"/>
  <c r="G16" i="5" s="1"/>
  <c r="F53" i="2"/>
  <c r="F80" i="2" s="1"/>
  <c r="D21" i="6"/>
  <c r="D27" i="6" s="1"/>
  <c r="D31" i="3" s="1"/>
  <c r="F19" i="2"/>
  <c r="F73" i="2" s="1"/>
  <c r="F68" i="2"/>
  <c r="F16" i="3" s="1"/>
  <c r="F81" i="5" s="1"/>
  <c r="F54" i="2"/>
  <c r="F9" i="3"/>
  <c r="F10" i="5" s="1"/>
  <c r="F17" i="2"/>
  <c r="F12" i="3" s="1"/>
  <c r="F23" i="5" s="1"/>
  <c r="F15" i="2"/>
  <c r="F21" i="2" s="1"/>
  <c r="G8" i="2"/>
  <c r="F13" i="2"/>
  <c r="F11" i="2" s="1"/>
  <c r="F10" i="3" s="1"/>
  <c r="F17" i="5" s="1"/>
  <c r="F19" i="5" s="1"/>
  <c r="F74" i="6" s="1"/>
  <c r="E81" i="2"/>
  <c r="E83" i="2" s="1"/>
  <c r="E23" i="3"/>
  <c r="E67" i="5" s="1"/>
  <c r="F67" i="2"/>
  <c r="E80" i="5"/>
  <c r="E75" i="6"/>
  <c r="D21" i="9"/>
  <c r="N18" i="9"/>
  <c r="F18" i="3"/>
  <c r="G27" i="2"/>
  <c r="F33" i="5"/>
  <c r="F55" i="6" s="1"/>
  <c r="E39" i="2" l="1"/>
  <c r="H65" i="1"/>
  <c r="K38" i="9"/>
  <c r="K39" i="9" s="1"/>
  <c r="K42" i="9" s="1"/>
  <c r="K44" i="9" s="1"/>
  <c r="I38" i="9"/>
  <c r="I39" i="9" s="1"/>
  <c r="I42" i="9" s="1"/>
  <c r="I44" i="9" s="1"/>
  <c r="L38" i="9"/>
  <c r="L39" i="9" s="1"/>
  <c r="L42" i="9" s="1"/>
  <c r="L44" i="9" s="1"/>
  <c r="E12" i="8"/>
  <c r="E14" i="8" s="1"/>
  <c r="E17" i="8" s="1"/>
  <c r="E23" i="8" s="1"/>
  <c r="E38" i="3" s="1"/>
  <c r="E21" i="5"/>
  <c r="C56" i="2"/>
  <c r="C26" i="3" s="1"/>
  <c r="C69" i="5" s="1"/>
  <c r="C51" i="5"/>
  <c r="C14" i="6" s="1"/>
  <c r="D51" i="5"/>
  <c r="D14" i="6" s="1"/>
  <c r="D56" i="2"/>
  <c r="D26" i="3" s="1"/>
  <c r="D69" i="5" s="1"/>
  <c r="H38" i="9"/>
  <c r="H39" i="9" s="1"/>
  <c r="H42" i="9" s="1"/>
  <c r="H44" i="9" s="1"/>
  <c r="E21" i="6"/>
  <c r="E27" i="6" s="1"/>
  <c r="E31" i="3" s="1"/>
  <c r="G68" i="2"/>
  <c r="G16" i="3" s="1"/>
  <c r="G81" i="5" s="1"/>
  <c r="G9" i="3"/>
  <c r="G10" i="5" s="1"/>
  <c r="G15" i="2"/>
  <c r="G13" i="2" s="1"/>
  <c r="G11" i="2" s="1"/>
  <c r="G10" i="3" s="1"/>
  <c r="G17" i="5" s="1"/>
  <c r="G19" i="5" s="1"/>
  <c r="G74" i="6" s="1"/>
  <c r="G19" i="2"/>
  <c r="G73" i="2" s="1"/>
  <c r="G54" i="2"/>
  <c r="G17" i="2"/>
  <c r="G12" i="3" s="1"/>
  <c r="G23" i="5" s="1"/>
  <c r="G11" i="3"/>
  <c r="G18" i="5" s="1"/>
  <c r="G66" i="5" s="1"/>
  <c r="G53" i="2"/>
  <c r="G80" i="2" s="1"/>
  <c r="G18" i="3"/>
  <c r="G33" i="5"/>
  <c r="G55" i="6" s="1"/>
  <c r="C27" i="5"/>
  <c r="C31" i="5" s="1"/>
  <c r="C36" i="6"/>
  <c r="C29" i="3" s="1"/>
  <c r="C25" i="9"/>
  <c r="F12" i="5"/>
  <c r="M45" i="9"/>
  <c r="M46" i="9"/>
  <c r="F38" i="9"/>
  <c r="F39" i="9"/>
  <c r="F42" i="9" s="1"/>
  <c r="F44" i="9" s="1"/>
  <c r="F83" i="2"/>
  <c r="C48" i="2"/>
  <c r="C58" i="2" s="1"/>
  <c r="C61" i="5"/>
  <c r="D23" i="9"/>
  <c r="N21" i="9"/>
  <c r="F81" i="2"/>
  <c r="F23" i="3"/>
  <c r="F67" i="5" s="1"/>
  <c r="F21" i="6" s="1"/>
  <c r="F27" i="6" s="1"/>
  <c r="F31" i="3" s="1"/>
  <c r="G38" i="9"/>
  <c r="G39" i="9"/>
  <c r="G42" i="9" s="1"/>
  <c r="G44" i="9" s="1"/>
  <c r="E38" i="9"/>
  <c r="E39" i="9" s="1"/>
  <c r="E42" i="9" s="1"/>
  <c r="E44" i="9" s="1"/>
  <c r="D27" i="5"/>
  <c r="D36" i="6"/>
  <c r="D29" i="3" s="1"/>
  <c r="F69" i="2"/>
  <c r="F17" i="3" s="1"/>
  <c r="F82" i="5" s="1"/>
  <c r="E76" i="6"/>
  <c r="J38" i="9"/>
  <c r="J39" i="9" s="1"/>
  <c r="J42" i="9" s="1"/>
  <c r="J44" i="9" s="1"/>
  <c r="G67" i="2"/>
  <c r="G80" i="5" s="1"/>
  <c r="F80" i="5"/>
  <c r="F75" i="6"/>
  <c r="F76" i="6" s="1"/>
  <c r="F86" i="5" l="1"/>
  <c r="F25" i="5" s="1"/>
  <c r="C71" i="5"/>
  <c r="C55" i="5" s="1"/>
  <c r="C47" i="5" s="1"/>
  <c r="C87" i="6" s="1"/>
  <c r="C33" i="3" s="1"/>
  <c r="E45" i="9"/>
  <c r="E46" i="9"/>
  <c r="L45" i="9"/>
  <c r="L46" i="9" s="1"/>
  <c r="K45" i="9"/>
  <c r="K46" i="9"/>
  <c r="J45" i="9"/>
  <c r="J46" i="9" s="1"/>
  <c r="D24" i="9"/>
  <c r="N24" i="9" s="1"/>
  <c r="N23" i="9"/>
  <c r="F39" i="2"/>
  <c r="H66" i="1"/>
  <c r="E27" i="5"/>
  <c r="E36" i="6"/>
  <c r="E29" i="3" s="1"/>
  <c r="G45" i="9"/>
  <c r="G46" i="9" s="1"/>
  <c r="G12" i="5"/>
  <c r="G75" i="6"/>
  <c r="G76" i="6" s="1"/>
  <c r="I45" i="9"/>
  <c r="I46" i="9" s="1"/>
  <c r="F45" i="9"/>
  <c r="F46" i="9"/>
  <c r="F21" i="5"/>
  <c r="F12" i="8"/>
  <c r="F14" i="8" s="1"/>
  <c r="F17" i="8" s="1"/>
  <c r="F23" i="8" s="1"/>
  <c r="F38" i="3" s="1"/>
  <c r="C28" i="9"/>
  <c r="C42" i="2"/>
  <c r="C36" i="2"/>
  <c r="G69" i="2"/>
  <c r="G17" i="3" s="1"/>
  <c r="G82" i="5" s="1"/>
  <c r="G86" i="5" s="1"/>
  <c r="G25" i="5" s="1"/>
  <c r="E51" i="5"/>
  <c r="E14" i="6" s="1"/>
  <c r="E56" i="2"/>
  <c r="E26" i="3" s="1"/>
  <c r="E69" i="5" s="1"/>
  <c r="H45" i="9"/>
  <c r="H46" i="9" s="1"/>
  <c r="C10" i="7"/>
  <c r="D13" i="6"/>
  <c r="G81" i="2"/>
  <c r="G83" i="2" s="1"/>
  <c r="G23" i="3"/>
  <c r="G67" i="5" s="1"/>
  <c r="C35" i="5"/>
  <c r="C54" i="6"/>
  <c r="C52" i="6" s="1"/>
  <c r="G21" i="2"/>
  <c r="C13" i="6"/>
  <c r="B10" i="7"/>
  <c r="G39" i="2" l="1"/>
  <c r="H67" i="1"/>
  <c r="D10" i="7"/>
  <c r="E13" i="6"/>
  <c r="C44" i="6"/>
  <c r="C30" i="3" s="1"/>
  <c r="C19" i="3"/>
  <c r="C95" i="6"/>
  <c r="D25" i="9"/>
  <c r="D24" i="3" s="1"/>
  <c r="D63" i="5" s="1"/>
  <c r="G21" i="6"/>
  <c r="G27" i="6" s="1"/>
  <c r="G31" i="3" s="1"/>
  <c r="C15" i="6"/>
  <c r="B21" i="7" s="1"/>
  <c r="B44" i="7" s="1"/>
  <c r="C64" i="6"/>
  <c r="C66" i="6" s="1"/>
  <c r="C11" i="6"/>
  <c r="C32" i="3" s="1"/>
  <c r="G21" i="5"/>
  <c r="G12" i="8"/>
  <c r="G14" i="8" s="1"/>
  <c r="G17" i="8" s="1"/>
  <c r="G23" i="8" s="1"/>
  <c r="G38" i="3" s="1"/>
  <c r="D64" i="6"/>
  <c r="D66" i="6" s="1"/>
  <c r="D15" i="6"/>
  <c r="C21" i="7" s="1"/>
  <c r="C44" i="7" s="1"/>
  <c r="D11" i="6"/>
  <c r="D32" i="3" s="1"/>
  <c r="C34" i="7"/>
  <c r="C15" i="7"/>
  <c r="B34" i="7"/>
  <c r="B15" i="7"/>
  <c r="D23" i="2"/>
  <c r="D25" i="2" s="1"/>
  <c r="D29" i="2" s="1"/>
  <c r="D29" i="5"/>
  <c r="D31" i="5" s="1"/>
  <c r="C30" i="9"/>
  <c r="F27" i="5"/>
  <c r="F36" i="6"/>
  <c r="F29" i="3" s="1"/>
  <c r="F51" i="5"/>
  <c r="F14" i="6" s="1"/>
  <c r="F56" i="2"/>
  <c r="F26" i="3" s="1"/>
  <c r="F69" i="5" s="1"/>
  <c r="B42" i="7" l="1"/>
  <c r="B39" i="7"/>
  <c r="C18" i="7"/>
  <c r="C23" i="7"/>
  <c r="C25" i="7"/>
  <c r="D28" i="9"/>
  <c r="N25" i="9"/>
  <c r="B18" i="7"/>
  <c r="B23" i="7" s="1"/>
  <c r="B25" i="7"/>
  <c r="E10" i="7"/>
  <c r="F13" i="6"/>
  <c r="C39" i="7"/>
  <c r="C42" i="7"/>
  <c r="E11" i="6"/>
  <c r="E32" i="3" s="1"/>
  <c r="E64" i="6"/>
  <c r="E66" i="6" s="1"/>
  <c r="E15" i="6"/>
  <c r="D21" i="7" s="1"/>
  <c r="D44" i="7" s="1"/>
  <c r="C31" i="9"/>
  <c r="D15" i="7"/>
  <c r="D34" i="7"/>
  <c r="D35" i="5"/>
  <c r="D54" i="6"/>
  <c r="D52" i="6" s="1"/>
  <c r="G36" i="6"/>
  <c r="G29" i="3" s="1"/>
  <c r="G27" i="5"/>
  <c r="G56" i="2"/>
  <c r="G26" i="3" s="1"/>
  <c r="G69" i="5" s="1"/>
  <c r="G51" i="5"/>
  <c r="G14" i="6" s="1"/>
  <c r="B27" i="7" l="1"/>
  <c r="C36" i="3" s="1"/>
  <c r="D44" i="6"/>
  <c r="D30" i="3" s="1"/>
  <c r="D19" i="3"/>
  <c r="F10" i="7"/>
  <c r="G13" i="6"/>
  <c r="E34" i="7"/>
  <c r="E15" i="7"/>
  <c r="C32" i="9"/>
  <c r="D48" i="2"/>
  <c r="D58" i="2" s="1"/>
  <c r="D61" i="5"/>
  <c r="D71" i="5" s="1"/>
  <c r="D55" i="5" s="1"/>
  <c r="D47" i="5" s="1"/>
  <c r="D87" i="6" s="1"/>
  <c r="D33" i="3" s="1"/>
  <c r="C27" i="7"/>
  <c r="D36" i="3" s="1"/>
  <c r="F11" i="6"/>
  <c r="F32" i="3" s="1"/>
  <c r="F64" i="6"/>
  <c r="F66" i="6" s="1"/>
  <c r="F15" i="6"/>
  <c r="E21" i="7" s="1"/>
  <c r="E44" i="7" s="1"/>
  <c r="D39" i="7"/>
  <c r="D42" i="7"/>
  <c r="D25" i="7"/>
  <c r="D18" i="7"/>
  <c r="D23" i="7" s="1"/>
  <c r="D27" i="7" s="1"/>
  <c r="E36" i="3" s="1"/>
  <c r="D30" i="9"/>
  <c r="N28" i="9"/>
  <c r="B48" i="7"/>
  <c r="B46" i="7"/>
  <c r="C48" i="7"/>
  <c r="C46" i="7"/>
  <c r="C50" i="7" s="1"/>
  <c r="D37" i="3" s="1"/>
  <c r="D48" i="7" l="1"/>
  <c r="D46" i="7"/>
  <c r="D42" i="2"/>
  <c r="D36" i="2"/>
  <c r="D31" i="9"/>
  <c r="N31" i="9" s="1"/>
  <c r="N30" i="9"/>
  <c r="C35" i="9"/>
  <c r="E25" i="7"/>
  <c r="E18" i="7"/>
  <c r="E23" i="7" s="1"/>
  <c r="E42" i="7"/>
  <c r="E39" i="7"/>
  <c r="D95" i="6"/>
  <c r="G11" i="6"/>
  <c r="G32" i="3" s="1"/>
  <c r="G64" i="6"/>
  <c r="G66" i="6" s="1"/>
  <c r="G15" i="6"/>
  <c r="F21" i="7" s="1"/>
  <c r="F44" i="7" s="1"/>
  <c r="F15" i="7"/>
  <c r="F34" i="7"/>
  <c r="B50" i="7"/>
  <c r="C37" i="3" s="1"/>
  <c r="E27" i="7" l="1"/>
  <c r="F36" i="3" s="1"/>
  <c r="D50" i="7"/>
  <c r="E37" i="3" s="1"/>
  <c r="D32" i="9"/>
  <c r="C37" i="9"/>
  <c r="F42" i="7"/>
  <c r="F39" i="7"/>
  <c r="F18" i="7"/>
  <c r="F23" i="7" s="1"/>
  <c r="F25" i="7"/>
  <c r="E29" i="5"/>
  <c r="E31" i="5" s="1"/>
  <c r="E23" i="2"/>
  <c r="E25" i="2" s="1"/>
  <c r="E29" i="2" s="1"/>
  <c r="E46" i="7"/>
  <c r="E48" i="7"/>
  <c r="F27" i="7" l="1"/>
  <c r="G36" i="3" s="1"/>
  <c r="D35" i="9"/>
  <c r="E24" i="3"/>
  <c r="E63" i="5" s="1"/>
  <c r="N32" i="9"/>
  <c r="E50" i="7"/>
  <c r="F37" i="3" s="1"/>
  <c r="E35" i="5"/>
  <c r="E54" i="6"/>
  <c r="E52" i="6" s="1"/>
  <c r="F46" i="7"/>
  <c r="F48" i="7"/>
  <c r="C38" i="9"/>
  <c r="E61" i="5" l="1"/>
  <c r="E71" i="5" s="1"/>
  <c r="E55" i="5" s="1"/>
  <c r="E47" i="5" s="1"/>
  <c r="E87" i="6" s="1"/>
  <c r="E33" i="3" s="1"/>
  <c r="E48" i="2"/>
  <c r="E58" i="2" s="1"/>
  <c r="E36" i="2" s="1"/>
  <c r="E42" i="2" s="1"/>
  <c r="D37" i="9"/>
  <c r="N35" i="9"/>
  <c r="C39" i="9"/>
  <c r="F50" i="7"/>
  <c r="G37" i="3" s="1"/>
  <c r="E44" i="6"/>
  <c r="E30" i="3" s="1"/>
  <c r="E19" i="3"/>
  <c r="E95" i="6" l="1"/>
  <c r="D38" i="9"/>
  <c r="N37" i="9"/>
  <c r="C42" i="9"/>
  <c r="D39" i="9" l="1"/>
  <c r="N38" i="9"/>
  <c r="C44" i="9"/>
  <c r="F29" i="5" l="1"/>
  <c r="F31" i="5" s="1"/>
  <c r="F23" i="2"/>
  <c r="F25" i="2" s="1"/>
  <c r="F29" i="2" s="1"/>
  <c r="D42" i="9"/>
  <c r="F24" i="3"/>
  <c r="F63" i="5" s="1"/>
  <c r="N39" i="9"/>
  <c r="C45" i="9"/>
  <c r="C46" i="9" s="1"/>
  <c r="F61" i="5" l="1"/>
  <c r="F71" i="5" s="1"/>
  <c r="F55" i="5" s="1"/>
  <c r="F47" i="5" s="1"/>
  <c r="F87" i="6" s="1"/>
  <c r="F33" i="3" s="1"/>
  <c r="F48" i="2"/>
  <c r="F58" i="2" s="1"/>
  <c r="F36" i="2" s="1"/>
  <c r="F42" i="2" s="1"/>
  <c r="D44" i="9"/>
  <c r="N42" i="9"/>
  <c r="F54" i="6"/>
  <c r="F52" i="6" s="1"/>
  <c r="F35" i="5"/>
  <c r="F44" i="6" l="1"/>
  <c r="F30" i="3" s="1"/>
  <c r="F19" i="3"/>
  <c r="F95" i="6"/>
  <c r="D45" i="9"/>
  <c r="N44" i="9"/>
  <c r="D46" i="9" l="1"/>
  <c r="N45" i="9"/>
  <c r="G29" i="5" l="1"/>
  <c r="G31" i="5" s="1"/>
  <c r="G23" i="2"/>
  <c r="G25" i="2" s="1"/>
  <c r="G29" i="2" s="1"/>
  <c r="G24" i="3"/>
  <c r="G63" i="5" s="1"/>
  <c r="N46" i="9"/>
  <c r="G61" i="5" l="1"/>
  <c r="G71" i="5" s="1"/>
  <c r="G55" i="5" s="1"/>
  <c r="G47" i="5" s="1"/>
  <c r="G87" i="6" s="1"/>
  <c r="G33" i="3" s="1"/>
  <c r="G48" i="2"/>
  <c r="G58" i="2" s="1"/>
  <c r="G36" i="2" s="1"/>
  <c r="G42" i="2" s="1"/>
  <c r="G35" i="5"/>
  <c r="G54" i="6"/>
  <c r="G52" i="6" s="1"/>
  <c r="G95" i="6" l="1"/>
  <c r="G19" i="3"/>
  <c r="G44" i="6"/>
  <c r="G30" i="3" s="1"/>
</calcChain>
</file>

<file path=xl/sharedStrings.xml><?xml version="1.0" encoding="utf-8"?>
<sst xmlns="http://schemas.openxmlformats.org/spreadsheetml/2006/main" count="511" uniqueCount="301">
  <si>
    <t>Sections</t>
  </si>
  <si>
    <t>Question</t>
  </si>
  <si>
    <t>Question type</t>
  </si>
  <si>
    <t>Editable</t>
  </si>
  <si>
    <t>Options</t>
  </si>
  <si>
    <t>Min - Max</t>
  </si>
  <si>
    <t>Details which are required to be given by customer</t>
  </si>
  <si>
    <t>Answers</t>
  </si>
  <si>
    <t>General Information</t>
  </si>
  <si>
    <t>Name of Firm</t>
  </si>
  <si>
    <t>Manual Entry</t>
  </si>
  <si>
    <t>No</t>
  </si>
  <si>
    <t>Status of Concern</t>
  </si>
  <si>
    <t>Dropdown options to be provided</t>
  </si>
  <si>
    <t>Soleproprietorship,Partnership,LLP,Company</t>
  </si>
  <si>
    <t>Proprietor / MP / MD Name</t>
  </si>
  <si>
    <t>Firm address</t>
  </si>
  <si>
    <t>Sector</t>
  </si>
  <si>
    <t>Drop Down options to be provided</t>
  </si>
  <si>
    <t>Manufacturing sector / Service sector (with stock) / Trading sector</t>
  </si>
  <si>
    <t>Nature of Business</t>
  </si>
  <si>
    <t>Means of Finance</t>
  </si>
  <si>
    <t xml:space="preserve">Do you have working capital limit at present ? </t>
  </si>
  <si>
    <t>Dropdown Options to be provided</t>
  </si>
  <si>
    <t>Yes,No</t>
  </si>
  <si>
    <t>Working capital Loan requirement</t>
  </si>
  <si>
    <t>Yes</t>
  </si>
  <si>
    <t>Loan amount</t>
  </si>
  <si>
    <t>Working capital loan interest</t>
  </si>
  <si>
    <t>per annum</t>
  </si>
  <si>
    <t>processing fees (Including GST)</t>
  </si>
  <si>
    <t>Working capital (% of Turnover)</t>
  </si>
  <si>
    <t>15% or more than 15%</t>
  </si>
  <si>
    <t>of Turnover</t>
  </si>
  <si>
    <t>Financial years</t>
  </si>
  <si>
    <t>1st Financial year</t>
  </si>
  <si>
    <t>2024 - 25 to provide 10 years with Start Month to End Month</t>
  </si>
  <si>
    <t>Estimated</t>
  </si>
  <si>
    <t>2nd Financial year</t>
  </si>
  <si>
    <t>Projected</t>
  </si>
  <si>
    <t>3rd Financial year</t>
  </si>
  <si>
    <t>4th Financial year</t>
  </si>
  <si>
    <t>5th Financial year</t>
  </si>
  <si>
    <t>No of Employees</t>
  </si>
  <si>
    <t>Salary per month per employee</t>
  </si>
  <si>
    <t>Salaries and Wages</t>
  </si>
  <si>
    <t>Skilled</t>
  </si>
  <si>
    <t>Unskilled</t>
  </si>
  <si>
    <t>STEP 1</t>
  </si>
  <si>
    <t>Semi Skilled</t>
  </si>
  <si>
    <t>Assumptions</t>
  </si>
  <si>
    <t>Salaries and Wages per month</t>
  </si>
  <si>
    <t>Auto generated</t>
  </si>
  <si>
    <t>NA</t>
  </si>
  <si>
    <t>Salaries Increment</t>
  </si>
  <si>
    <t xml:space="preserve">of previous year </t>
  </si>
  <si>
    <t>Rent per month</t>
  </si>
  <si>
    <t>per month</t>
  </si>
  <si>
    <t>Rental increment</t>
  </si>
  <si>
    <t>every year</t>
  </si>
  <si>
    <t>Power charges per month</t>
  </si>
  <si>
    <t>Power charges increament</t>
  </si>
  <si>
    <t>of previous year power charges</t>
  </si>
  <si>
    <t>Sales growth</t>
  </si>
  <si>
    <t>No of Months Interest will be paid in first year</t>
  </si>
  <si>
    <t>Months</t>
  </si>
  <si>
    <t>No of Months Turnover will be done in first year</t>
  </si>
  <si>
    <t>Depreciation rates</t>
  </si>
  <si>
    <t xml:space="preserve">During the first financial year </t>
  </si>
  <si>
    <t>Fixed Assets Schedule</t>
  </si>
  <si>
    <t>Plant and Machinery</t>
  </si>
  <si>
    <t>Service Equipment</t>
  </si>
  <si>
    <t>Shed and Civil works</t>
  </si>
  <si>
    <t>Land</t>
  </si>
  <si>
    <t>Electrical Items</t>
  </si>
  <si>
    <t>Electronic Items</t>
  </si>
  <si>
    <t>Vehicles</t>
  </si>
  <si>
    <t>Live stock</t>
  </si>
  <si>
    <t>Other Assets</t>
  </si>
  <si>
    <t>Other Assets (Nil Depreciation)</t>
  </si>
  <si>
    <t>Cash and Cash Equivalents % of Working capital Loan</t>
  </si>
  <si>
    <t>Not Editable since these are Autogenerated or Predefined (Only Admin to be given right to Edit these)</t>
  </si>
  <si>
    <t>of working capital limit</t>
  </si>
  <si>
    <t>Gross Profit (%) on sale</t>
  </si>
  <si>
    <t>On Sale</t>
  </si>
  <si>
    <t>Debtors (%) on sale</t>
  </si>
  <si>
    <t>General Items</t>
  </si>
  <si>
    <t>No of months in financial year</t>
  </si>
  <si>
    <t>Growth of Working capital interest every year</t>
  </si>
  <si>
    <t>compared to previous year</t>
  </si>
  <si>
    <t xml:space="preserve">Turnover </t>
  </si>
  <si>
    <t>times of Working capital Loan</t>
  </si>
  <si>
    <t xml:space="preserve">Non Operating income </t>
  </si>
  <si>
    <t>of sale</t>
  </si>
  <si>
    <t>Non Operating income growth</t>
  </si>
  <si>
    <t>Salaries</t>
  </si>
  <si>
    <t>of Administrative and selling expenses</t>
  </si>
  <si>
    <t>Miscelleneous expenses</t>
  </si>
  <si>
    <t>of sales</t>
  </si>
  <si>
    <t>Selling and Administrative expenses</t>
  </si>
  <si>
    <t>Opening Stock value in first year</t>
  </si>
  <si>
    <t>Closing Stock value in first year</t>
  </si>
  <si>
    <t>Stock value in subsequent years</t>
  </si>
  <si>
    <t>Stock growth</t>
  </si>
  <si>
    <t>of previous year stock</t>
  </si>
  <si>
    <t>Depreciation</t>
  </si>
  <si>
    <t xml:space="preserve">Shed Construction </t>
  </si>
  <si>
    <t>Electronics Items</t>
  </si>
  <si>
    <t>Furniture and Fittings</t>
  </si>
  <si>
    <t>Animals</t>
  </si>
  <si>
    <t>Other Assets ( Nil Depreciation)</t>
  </si>
  <si>
    <t>SCHEDULE FOR ASSETS:</t>
  </si>
  <si>
    <t>Asset Category</t>
  </si>
  <si>
    <t>Sl.No</t>
  </si>
  <si>
    <t>Component</t>
  </si>
  <si>
    <t>Gross Amount                  (Rs in Lacs)</t>
  </si>
  <si>
    <t>Net Amount                (Rs in Lacs)</t>
  </si>
  <si>
    <t>Electronic items</t>
  </si>
  <si>
    <t xml:space="preserve">Furniture and Fittings </t>
  </si>
  <si>
    <t>STEP 2 : BACK GROUND CALCULATION . NOT TO BE VISIBLE TO CUSTOMER</t>
  </si>
  <si>
    <t xml:space="preserve">WORKINGS FOR PROFIT AND LOSS ACCOUNT </t>
  </si>
  <si>
    <t>PARTICULARS</t>
  </si>
  <si>
    <t>Schedules</t>
  </si>
  <si>
    <t>Opening Stock</t>
  </si>
  <si>
    <t>Direct Material &amp; Expenses</t>
  </si>
  <si>
    <t xml:space="preserve">Closing Stock </t>
  </si>
  <si>
    <t xml:space="preserve">Operating Expenses </t>
  </si>
  <si>
    <t>Gross Profit (A)</t>
  </si>
  <si>
    <t>Non Operating Income (B)</t>
  </si>
  <si>
    <t>Adm &amp; Selling Expenses ( C )</t>
  </si>
  <si>
    <t>EBDIT(D=A+B-C)</t>
  </si>
  <si>
    <t>Less : Depreciation (E)</t>
  </si>
  <si>
    <t>EBIT (F = D - E)</t>
  </si>
  <si>
    <t>Less: Interest (G)</t>
  </si>
  <si>
    <t>EBT (H=F-G)</t>
  </si>
  <si>
    <t>When ever editing is done , this totally must be calculated automatically</t>
  </si>
  <si>
    <t xml:space="preserve">WORKINGS FOR BALANCE SHEET </t>
  </si>
  <si>
    <t>Particulars</t>
  </si>
  <si>
    <t>SOURCES OF FUNDS:</t>
  </si>
  <si>
    <t>Net Capital</t>
  </si>
  <si>
    <t>(Opening capital + Net profit -Drawings)</t>
  </si>
  <si>
    <t>CURRENT LIABILITIES:</t>
  </si>
  <si>
    <t>Bank CC/OD Loan</t>
  </si>
  <si>
    <t>Other Current Liabilities</t>
  </si>
  <si>
    <t>APPLICATION OF FUNDS:</t>
  </si>
  <si>
    <t>FIXED ASSETS:</t>
  </si>
  <si>
    <t>NON CURRENT ASSETS:</t>
  </si>
  <si>
    <t>CURRENT ASSETS:</t>
  </si>
  <si>
    <t>Debtors /Recievables</t>
  </si>
  <si>
    <t>Other Current Assets</t>
  </si>
  <si>
    <t>Cash and Cash Equivalents</t>
  </si>
  <si>
    <t>WORKINGS FOR ADMINSTRATIVE AND SELLING EXPENSE</t>
  </si>
  <si>
    <t>Electricity</t>
  </si>
  <si>
    <t>Salaries &amp; Wages</t>
  </si>
  <si>
    <t>Rent</t>
  </si>
  <si>
    <t>Processing fees</t>
  </si>
  <si>
    <t>Miscellenious expenses</t>
  </si>
  <si>
    <t>Off Admin and Marketing expenses</t>
  </si>
  <si>
    <t>WORKING CAPITAL CALCULATION:</t>
  </si>
  <si>
    <t>Required WC Limit</t>
  </si>
  <si>
    <t>Closing stock</t>
  </si>
  <si>
    <t>Debtors</t>
  </si>
  <si>
    <t>Eligible Working capital limit</t>
  </si>
  <si>
    <t>Step 3 : Display to Customer for Editing</t>
  </si>
  <si>
    <t>Financials and Ratios at a Glance</t>
  </si>
  <si>
    <t>All Items Editable</t>
  </si>
  <si>
    <t>Profit and Loss Items at a Glance :</t>
  </si>
  <si>
    <t>Gross Revenue / Turnover</t>
  </si>
  <si>
    <t>Closing Stock / WIP</t>
  </si>
  <si>
    <t>Non Operating Income</t>
  </si>
  <si>
    <t>Interest on Working capital Loan</t>
  </si>
  <si>
    <t>Earnings Before Tax (Not Editable)</t>
  </si>
  <si>
    <t>Balance Sheet Items at a Glance:</t>
  </si>
  <si>
    <t>RATIO ANALYSIS at a Glance: (Not Editable but displayed)</t>
  </si>
  <si>
    <t>Gross profit ratio (%)</t>
  </si>
  <si>
    <t>Net Profit Ratio (%)</t>
  </si>
  <si>
    <t>Debtors Turonver Ratio (Days)</t>
  </si>
  <si>
    <t>Current Ratio</t>
  </si>
  <si>
    <t>Total outside Liabilities to Total Networth</t>
  </si>
  <si>
    <t>MAXIMUM PERMISSABLE BANK FINANCE:</t>
  </si>
  <si>
    <t>Method 1 : Working capital Method</t>
  </si>
  <si>
    <t>Method 1 : Current Assets Method</t>
  </si>
  <si>
    <t>Method 3 : Nayak Committee</t>
  </si>
  <si>
    <t>PROJECTIONS AND ESTIMATIONS</t>
  </si>
  <si>
    <t>OF</t>
  </si>
  <si>
    <t xml:space="preserve">Working (CC) Capital Loan </t>
  </si>
  <si>
    <t>PREPARED BY</t>
  </si>
  <si>
    <t>FINVOICE OPEN BUSINESS SOLUTIONS LLP</t>
  </si>
  <si>
    <t>MSME &amp; DPR Consultants</t>
  </si>
  <si>
    <t>Contact : 9618221011</t>
  </si>
  <si>
    <t>TRADING, PROFIT &amp; LOSS ACCOUNT FOR YEAR ENDED</t>
  </si>
  <si>
    <t>Gross Revenue / Turnover:</t>
  </si>
  <si>
    <t>Revenue</t>
  </si>
  <si>
    <t>Cost of Goods Sold:</t>
  </si>
  <si>
    <t xml:space="preserve">Gross Profit </t>
  </si>
  <si>
    <t xml:space="preserve">Add : Non Operating Income </t>
  </si>
  <si>
    <t>Less :Admintrative &amp; Selling Expenses</t>
  </si>
  <si>
    <t>Sch 1</t>
  </si>
  <si>
    <t>EBDIT</t>
  </si>
  <si>
    <t xml:space="preserve">Less : Depreciation </t>
  </si>
  <si>
    <t xml:space="preserve">EBIT </t>
  </si>
  <si>
    <t xml:space="preserve">Less: Interest </t>
  </si>
  <si>
    <t>EBT</t>
  </si>
  <si>
    <t>BALANCE SHEET AS ON</t>
  </si>
  <si>
    <t>Net Capital Including Net Reserves &amp; Surplus</t>
  </si>
  <si>
    <t>Schedule 1  -  Explanation for Administrative &amp; Selling Expenses</t>
  </si>
  <si>
    <t>Office Admin and Marketing Expenses</t>
  </si>
  <si>
    <t>RATIO ANALYSIS</t>
  </si>
  <si>
    <t xml:space="preserve">A . CURRENT RATIO </t>
  </si>
  <si>
    <t>IDEAL RATIO  &gt; 1.33</t>
  </si>
  <si>
    <t>Current Assets / Current Liabilities</t>
  </si>
  <si>
    <t>Current Assets</t>
  </si>
  <si>
    <t>Current Liabilities</t>
  </si>
  <si>
    <t>NOTES : Indicates Ability to repay short term commitments promptly .</t>
  </si>
  <si>
    <t>B  . DEBTORS / RECIEVABLES TURNOVER RATIO</t>
  </si>
  <si>
    <t>Credit sales / Average debtors</t>
  </si>
  <si>
    <t>*Sales assumed as credit sales</t>
  </si>
  <si>
    <t xml:space="preserve">NOTES : It indicates velocity of debt collection. Higer the DTR indicates good vellocity of debt </t>
  </si>
  <si>
    <t>collection.</t>
  </si>
  <si>
    <t>DEBTORS COLLECTION PERIOD :</t>
  </si>
  <si>
    <t>(No of days/debtor turnover ratio)</t>
  </si>
  <si>
    <t xml:space="preserve">* No. of  Days  Assumed  as </t>
  </si>
  <si>
    <t>C . GROSS PROFIT RATIO</t>
  </si>
  <si>
    <t>Gross profit / Sales * 100</t>
  </si>
  <si>
    <t>NOTES : Indicates Basic Profitability of the Business.</t>
  </si>
  <si>
    <t>D . NETPROFIT RATIO</t>
  </si>
  <si>
    <t>Netprofit / Sales * 100</t>
  </si>
  <si>
    <t>NOTES : Indicates overall Profitability of the Business.</t>
  </si>
  <si>
    <t>E . INTEREST COVERAGE RATIO</t>
  </si>
  <si>
    <t>IDEAL RATIO   -   &gt;  1</t>
  </si>
  <si>
    <t>Partiiculars</t>
  </si>
  <si>
    <t>E B I   / Interest</t>
  </si>
  <si>
    <t>EBI</t>
  </si>
  <si>
    <t>Interest</t>
  </si>
  <si>
    <t>NOTE : Indicates ability to meet Interest Obligation of the current year .</t>
  </si>
  <si>
    <t>F . WORKING CAPITAL TURNOVER RATIO :</t>
  </si>
  <si>
    <t>Networking capital (CA - CL)</t>
  </si>
  <si>
    <t>Sales / Networking Capital</t>
  </si>
  <si>
    <t>NOTE : Ability to generate sales per Rupee of Working Capital</t>
  </si>
  <si>
    <t>G . STOCK TURNOVER RATIO</t>
  </si>
  <si>
    <t>COGS</t>
  </si>
  <si>
    <t>AVERAGE STOCK</t>
  </si>
  <si>
    <t>STR = (COGS / AVRG STOCK)</t>
  </si>
  <si>
    <t xml:space="preserve">NOTES : Stock turn over ratio anaysis helps us to understand business performance of the company. </t>
  </si>
  <si>
    <t>It Indicates Inventory Management . It shows how offten company sells it inventory.</t>
  </si>
  <si>
    <t>Higher the ratio indicates good performance of the company. Lower ratio indicates poor performance.</t>
  </si>
  <si>
    <t>H .  TOTAL OUTSIDE LIABILITIES TO TOTAL NETWORTH RATIO :</t>
  </si>
  <si>
    <t>TOL / TW</t>
  </si>
  <si>
    <t>NOTES : Indicates Extent of own funds used in business.</t>
  </si>
  <si>
    <t>I . RETURN ON CAPITAL EMPLOYED</t>
  </si>
  <si>
    <t>PAT / (Capital+Long Term loan)</t>
  </si>
  <si>
    <t>NOTE : Indicates overall profitability of Business for capital employed .</t>
  </si>
  <si>
    <t>CALCULATION OF MAXIMUM PERMISSIBLE BANK FINANCE</t>
  </si>
  <si>
    <t>MPBF - Method 1 - 25%(Working Capital Gap)</t>
  </si>
  <si>
    <t xml:space="preserve"> 1. Total current assets</t>
  </si>
  <si>
    <t xml:space="preserve"> 2. Other  current liabilities</t>
  </si>
  <si>
    <t xml:space="preserve">    (Other than bank borrowings )</t>
  </si>
  <si>
    <t xml:space="preserve"> 3. Working capital gap</t>
  </si>
  <si>
    <t xml:space="preserve"> 4. Min. stipulated Networking capital</t>
  </si>
  <si>
    <t xml:space="preserve">    (25% of WCG excluding export</t>
  </si>
  <si>
    <t xml:space="preserve">     receivables)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</si>
  <si>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</si>
  <si>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</si>
  <si>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</si>
  <si>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</si>
  <si>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</si>
  <si>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MPBF - Method 2 - 25%(Current Assets)</t>
  </si>
  <si>
    <t xml:space="preserve">    (25% of Current Assets)</t>
  </si>
  <si>
    <t>WORKING CAPITAL ASSESSMENT - TURNOVER METHOD</t>
  </si>
  <si>
    <t>NAYAK COMMITTEE RECOMONDATIONS</t>
  </si>
  <si>
    <t>Turnover</t>
  </si>
  <si>
    <t>Working Capital Requirement</t>
  </si>
  <si>
    <t>(25% of Turnover)</t>
  </si>
  <si>
    <t>Minimum Working Capital Limit</t>
  </si>
  <si>
    <t>(80% of Working Capital Requirment)</t>
  </si>
  <si>
    <t>Drawing Power</t>
  </si>
  <si>
    <t xml:space="preserve">Maximum Permisable Working capital Limit </t>
  </si>
  <si>
    <t>Notes :</t>
  </si>
  <si>
    <t>1. Maximum Working capital Limit Must not exceed Drawing power .</t>
  </si>
  <si>
    <t>2. Four Operating cycles per Annum is Assumed.</t>
  </si>
  <si>
    <t>CALCULATION OF DEPRECIATION AS PER INCOME TAX  ACT</t>
  </si>
  <si>
    <t>Rs in lacs</t>
  </si>
  <si>
    <t>Total</t>
  </si>
  <si>
    <t xml:space="preserve">WDV </t>
  </si>
  <si>
    <t>Add Additions</t>
  </si>
  <si>
    <t>WDVat the end of 1st Year</t>
  </si>
  <si>
    <t>WDVat the end of 2nd Year</t>
  </si>
  <si>
    <t>WDVat the end of 3rd Year</t>
  </si>
  <si>
    <t>WDVat the end of 4th Year</t>
  </si>
  <si>
    <t>WDVat the end of 5th Year</t>
  </si>
  <si>
    <t>SCHEDULES TO FIXED ASSETS</t>
  </si>
  <si>
    <t>Furniture and Fixtures Schedule:</t>
  </si>
  <si>
    <t>1.Computer tables</t>
  </si>
  <si>
    <t>2.Wooden wardrobe</t>
  </si>
  <si>
    <t>3.Conference room furniture</t>
  </si>
  <si>
    <t>Plant and Machinery Schedule:</t>
  </si>
  <si>
    <t>1.Moulds</t>
  </si>
  <si>
    <t>2.Dyes</t>
  </si>
  <si>
    <t>3.Generator</t>
  </si>
  <si>
    <t>4.Invertor</t>
  </si>
  <si>
    <t>5.CCw B 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</si>
</sst>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0" x14ac:knownFonts="1">
    <font>
      <sz val="10"/>
      <name val="Arial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i/>
      <sz val="11"/>
      <name val="Trebuchet MS"/>
      <family val="2"/>
    </font>
    <font>
      <b/>
      <sz val="18"/>
      <name val="Trebuchet MS"/>
      <family val="2"/>
    </font>
    <font>
      <sz val="18"/>
      <name val="Trebuchet MS"/>
      <family val="2"/>
    </font>
    <font>
      <b/>
      <u/>
      <sz val="18"/>
      <name val="Trebuchet MS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8"/>
      <name val="Trebuchet MS"/>
      <family val="2"/>
    </font>
    <font>
      <b/>
      <i/>
      <u/>
      <sz val="11"/>
      <name val="Arial"/>
      <family val="2"/>
    </font>
    <font>
      <b/>
      <i/>
      <u/>
      <sz val="10"/>
      <name val="Arial"/>
      <family val="2"/>
    </font>
    <font>
      <b/>
      <sz val="24"/>
      <name val="Trebuchet MS"/>
      <family val="2"/>
    </font>
    <font>
      <i/>
      <sz val="10"/>
      <name val="Trebuchet MS"/>
      <family val="2"/>
    </font>
    <font>
      <b/>
      <u/>
      <sz val="20"/>
      <name val="Trebuchet MS"/>
      <family val="2"/>
    </font>
    <font>
      <sz val="11"/>
      <name val="Arial"/>
      <family val="2"/>
    </font>
    <font>
      <sz val="12"/>
      <color rgb="FF000000"/>
      <name val="Trebuchet MS"/>
      <family val="2"/>
    </font>
    <font>
      <b/>
      <i/>
      <sz val="10"/>
      <color theme="9" tint="-0.499984740745262"/>
      <name val="Trebuchet MS"/>
      <family val="2"/>
    </font>
    <font>
      <b/>
      <i/>
      <u/>
      <sz val="10"/>
      <color theme="9" tint="-0.499984740745262"/>
      <name val="Trebuchet MS"/>
      <family val="2"/>
    </font>
    <font>
      <sz val="20"/>
      <color theme="1"/>
      <name val="Trebuchet MS"/>
      <family val="2"/>
    </font>
    <font>
      <b/>
      <i/>
      <sz val="18"/>
      <color rgb="FFFF0000"/>
      <name val="Trebuchet MS"/>
      <family val="2"/>
    </font>
    <font>
      <b/>
      <sz val="20"/>
      <color theme="0"/>
      <name val="Trebuchet MS"/>
      <family val="2"/>
    </font>
    <font>
      <sz val="20"/>
      <color theme="0"/>
      <name val="Trebuchet MS"/>
      <family val="2"/>
    </font>
    <font>
      <i/>
      <sz val="20"/>
      <color theme="0"/>
      <name val="Trebuchet MS"/>
      <family val="2"/>
    </font>
    <font>
      <sz val="20"/>
      <color rgb="FFFF0000"/>
      <name val="Trebuchet MS"/>
      <family val="2"/>
    </font>
    <font>
      <b/>
      <sz val="24"/>
      <color rgb="FFFF0000"/>
      <name val="Trebuchet MS"/>
      <family val="2"/>
    </font>
    <font>
      <b/>
      <sz val="16"/>
      <color rgb="FFFF0000"/>
      <name val="Trebuchet MS"/>
      <family val="2"/>
    </font>
    <font>
      <b/>
      <sz val="10"/>
      <color theme="9" tint="-0.499984740745262"/>
      <name val="Trebuchet MS"/>
      <family val="2"/>
    </font>
    <font>
      <b/>
      <sz val="10"/>
      <color theme="0"/>
      <name val="Arial"/>
      <family val="2"/>
    </font>
    <font>
      <b/>
      <u/>
      <sz val="14"/>
      <name val="Arial"/>
      <family val="2"/>
    </font>
    <font>
      <b/>
      <i/>
      <u/>
      <sz val="10"/>
      <name val="Trebuchet MS"/>
      <family val="2"/>
    </font>
    <font>
      <b/>
      <sz val="1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/>
  </cellStyleXfs>
  <cellXfs count="38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1" fontId="2" fillId="0" borderId="2" xfId="0" applyNumberFormat="1" applyFont="1" applyBorder="1"/>
    <xf numFmtId="1" fontId="2" fillId="0" borderId="0" xfId="0" applyNumberFormat="1" applyFont="1" applyAlignment="1">
      <alignment vertical="center"/>
    </xf>
    <xf numFmtId="1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2" fontId="7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2" fontId="7" fillId="0" borderId="0" xfId="0" applyNumberFormat="1" applyFont="1"/>
    <xf numFmtId="0" fontId="8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0" xfId="0" applyFont="1"/>
    <xf numFmtId="1" fontId="7" fillId="0" borderId="0" xfId="0" applyNumberFormat="1" applyFont="1"/>
    <xf numFmtId="0" fontId="8" fillId="0" borderId="1" xfId="0" applyFont="1" applyBorder="1"/>
    <xf numFmtId="0" fontId="34" fillId="0" borderId="0" xfId="0" applyFont="1" applyAlignment="1">
      <alignment horizontal="right"/>
    </xf>
    <xf numFmtId="0" fontId="34" fillId="0" borderId="1" xfId="0" applyFont="1" applyBorder="1" applyAlignment="1">
      <alignment horizontal="right"/>
    </xf>
    <xf numFmtId="0" fontId="35" fillId="0" borderId="0" xfId="0" applyFont="1"/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1" fontId="13" fillId="0" borderId="0" xfId="0" applyNumberFormat="1" applyFont="1"/>
    <xf numFmtId="0" fontId="15" fillId="0" borderId="0" xfId="0" applyFont="1"/>
    <xf numFmtId="0" fontId="35" fillId="2" borderId="0" xfId="0" applyFont="1" applyFill="1"/>
    <xf numFmtId="0" fontId="36" fillId="2" borderId="0" xfId="0" applyFont="1" applyFill="1"/>
    <xf numFmtId="0" fontId="18" fillId="0" borderId="0" xfId="0" applyFont="1"/>
    <xf numFmtId="1" fontId="7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right"/>
    </xf>
    <xf numFmtId="1" fontId="2" fillId="0" borderId="4" xfId="0" applyNumberFormat="1" applyFont="1" applyBorder="1"/>
    <xf numFmtId="1" fontId="37" fillId="0" borderId="0" xfId="0" applyNumberFormat="1" applyFont="1"/>
    <xf numFmtId="0" fontId="13" fillId="0" borderId="1" xfId="0" applyFont="1" applyBorder="1"/>
    <xf numFmtId="0" fontId="38" fillId="0" borderId="0" xfId="0" applyFont="1" applyAlignment="1">
      <alignment vertical="top"/>
    </xf>
    <xf numFmtId="0" fontId="3" fillId="4" borderId="2" xfId="0" applyFont="1" applyFill="1" applyBorder="1"/>
    <xf numFmtId="0" fontId="2" fillId="4" borderId="2" xfId="0" applyFont="1" applyFill="1" applyBorder="1" applyAlignment="1">
      <alignment horizontal="right"/>
    </xf>
    <xf numFmtId="0" fontId="8" fillId="4" borderId="7" xfId="0" applyFont="1" applyFill="1" applyBorder="1" applyAlignment="1">
      <alignment horizontal="center"/>
    </xf>
    <xf numFmtId="0" fontId="8" fillId="4" borderId="7" xfId="0" applyFont="1" applyFill="1" applyBorder="1"/>
    <xf numFmtId="0" fontId="8" fillId="4" borderId="7" xfId="0" applyFont="1" applyFill="1" applyBorder="1" applyAlignment="1">
      <alignment horizontal="right"/>
    </xf>
    <xf numFmtId="0" fontId="10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7" fillId="4" borderId="7" xfId="0" applyFont="1" applyFill="1" applyBorder="1"/>
    <xf numFmtId="0" fontId="12" fillId="4" borderId="2" xfId="0" applyFont="1" applyFill="1" applyBorder="1"/>
    <xf numFmtId="0" fontId="12" fillId="4" borderId="2" xfId="0" applyFont="1" applyFill="1" applyBorder="1" applyAlignment="1">
      <alignment horizontal="right"/>
    </xf>
    <xf numFmtId="1" fontId="19" fillId="0" borderId="0" xfId="0" applyNumberFormat="1" applyFont="1"/>
    <xf numFmtId="0" fontId="12" fillId="4" borderId="7" xfId="0" applyFont="1" applyFill="1" applyBorder="1"/>
    <xf numFmtId="0" fontId="12" fillId="4" borderId="7" xfId="0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1" fillId="0" borderId="1" xfId="0" applyFont="1" applyBorder="1"/>
    <xf numFmtId="0" fontId="22" fillId="0" borderId="0" xfId="0" applyFont="1" applyAlignment="1">
      <alignment horizontal="center"/>
    </xf>
    <xf numFmtId="0" fontId="21" fillId="4" borderId="8" xfId="0" applyFont="1" applyFill="1" applyBorder="1"/>
    <xf numFmtId="0" fontId="21" fillId="4" borderId="9" xfId="0" applyFont="1" applyFill="1" applyBorder="1"/>
    <xf numFmtId="0" fontId="21" fillId="4" borderId="10" xfId="0" applyFont="1" applyFill="1" applyBorder="1"/>
    <xf numFmtId="0" fontId="21" fillId="4" borderId="3" xfId="0" applyFont="1" applyFill="1" applyBorder="1"/>
    <xf numFmtId="0" fontId="21" fillId="4" borderId="0" xfId="0" applyFont="1" applyFill="1"/>
    <xf numFmtId="0" fontId="21" fillId="4" borderId="11" xfId="0" applyFont="1" applyFill="1" applyBorder="1"/>
    <xf numFmtId="0" fontId="21" fillId="4" borderId="12" xfId="0" applyFont="1" applyFill="1" applyBorder="1"/>
    <xf numFmtId="0" fontId="20" fillId="4" borderId="11" xfId="0" applyFont="1" applyFill="1" applyBorder="1" applyAlignment="1">
      <alignment wrapText="1"/>
    </xf>
    <xf numFmtId="0" fontId="21" fillId="4" borderId="13" xfId="0" applyFont="1" applyFill="1" applyBorder="1"/>
    <xf numFmtId="0" fontId="21" fillId="4" borderId="1" xfId="0" applyFont="1" applyFill="1" applyBorder="1"/>
    <xf numFmtId="2" fontId="39" fillId="0" borderId="0" xfId="0" applyNumberFormat="1" applyFont="1"/>
    <xf numFmtId="0" fontId="40" fillId="0" borderId="0" xfId="0" applyFont="1"/>
    <xf numFmtId="0" fontId="41" fillId="0" borderId="0" xfId="0" applyFont="1"/>
    <xf numFmtId="2" fontId="39" fillId="0" borderId="0" xfId="0" applyNumberFormat="1" applyFont="1" applyAlignment="1">
      <alignment vertical="center"/>
    </xf>
    <xf numFmtId="2" fontId="40" fillId="0" borderId="0" xfId="0" applyNumberFormat="1" applyFont="1"/>
    <xf numFmtId="2" fontId="3" fillId="0" borderId="0" xfId="0" applyNumberFormat="1" applyFont="1"/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5" borderId="14" xfId="0" applyFill="1" applyBorder="1"/>
    <xf numFmtId="0" fontId="23" fillId="0" borderId="0" xfId="0" applyFont="1"/>
    <xf numFmtId="0" fontId="7" fillId="4" borderId="5" xfId="0" applyFont="1" applyFill="1" applyBorder="1"/>
    <xf numFmtId="0" fontId="8" fillId="4" borderId="5" xfId="0" applyFont="1" applyFill="1" applyBorder="1" applyAlignment="1">
      <alignment horizontal="center"/>
    </xf>
    <xf numFmtId="0" fontId="7" fillId="4" borderId="0" xfId="0" applyFont="1" applyFill="1"/>
    <xf numFmtId="0" fontId="8" fillId="4" borderId="0" xfId="0" applyFont="1" applyFill="1" applyAlignment="1">
      <alignment horizontal="center"/>
    </xf>
    <xf numFmtId="0" fontId="7" fillId="4" borderId="6" xfId="0" applyFont="1" applyFill="1" applyBorder="1"/>
    <xf numFmtId="10" fontId="8" fillId="4" borderId="6" xfId="0" applyNumberFormat="1" applyFont="1" applyFill="1" applyBorder="1" applyAlignment="1">
      <alignment horizontal="center"/>
    </xf>
    <xf numFmtId="9" fontId="8" fillId="4" borderId="6" xfId="1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17" fontId="2" fillId="4" borderId="5" xfId="0" applyNumberFormat="1" applyFont="1" applyFill="1" applyBorder="1" applyAlignment="1">
      <alignment horizontal="right" vertical="center"/>
    </xf>
    <xf numFmtId="0" fontId="2" fillId="4" borderId="6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7" xfId="0" applyBorder="1"/>
    <xf numFmtId="0" fontId="42" fillId="0" borderId="0" xfId="0" applyFont="1"/>
    <xf numFmtId="0" fontId="3" fillId="0" borderId="0" xfId="0" applyFont="1" applyAlignment="1">
      <alignment wrapText="1"/>
    </xf>
    <xf numFmtId="0" fontId="27" fillId="0" borderId="0" xfId="0" applyFont="1" applyAlignment="1">
      <alignment horizontal="center"/>
    </xf>
    <xf numFmtId="0" fontId="23" fillId="7" borderId="23" xfId="0" applyFont="1" applyFill="1" applyBorder="1"/>
    <xf numFmtId="0" fontId="23" fillId="7" borderId="24" xfId="0" applyFont="1" applyFill="1" applyBorder="1"/>
    <xf numFmtId="0" fontId="23" fillId="7" borderId="23" xfId="0" applyFont="1" applyFill="1" applyBorder="1" applyAlignment="1">
      <alignment horizontal="center"/>
    </xf>
    <xf numFmtId="0" fontId="23" fillId="7" borderId="23" xfId="0" applyFont="1" applyFill="1" applyBorder="1" applyAlignment="1">
      <alignment horizontal="center" wrapText="1"/>
    </xf>
    <xf numFmtId="0" fontId="0" fillId="5" borderId="25" xfId="0" applyFill="1" applyBorder="1"/>
    <xf numFmtId="0" fontId="28" fillId="0" borderId="0" xfId="0" applyFont="1"/>
    <xf numFmtId="0" fontId="26" fillId="0" borderId="0" xfId="0" applyFont="1" applyAlignment="1">
      <alignment horizontal="center"/>
    </xf>
    <xf numFmtId="1" fontId="2" fillId="0" borderId="1" xfId="0" applyNumberFormat="1" applyFont="1" applyBorder="1"/>
    <xf numFmtId="0" fontId="2" fillId="0" borderId="1" xfId="0" applyFont="1" applyBorder="1"/>
    <xf numFmtId="0" fontId="2" fillId="4" borderId="6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8" fillId="4" borderId="7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12" fillId="4" borderId="7" xfId="0" applyFont="1" applyFill="1" applyBorder="1" applyAlignment="1">
      <alignment horizontal="right" wrapText="1"/>
    </xf>
    <xf numFmtId="0" fontId="23" fillId="0" borderId="0" xfId="0" applyFont="1" applyAlignment="1">
      <alignment horizontal="center"/>
    </xf>
    <xf numFmtId="0" fontId="0" fillId="5" borderId="29" xfId="0" applyFill="1" applyBorder="1"/>
    <xf numFmtId="0" fontId="25" fillId="3" borderId="3" xfId="0" applyFont="1" applyFill="1" applyBorder="1" applyAlignment="1">
      <alignment horizontal="center" vertical="center" wrapText="1"/>
    </xf>
    <xf numFmtId="0" fontId="0" fillId="3" borderId="29" xfId="0" applyFill="1" applyBorder="1"/>
    <xf numFmtId="0" fontId="0" fillId="5" borderId="23" xfId="0" applyFill="1" applyBorder="1"/>
    <xf numFmtId="0" fontId="25" fillId="3" borderId="14" xfId="0" applyFont="1" applyFill="1" applyBorder="1" applyAlignment="1">
      <alignment horizontal="center" vertical="center" wrapText="1"/>
    </xf>
    <xf numFmtId="0" fontId="0" fillId="3" borderId="14" xfId="0" applyFill="1" applyBorder="1"/>
    <xf numFmtId="1" fontId="2" fillId="4" borderId="6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0" fillId="5" borderId="26" xfId="0" applyFill="1" applyBorder="1"/>
    <xf numFmtId="0" fontId="23" fillId="7" borderId="29" xfId="0" applyFont="1" applyFill="1" applyBorder="1"/>
    <xf numFmtId="0" fontId="23" fillId="7" borderId="29" xfId="0" applyFont="1" applyFill="1" applyBorder="1" applyAlignment="1">
      <alignment horizontal="center" wrapText="1"/>
    </xf>
    <xf numFmtId="0" fontId="0" fillId="7" borderId="29" xfId="0" applyFill="1" applyBorder="1"/>
    <xf numFmtId="0" fontId="0" fillId="2" borderId="25" xfId="0" applyFill="1" applyBorder="1"/>
    <xf numFmtId="0" fontId="30" fillId="8" borderId="0" xfId="0" applyFont="1" applyFill="1"/>
    <xf numFmtId="1" fontId="2" fillId="0" borderId="7" xfId="0" applyNumberFormat="1" applyFont="1" applyBorder="1" applyAlignment="1">
      <alignment vertical="center"/>
    </xf>
    <xf numFmtId="1" fontId="2" fillId="0" borderId="7" xfId="0" applyNumberFormat="1" applyFont="1" applyBorder="1"/>
    <xf numFmtId="0" fontId="23" fillId="7" borderId="30" xfId="0" applyFont="1" applyFill="1" applyBorder="1"/>
    <xf numFmtId="0" fontId="23" fillId="7" borderId="29" xfId="0" applyFont="1" applyFill="1" applyBorder="1" applyAlignment="1">
      <alignment horizontal="center"/>
    </xf>
    <xf numFmtId="0" fontId="7" fillId="9" borderId="27" xfId="0" applyFont="1" applyFill="1" applyBorder="1"/>
    <xf numFmtId="0" fontId="0" fillId="9" borderId="14" xfId="0" applyFill="1" applyBorder="1"/>
    <xf numFmtId="0" fontId="0" fillId="9" borderId="14" xfId="0" applyFill="1" applyBorder="1" applyAlignment="1">
      <alignment horizontal="left"/>
    </xf>
    <xf numFmtId="9" fontId="0" fillId="9" borderId="14" xfId="0" applyNumberFormat="1" applyFill="1" applyBorder="1"/>
    <xf numFmtId="0" fontId="43" fillId="0" borderId="0" xfId="0" applyFont="1"/>
    <xf numFmtId="0" fontId="32" fillId="0" borderId="0" xfId="0" applyFont="1"/>
    <xf numFmtId="0" fontId="33" fillId="0" borderId="14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3" fillId="3" borderId="27" xfId="0" applyFont="1" applyFill="1" applyBorder="1"/>
    <xf numFmtId="0" fontId="23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14" xfId="0" applyFill="1" applyBorder="1" applyAlignment="1">
      <alignment horizontal="left"/>
    </xf>
    <xf numFmtId="0" fontId="23" fillId="3" borderId="14" xfId="0" applyFont="1" applyFill="1" applyBorder="1" applyAlignment="1">
      <alignment horizontal="center" wrapText="1"/>
    </xf>
    <xf numFmtId="0" fontId="7" fillId="0" borderId="21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3" xfId="0" applyFont="1" applyBorder="1" applyAlignment="1">
      <alignment horizontal="center" vertical="top" wrapText="1"/>
    </xf>
    <xf numFmtId="0" fontId="7" fillId="0" borderId="33" xfId="0" applyFont="1" applyBorder="1" applyAlignment="1">
      <alignment horizontal="center" wrapText="1"/>
    </xf>
    <xf numFmtId="10" fontId="23" fillId="0" borderId="17" xfId="0" applyNumberFormat="1" applyFont="1" applyBorder="1" applyAlignment="1">
      <alignment horizontal="left"/>
    </xf>
    <xf numFmtId="0" fontId="7" fillId="0" borderId="14" xfId="0" applyFont="1" applyBorder="1" applyAlignment="1">
      <alignment horizontal="right" wrapText="1"/>
    </xf>
    <xf numFmtId="0" fontId="31" fillId="0" borderId="22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1" fontId="23" fillId="0" borderId="14" xfId="0" applyNumberFormat="1" applyFont="1" applyBorder="1" applyAlignment="1">
      <alignment horizontal="center"/>
    </xf>
    <xf numFmtId="0" fontId="7" fillId="0" borderId="21" xfId="0" applyFont="1" applyBorder="1" applyAlignment="1">
      <alignment wrapText="1"/>
    </xf>
    <xf numFmtId="0" fontId="23" fillId="3" borderId="38" xfId="0" applyFont="1" applyFill="1" applyBorder="1" applyAlignment="1">
      <alignment horizontal="center"/>
    </xf>
    <xf numFmtId="0" fontId="23" fillId="3" borderId="14" xfId="0" applyFont="1" applyFill="1" applyBorder="1" applyAlignment="1">
      <alignment horizontal="left"/>
    </xf>
    <xf numFmtId="0" fontId="23" fillId="3" borderId="14" xfId="0" applyFont="1" applyFill="1" applyBorder="1" applyAlignment="1">
      <alignment horizontal="right"/>
    </xf>
    <xf numFmtId="0" fontId="8" fillId="3" borderId="14" xfId="0" applyFont="1" applyFill="1" applyBorder="1" applyAlignment="1">
      <alignment horizontal="right" wrapText="1"/>
    </xf>
    <xf numFmtId="0" fontId="11" fillId="3" borderId="39" xfId="0" applyFont="1" applyFill="1" applyBorder="1" applyAlignment="1">
      <alignment horizontal="left"/>
    </xf>
    <xf numFmtId="0" fontId="1" fillId="0" borderId="28" xfId="0" applyFont="1" applyBorder="1"/>
    <xf numFmtId="0" fontId="1" fillId="0" borderId="25" xfId="0" applyFont="1" applyBorder="1"/>
    <xf numFmtId="0" fontId="1" fillId="0" borderId="25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27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27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23" xfId="0" applyFont="1" applyBorder="1" applyAlignment="1">
      <alignment horizontal="center"/>
    </xf>
    <xf numFmtId="0" fontId="1" fillId="0" borderId="34" xfId="0" applyFont="1" applyBorder="1" applyAlignment="1">
      <alignment horizontal="left"/>
    </xf>
    <xf numFmtId="0" fontId="1" fillId="0" borderId="24" xfId="0" applyFont="1" applyBorder="1"/>
    <xf numFmtId="0" fontId="1" fillId="0" borderId="23" xfId="0" applyFont="1" applyBorder="1"/>
    <xf numFmtId="0" fontId="1" fillId="7" borderId="29" xfId="0" applyFont="1" applyFill="1" applyBorder="1"/>
    <xf numFmtId="0" fontId="1" fillId="0" borderId="25" xfId="0" applyFont="1" applyBorder="1" applyAlignment="1">
      <alignment horizontal="left"/>
    </xf>
    <xf numFmtId="0" fontId="1" fillId="0" borderId="35" xfId="0" applyFont="1" applyBorder="1"/>
    <xf numFmtId="0" fontId="1" fillId="0" borderId="21" xfId="0" applyFont="1" applyBorder="1" applyAlignment="1">
      <alignment horizontal="center"/>
    </xf>
    <xf numFmtId="0" fontId="1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30" xfId="0" applyFont="1" applyFill="1" applyBorder="1"/>
    <xf numFmtId="0" fontId="1" fillId="3" borderId="29" xfId="0" applyFont="1" applyFill="1" applyBorder="1"/>
    <xf numFmtId="0" fontId="1" fillId="3" borderId="29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0" borderId="32" xfId="0" applyFont="1" applyBorder="1"/>
    <xf numFmtId="0" fontId="1" fillId="0" borderId="26" xfId="0" applyFont="1" applyBorder="1"/>
    <xf numFmtId="0" fontId="1" fillId="0" borderId="26" xfId="0" applyFont="1" applyBorder="1" applyAlignment="1">
      <alignment horizontal="center"/>
    </xf>
    <xf numFmtId="0" fontId="1" fillId="0" borderId="33" xfId="0" applyFont="1" applyBorder="1"/>
    <xf numFmtId="0" fontId="1" fillId="0" borderId="35" xfId="0" applyFont="1" applyBorder="1" applyAlignment="1">
      <alignment horizontal="left"/>
    </xf>
    <xf numFmtId="1" fontId="1" fillId="0" borderId="33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31" xfId="0" applyFont="1" applyBorder="1"/>
    <xf numFmtId="1" fontId="1" fillId="0" borderId="37" xfId="0" applyNumberFormat="1" applyFont="1" applyBorder="1"/>
    <xf numFmtId="0" fontId="1" fillId="0" borderId="29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1" fillId="5" borderId="0" xfId="0" applyFont="1" applyFill="1"/>
    <xf numFmtId="0" fontId="1" fillId="0" borderId="33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1" fillId="0" borderId="0" xfId="0" applyFont="1"/>
    <xf numFmtId="0" fontId="1" fillId="3" borderId="14" xfId="0" applyFont="1" applyFill="1" applyBorder="1" applyAlignment="1">
      <alignment horizontal="left"/>
    </xf>
    <xf numFmtId="0" fontId="1" fillId="9" borderId="27" xfId="0" applyFont="1" applyFill="1" applyBorder="1"/>
    <xf numFmtId="0" fontId="1" fillId="9" borderId="14" xfId="0" applyFont="1" applyFill="1" applyBorder="1"/>
    <xf numFmtId="0" fontId="1" fillId="9" borderId="14" xfId="0" applyFont="1" applyFill="1" applyBorder="1" applyAlignment="1">
      <alignment horizontal="left"/>
    </xf>
    <xf numFmtId="0" fontId="1" fillId="3" borderId="0" xfId="0" applyFont="1" applyFill="1"/>
    <xf numFmtId="2" fontId="1" fillId="0" borderId="33" xfId="0" applyNumberFormat="1" applyFont="1" applyBorder="1"/>
    <xf numFmtId="2" fontId="0" fillId="0" borderId="0" xfId="0" applyNumberFormat="1"/>
    <xf numFmtId="0" fontId="46" fillId="5" borderId="14" xfId="0" applyFont="1" applyFill="1" applyBorder="1"/>
    <xf numFmtId="2" fontId="1" fillId="0" borderId="33" xfId="0" applyNumberFormat="1" applyFont="1" applyBorder="1" applyAlignment="1">
      <alignment horizontal="center"/>
    </xf>
    <xf numFmtId="2" fontId="1" fillId="0" borderId="36" xfId="0" applyNumberFormat="1" applyFont="1" applyBorder="1" applyAlignment="1">
      <alignment horizontal="center"/>
    </xf>
    <xf numFmtId="0" fontId="46" fillId="5" borderId="19" xfId="0" applyFont="1" applyFill="1" applyBorder="1"/>
    <xf numFmtId="2" fontId="0" fillId="9" borderId="14" xfId="0" applyNumberFormat="1" applyFill="1" applyBorder="1" applyAlignment="1">
      <alignment horizontal="center"/>
    </xf>
    <xf numFmtId="2" fontId="1" fillId="9" borderId="14" xfId="0" applyNumberFormat="1" applyFon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8" fillId="9" borderId="14" xfId="0" applyNumberFormat="1" applyFont="1" applyFill="1" applyBorder="1" applyAlignment="1">
      <alignment horizontal="center" wrapText="1"/>
    </xf>
    <xf numFmtId="2" fontId="7" fillId="9" borderId="14" xfId="0" applyNumberFormat="1" applyFont="1" applyFill="1" applyBorder="1" applyAlignment="1">
      <alignment horizontal="center" wrapText="1"/>
    </xf>
    <xf numFmtId="2" fontId="1" fillId="3" borderId="0" xfId="0" applyNumberFormat="1" applyFont="1" applyFill="1" applyAlignment="1">
      <alignment horizontal="center"/>
    </xf>
    <xf numFmtId="2" fontId="1" fillId="3" borderId="14" xfId="0" applyNumberFormat="1" applyFont="1" applyFill="1" applyBorder="1" applyAlignment="1">
      <alignment horizontal="center"/>
    </xf>
    <xf numFmtId="2" fontId="7" fillId="9" borderId="14" xfId="0" applyNumberFormat="1" applyFont="1" applyFill="1" applyBorder="1" applyAlignment="1">
      <alignment horizontal="center"/>
    </xf>
    <xf numFmtId="0" fontId="1" fillId="0" borderId="0" xfId="0" applyFont="1" applyAlignment="1">
      <alignment vertical="center" wrapText="1"/>
    </xf>
    <xf numFmtId="0" fontId="47" fillId="0" borderId="0" xfId="0" applyFont="1"/>
    <xf numFmtId="2" fontId="29" fillId="0" borderId="0" xfId="0" applyNumberFormat="1" applyFont="1"/>
    <xf numFmtId="2" fontId="0" fillId="0" borderId="14" xfId="0" applyNumberForma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20" fillId="4" borderId="0" xfId="0" applyFont="1" applyFill="1" applyAlignment="1">
      <alignment horizontal="center" vertical="center" wrapText="1"/>
    </xf>
    <xf numFmtId="9" fontId="3" fillId="0" borderId="0" xfId="0" applyNumberFormat="1" applyFont="1"/>
    <xf numFmtId="0" fontId="20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0" fillId="4" borderId="0" xfId="0" applyFont="1" applyFill="1"/>
    <xf numFmtId="1" fontId="0" fillId="9" borderId="14" xfId="0" applyNumberFormat="1" applyFill="1" applyBorder="1"/>
    <xf numFmtId="0" fontId="48" fillId="0" borderId="0" xfId="0" applyFont="1"/>
    <xf numFmtId="0" fontId="48" fillId="2" borderId="0" xfId="0" applyFont="1" applyFill="1"/>
    <xf numFmtId="0" fontId="49" fillId="0" borderId="0" xfId="0" applyFont="1"/>
    <xf numFmtId="0" fontId="23" fillId="3" borderId="23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3" fillId="3" borderId="23" xfId="0" applyFont="1" applyFill="1" applyBorder="1" applyAlignment="1">
      <alignment horizontal="center" wrapText="1"/>
    </xf>
    <xf numFmtId="0" fontId="23" fillId="0" borderId="28" xfId="0" applyFont="1" applyBorder="1" applyAlignment="1">
      <alignment horizontal="center"/>
    </xf>
    <xf numFmtId="0" fontId="46" fillId="5" borderId="25" xfId="0" applyFont="1" applyFill="1" applyBorder="1"/>
    <xf numFmtId="0" fontId="46" fillId="5" borderId="25" xfId="0" applyFont="1" applyFill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46" fillId="5" borderId="14" xfId="0" applyFont="1" applyFill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46" fillId="5" borderId="19" xfId="0" applyFont="1" applyFill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46" fillId="5" borderId="40" xfId="0" applyFont="1" applyFill="1" applyBorder="1"/>
    <xf numFmtId="0" fontId="46" fillId="5" borderId="40" xfId="0" applyFont="1" applyFill="1" applyBorder="1" applyAlignment="1">
      <alignment horizontal="center"/>
    </xf>
    <xf numFmtId="0" fontId="23" fillId="0" borderId="50" xfId="0" applyFont="1" applyBorder="1" applyAlignment="1">
      <alignment horizontal="center"/>
    </xf>
    <xf numFmtId="0" fontId="46" fillId="5" borderId="50" xfId="0" applyFont="1" applyFill="1" applyBorder="1"/>
    <xf numFmtId="0" fontId="46" fillId="5" borderId="50" xfId="0" applyFont="1" applyFill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46" fillId="5" borderId="41" xfId="0" applyFont="1" applyFill="1" applyBorder="1"/>
    <xf numFmtId="0" fontId="46" fillId="5" borderId="41" xfId="0" applyFont="1" applyFill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46" fillId="5" borderId="42" xfId="0" applyFont="1" applyFill="1" applyBorder="1"/>
    <xf numFmtId="0" fontId="46" fillId="5" borderId="42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46" fillId="5" borderId="26" xfId="0" applyFont="1" applyFill="1" applyBorder="1"/>
    <xf numFmtId="0" fontId="46" fillId="5" borderId="26" xfId="0" applyFont="1" applyFill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46" fillId="5" borderId="23" xfId="0" applyFont="1" applyFill="1" applyBorder="1"/>
    <xf numFmtId="0" fontId="46" fillId="5" borderId="23" xfId="0" applyFont="1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46" fillId="5" borderId="22" xfId="0" applyFont="1" applyFill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46" fillId="5" borderId="17" xfId="0" applyFont="1" applyFill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46" fillId="5" borderId="20" xfId="0" applyFont="1" applyFill="1" applyBorder="1" applyAlignment="1">
      <alignment horizontal="center"/>
    </xf>
    <xf numFmtId="0" fontId="46" fillId="5" borderId="53" xfId="0" applyFont="1" applyFill="1" applyBorder="1" applyAlignment="1">
      <alignment horizontal="center"/>
    </xf>
    <xf numFmtId="0" fontId="46" fillId="5" borderId="24" xfId="0" applyFont="1" applyFill="1" applyBorder="1" applyAlignment="1">
      <alignment horizontal="center"/>
    </xf>
    <xf numFmtId="0" fontId="46" fillId="5" borderId="45" xfId="0" applyFont="1" applyFill="1" applyBorder="1" applyAlignment="1">
      <alignment horizontal="center"/>
    </xf>
    <xf numFmtId="0" fontId="23" fillId="3" borderId="23" xfId="0" applyFont="1" applyFill="1" applyBorder="1" applyAlignment="1">
      <alignment horizontal="right" wrapText="1"/>
    </xf>
    <xf numFmtId="2" fontId="23" fillId="0" borderId="33" xfId="0" applyNumberFormat="1" applyFont="1" applyBorder="1"/>
    <xf numFmtId="0" fontId="16" fillId="0" borderId="0" xfId="0" applyFont="1"/>
    <xf numFmtId="1" fontId="8" fillId="0" borderId="0" xfId="0" applyNumberFormat="1" applyFont="1"/>
    <xf numFmtId="0" fontId="1" fillId="9" borderId="14" xfId="0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 applyAlignment="1">
      <alignment horizontal="right"/>
    </xf>
    <xf numFmtId="1" fontId="7" fillId="0" borderId="1" xfId="0" applyNumberFormat="1" applyFont="1" applyBorder="1"/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4" fillId="0" borderId="0" xfId="0" applyFont="1" applyAlignment="1">
      <alignment horizontal="center" wrapText="1"/>
    </xf>
    <xf numFmtId="1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26" fillId="6" borderId="11" xfId="0" applyFont="1" applyFill="1" applyBorder="1" applyAlignment="1">
      <alignment horizontal="left"/>
    </xf>
    <xf numFmtId="0" fontId="0" fillId="0" borderId="11" xfId="0" applyBorder="1"/>
    <xf numFmtId="0" fontId="23" fillId="0" borderId="47" xfId="0" applyFont="1" applyBorder="1" applyAlignment="1">
      <alignment horizontal="center" vertical="center" wrapText="1"/>
    </xf>
    <xf numFmtId="0" fontId="0" fillId="0" borderId="3" xfId="0" applyBorder="1"/>
    <xf numFmtId="0" fontId="0" fillId="0" borderId="12" xfId="0" applyBorder="1"/>
    <xf numFmtId="0" fontId="24" fillId="0" borderId="40" xfId="0" applyFont="1" applyBorder="1" applyAlignment="1">
      <alignment horizontal="center" vertical="center" wrapText="1"/>
    </xf>
    <xf numFmtId="0" fontId="0" fillId="0" borderId="44" xfId="0" applyBorder="1"/>
    <xf numFmtId="0" fontId="0" fillId="0" borderId="50" xfId="0" applyBorder="1"/>
    <xf numFmtId="0" fontId="23" fillId="0" borderId="55" xfId="0" applyFont="1" applyBorder="1" applyAlignment="1">
      <alignment horizontal="center" vertical="center" wrapText="1"/>
    </xf>
    <xf numFmtId="0" fontId="0" fillId="0" borderId="51" xfId="0" applyBorder="1"/>
    <xf numFmtId="0" fontId="23" fillId="0" borderId="43" xfId="0" applyFont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6" xfId="0" applyBorder="1"/>
    <xf numFmtId="0" fontId="24" fillId="0" borderId="14" xfId="0" applyFont="1" applyBorder="1" applyAlignment="1">
      <alignment horizontal="center" vertical="center" wrapText="1"/>
    </xf>
    <xf numFmtId="0" fontId="23" fillId="7" borderId="19" xfId="0" applyFont="1" applyFill="1" applyBorder="1" applyAlignment="1">
      <alignment horizontal="center"/>
    </xf>
    <xf numFmtId="0" fontId="0" fillId="0" borderId="45" xfId="0" applyBorder="1"/>
    <xf numFmtId="0" fontId="23" fillId="0" borderId="51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/>
    </xf>
    <xf numFmtId="0" fontId="0" fillId="0" borderId="13" xfId="0" applyBorder="1"/>
    <xf numFmtId="0" fontId="23" fillId="0" borderId="22" xfId="0" applyFont="1" applyBorder="1" applyAlignment="1">
      <alignment horizontal="center" vertical="center"/>
    </xf>
    <xf numFmtId="0" fontId="0" fillId="0" borderId="39" xfId="0" applyBorder="1"/>
    <xf numFmtId="0" fontId="0" fillId="0" borderId="35" xfId="0" applyBorder="1"/>
    <xf numFmtId="0" fontId="23" fillId="0" borderId="54" xfId="0" applyFont="1" applyBorder="1" applyAlignment="1">
      <alignment horizontal="center" vertical="center"/>
    </xf>
    <xf numFmtId="0" fontId="0" fillId="0" borderId="52" xfId="0" applyBorder="1"/>
    <xf numFmtId="0" fontId="23" fillId="0" borderId="55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0" fillId="0" borderId="27" xfId="0" applyBorder="1"/>
    <xf numFmtId="2" fontId="23" fillId="0" borderId="22" xfId="0" applyNumberFormat="1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1" fillId="0" borderId="0" xfId="0" applyFont="1"/>
    <xf numFmtId="0" fontId="0" fillId="0" borderId="46" xfId="0" applyBorder="1"/>
    <xf numFmtId="0" fontId="23" fillId="0" borderId="0" xfId="0" applyFont="1" applyAlignment="1">
      <alignment horizontal="center"/>
    </xf>
    <xf numFmtId="0" fontId="0" fillId="0" borderId="0" xfId="0"/>
    <xf numFmtId="0" fontId="25" fillId="0" borderId="4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4" borderId="2" xfId="0" applyFont="1" applyFill="1" applyBorder="1" applyAlignment="1">
      <alignment horizontal="center" vertical="center"/>
    </xf>
    <xf numFmtId="0" fontId="0" fillId="0" borderId="6" xfId="0" applyBorder="1"/>
    <xf numFmtId="0" fontId="3" fillId="0" borderId="51" xfId="0" applyFont="1" applyBorder="1" applyAlignment="1">
      <alignment horizontal="center"/>
    </xf>
    <xf numFmtId="0" fontId="0" fillId="0" borderId="1" xfId="0" applyBorder="1"/>
    <xf numFmtId="0" fontId="43" fillId="0" borderId="46" xfId="0" applyFont="1" applyBorder="1" applyAlignment="1">
      <alignment horizontal="center"/>
    </xf>
    <xf numFmtId="0" fontId="30" fillId="8" borderId="0" xfId="0" applyFont="1" applyFill="1" applyAlignment="1">
      <alignment horizontal="center"/>
    </xf>
    <xf numFmtId="0" fontId="3" fillId="0" borderId="55" xfId="0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2" fillId="4" borderId="2" xfId="0" applyFont="1" applyFill="1" applyBorder="1" applyAlignment="1">
      <alignment vertical="center"/>
    </xf>
    <xf numFmtId="0" fontId="2" fillId="0" borderId="55" xfId="0" applyFont="1" applyBorder="1" applyAlignment="1">
      <alignment horizontal="center" wrapText="1"/>
    </xf>
    <xf numFmtId="0" fontId="0" fillId="0" borderId="10" xfId="0" applyBorder="1"/>
    <xf numFmtId="0" fontId="30" fillId="0" borderId="4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" fillId="0" borderId="4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/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/>
    <xf numFmtId="0" fontId="18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45" fillId="0" borderId="46" xfId="0" applyFont="1" applyBorder="1" applyAlignment="1">
      <alignment horizontal="right"/>
    </xf>
    <xf numFmtId="0" fontId="8" fillId="0" borderId="46" xfId="0" applyFont="1" applyBorder="1" applyAlignment="1">
      <alignment horizontal="right"/>
    </xf>
    <xf numFmtId="0" fontId="1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left" wrapText="1"/>
    </xf>
    <xf numFmtId="0" fontId="8" fillId="4" borderId="5" xfId="0" applyFont="1" applyFill="1" applyBorder="1" applyAlignment="1">
      <alignment horizontal="center" vertical="top" wrapText="1"/>
    </xf>
    <xf numFmtId="0" fontId="8" fillId="4" borderId="5" xfId="0" applyFont="1" applyFill="1" applyBorder="1" applyAlignment="1">
      <alignment horizontal="center" vertical="center" wrapText="1"/>
    </xf>
    <xf numFmtId="0" fontId="21" fillId="0" borderId="0" xfId="0" applyFont="1" applyBorder="1"/>
    <xf numFmtId="0" fontId="20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99"/>
  <sheetViews>
    <sheetView topLeftCell="F1" zoomScale="81" zoomScaleNormal="70" workbookViewId="0">
      <selection activeCell="K7" sqref="K7"/>
    </sheetView>
  </sheetViews>
  <sheetFormatPr defaultRowHeight="13.2" x14ac:dyDescent="0.25"/>
  <cols>
    <col min="1" max="1" width="18.77734375" customWidth="1"/>
    <col min="2" max="2" width="19.5546875" customWidth="1"/>
    <col min="3" max="3" width="53.77734375" style="91" customWidth="1"/>
    <col min="4" max="4" width="32" style="218" customWidth="1"/>
    <col min="5" max="5" width="21.77734375" style="218" customWidth="1"/>
    <col min="6" max="6" width="59.44140625" style="218" customWidth="1"/>
    <col min="7" max="7" width="33.21875" style="218" bestFit="1" customWidth="1"/>
    <col min="8" max="8" width="16" customWidth="1"/>
    <col min="9" max="9" width="35" customWidth="1"/>
    <col min="10" max="10" width="29.77734375" style="89" customWidth="1"/>
    <col min="11" max="11" width="11.77734375" customWidth="1"/>
    <col min="12" max="12" width="33.77734375" customWidth="1"/>
    <col min="13" max="13" width="12.44140625" customWidth="1"/>
    <col min="14" max="14" width="12.5546875" customWidth="1"/>
    <col min="15" max="15" width="11" customWidth="1"/>
    <col min="16" max="16" width="13.21875" customWidth="1"/>
    <col min="17" max="17" width="11.21875" customWidth="1"/>
    <col min="18" max="18" width="28.77734375" bestFit="1" customWidth="1"/>
    <col min="257" max="257" width="18.77734375" customWidth="1"/>
    <col min="258" max="258" width="19.5546875" customWidth="1"/>
    <col min="259" max="259" width="53.77734375" customWidth="1"/>
    <col min="260" max="260" width="32" customWidth="1"/>
    <col min="261" max="261" width="21.77734375" customWidth="1"/>
    <col min="262" max="262" width="57.21875" bestFit="1" customWidth="1"/>
    <col min="263" max="263" width="33.21875" bestFit="1" customWidth="1"/>
    <col min="264" max="264" width="16" customWidth="1"/>
    <col min="265" max="265" width="35" customWidth="1"/>
    <col min="266" max="266" width="29.77734375" customWidth="1"/>
    <col min="267" max="267" width="11.77734375" customWidth="1"/>
    <col min="268" max="268" width="33.77734375" customWidth="1"/>
    <col min="269" max="269" width="12.44140625" customWidth="1"/>
    <col min="270" max="270" width="12.5546875" customWidth="1"/>
    <col min="271" max="271" width="11" customWidth="1"/>
    <col min="272" max="272" width="13.21875" customWidth="1"/>
    <col min="273" max="273" width="11.21875" customWidth="1"/>
    <col min="274" max="274" width="28.77734375" bestFit="1" customWidth="1"/>
    <col min="513" max="513" width="18.77734375" customWidth="1"/>
    <col min="514" max="514" width="19.5546875" customWidth="1"/>
    <col min="515" max="515" width="53.77734375" customWidth="1"/>
    <col min="516" max="516" width="32" customWidth="1"/>
    <col min="517" max="517" width="21.77734375" customWidth="1"/>
    <col min="518" max="518" width="57.21875" bestFit="1" customWidth="1"/>
    <col min="519" max="519" width="33.21875" bestFit="1" customWidth="1"/>
    <col min="520" max="520" width="16" customWidth="1"/>
    <col min="521" max="521" width="35" customWidth="1"/>
    <col min="522" max="522" width="29.77734375" customWidth="1"/>
    <col min="523" max="523" width="11.77734375" customWidth="1"/>
    <col min="524" max="524" width="33.77734375" customWidth="1"/>
    <col min="525" max="525" width="12.44140625" customWidth="1"/>
    <col min="526" max="526" width="12.5546875" customWidth="1"/>
    <col min="527" max="527" width="11" customWidth="1"/>
    <col min="528" max="528" width="13.21875" customWidth="1"/>
    <col min="529" max="529" width="11.21875" customWidth="1"/>
    <col min="530" max="530" width="28.77734375" bestFit="1" customWidth="1"/>
    <col min="769" max="769" width="18.77734375" customWidth="1"/>
    <col min="770" max="770" width="19.5546875" customWidth="1"/>
    <col min="771" max="771" width="53.77734375" customWidth="1"/>
    <col min="772" max="772" width="32" customWidth="1"/>
    <col min="773" max="773" width="21.77734375" customWidth="1"/>
    <col min="774" max="774" width="57.21875" bestFit="1" customWidth="1"/>
    <col min="775" max="775" width="33.21875" bestFit="1" customWidth="1"/>
    <col min="776" max="776" width="16" customWidth="1"/>
    <col min="777" max="777" width="35" customWidth="1"/>
    <col min="778" max="778" width="29.77734375" customWidth="1"/>
    <col min="779" max="779" width="11.77734375" customWidth="1"/>
    <col min="780" max="780" width="33.77734375" customWidth="1"/>
    <col min="781" max="781" width="12.44140625" customWidth="1"/>
    <col min="782" max="782" width="12.5546875" customWidth="1"/>
    <col min="783" max="783" width="11" customWidth="1"/>
    <col min="784" max="784" width="13.21875" customWidth="1"/>
    <col min="785" max="785" width="11.21875" customWidth="1"/>
    <col min="786" max="786" width="28.77734375" bestFit="1" customWidth="1"/>
    <col min="1025" max="1025" width="18.77734375" customWidth="1"/>
    <col min="1026" max="1026" width="19.5546875" customWidth="1"/>
    <col min="1027" max="1027" width="53.77734375" customWidth="1"/>
    <col min="1028" max="1028" width="32" customWidth="1"/>
    <col min="1029" max="1029" width="21.77734375" customWidth="1"/>
    <col min="1030" max="1030" width="57.21875" bestFit="1" customWidth="1"/>
    <col min="1031" max="1031" width="33.21875" bestFit="1" customWidth="1"/>
    <col min="1032" max="1032" width="16" customWidth="1"/>
    <col min="1033" max="1033" width="35" customWidth="1"/>
    <col min="1034" max="1034" width="29.77734375" customWidth="1"/>
    <col min="1035" max="1035" width="11.77734375" customWidth="1"/>
    <col min="1036" max="1036" width="33.77734375" customWidth="1"/>
    <col min="1037" max="1037" width="12.44140625" customWidth="1"/>
    <col min="1038" max="1038" width="12.5546875" customWidth="1"/>
    <col min="1039" max="1039" width="11" customWidth="1"/>
    <col min="1040" max="1040" width="13.21875" customWidth="1"/>
    <col min="1041" max="1041" width="11.21875" customWidth="1"/>
    <col min="1042" max="1042" width="28.77734375" bestFit="1" customWidth="1"/>
    <col min="1281" max="1281" width="18.77734375" customWidth="1"/>
    <col min="1282" max="1282" width="19.5546875" customWidth="1"/>
    <col min="1283" max="1283" width="53.77734375" customWidth="1"/>
    <col min="1284" max="1284" width="32" customWidth="1"/>
    <col min="1285" max="1285" width="21.77734375" customWidth="1"/>
    <col min="1286" max="1286" width="57.21875" bestFit="1" customWidth="1"/>
    <col min="1287" max="1287" width="33.21875" bestFit="1" customWidth="1"/>
    <col min="1288" max="1288" width="16" customWidth="1"/>
    <col min="1289" max="1289" width="35" customWidth="1"/>
    <col min="1290" max="1290" width="29.77734375" customWidth="1"/>
    <col min="1291" max="1291" width="11.77734375" customWidth="1"/>
    <col min="1292" max="1292" width="33.77734375" customWidth="1"/>
    <col min="1293" max="1293" width="12.44140625" customWidth="1"/>
    <col min="1294" max="1294" width="12.5546875" customWidth="1"/>
    <col min="1295" max="1295" width="11" customWidth="1"/>
    <col min="1296" max="1296" width="13.21875" customWidth="1"/>
    <col min="1297" max="1297" width="11.21875" customWidth="1"/>
    <col min="1298" max="1298" width="28.77734375" bestFit="1" customWidth="1"/>
    <col min="1537" max="1537" width="18.77734375" customWidth="1"/>
    <col min="1538" max="1538" width="19.5546875" customWidth="1"/>
    <col min="1539" max="1539" width="53.77734375" customWidth="1"/>
    <col min="1540" max="1540" width="32" customWidth="1"/>
    <col min="1541" max="1541" width="21.77734375" customWidth="1"/>
    <col min="1542" max="1542" width="57.21875" bestFit="1" customWidth="1"/>
    <col min="1543" max="1543" width="33.21875" bestFit="1" customWidth="1"/>
    <col min="1544" max="1544" width="16" customWidth="1"/>
    <col min="1545" max="1545" width="35" customWidth="1"/>
    <col min="1546" max="1546" width="29.77734375" customWidth="1"/>
    <col min="1547" max="1547" width="11.77734375" customWidth="1"/>
    <col min="1548" max="1548" width="33.77734375" customWidth="1"/>
    <col min="1549" max="1549" width="12.44140625" customWidth="1"/>
    <col min="1550" max="1550" width="12.5546875" customWidth="1"/>
    <col min="1551" max="1551" width="11" customWidth="1"/>
    <col min="1552" max="1552" width="13.21875" customWidth="1"/>
    <col min="1553" max="1553" width="11.21875" customWidth="1"/>
    <col min="1554" max="1554" width="28.77734375" bestFit="1" customWidth="1"/>
    <col min="1793" max="1793" width="18.77734375" customWidth="1"/>
    <col min="1794" max="1794" width="19.5546875" customWidth="1"/>
    <col min="1795" max="1795" width="53.77734375" customWidth="1"/>
    <col min="1796" max="1796" width="32" customWidth="1"/>
    <col min="1797" max="1797" width="21.77734375" customWidth="1"/>
    <col min="1798" max="1798" width="57.21875" bestFit="1" customWidth="1"/>
    <col min="1799" max="1799" width="33.21875" bestFit="1" customWidth="1"/>
    <col min="1800" max="1800" width="16" customWidth="1"/>
    <col min="1801" max="1801" width="35" customWidth="1"/>
    <col min="1802" max="1802" width="29.77734375" customWidth="1"/>
    <col min="1803" max="1803" width="11.77734375" customWidth="1"/>
    <col min="1804" max="1804" width="33.77734375" customWidth="1"/>
    <col min="1805" max="1805" width="12.44140625" customWidth="1"/>
    <col min="1806" max="1806" width="12.5546875" customWidth="1"/>
    <col min="1807" max="1807" width="11" customWidth="1"/>
    <col min="1808" max="1808" width="13.21875" customWidth="1"/>
    <col min="1809" max="1809" width="11.21875" customWidth="1"/>
    <col min="1810" max="1810" width="28.77734375" bestFit="1" customWidth="1"/>
    <col min="2049" max="2049" width="18.77734375" customWidth="1"/>
    <col min="2050" max="2050" width="19.5546875" customWidth="1"/>
    <col min="2051" max="2051" width="53.77734375" customWidth="1"/>
    <col min="2052" max="2052" width="32" customWidth="1"/>
    <col min="2053" max="2053" width="21.77734375" customWidth="1"/>
    <col min="2054" max="2054" width="57.21875" bestFit="1" customWidth="1"/>
    <col min="2055" max="2055" width="33.21875" bestFit="1" customWidth="1"/>
    <col min="2056" max="2056" width="16" customWidth="1"/>
    <col min="2057" max="2057" width="35" customWidth="1"/>
    <col min="2058" max="2058" width="29.77734375" customWidth="1"/>
    <col min="2059" max="2059" width="11.77734375" customWidth="1"/>
    <col min="2060" max="2060" width="33.77734375" customWidth="1"/>
    <col min="2061" max="2061" width="12.44140625" customWidth="1"/>
    <col min="2062" max="2062" width="12.5546875" customWidth="1"/>
    <col min="2063" max="2063" width="11" customWidth="1"/>
    <col min="2064" max="2064" width="13.21875" customWidth="1"/>
    <col min="2065" max="2065" width="11.21875" customWidth="1"/>
    <col min="2066" max="2066" width="28.77734375" bestFit="1" customWidth="1"/>
    <col min="2305" max="2305" width="18.77734375" customWidth="1"/>
    <col min="2306" max="2306" width="19.5546875" customWidth="1"/>
    <col min="2307" max="2307" width="53.77734375" customWidth="1"/>
    <col min="2308" max="2308" width="32" customWidth="1"/>
    <col min="2309" max="2309" width="21.77734375" customWidth="1"/>
    <col min="2310" max="2310" width="57.21875" bestFit="1" customWidth="1"/>
    <col min="2311" max="2311" width="33.21875" bestFit="1" customWidth="1"/>
    <col min="2312" max="2312" width="16" customWidth="1"/>
    <col min="2313" max="2313" width="35" customWidth="1"/>
    <col min="2314" max="2314" width="29.77734375" customWidth="1"/>
    <col min="2315" max="2315" width="11.77734375" customWidth="1"/>
    <col min="2316" max="2316" width="33.77734375" customWidth="1"/>
    <col min="2317" max="2317" width="12.44140625" customWidth="1"/>
    <col min="2318" max="2318" width="12.5546875" customWidth="1"/>
    <col min="2319" max="2319" width="11" customWidth="1"/>
    <col min="2320" max="2320" width="13.21875" customWidth="1"/>
    <col min="2321" max="2321" width="11.21875" customWidth="1"/>
    <col min="2322" max="2322" width="28.77734375" bestFit="1" customWidth="1"/>
    <col min="2561" max="2561" width="18.77734375" customWidth="1"/>
    <col min="2562" max="2562" width="19.5546875" customWidth="1"/>
    <col min="2563" max="2563" width="53.77734375" customWidth="1"/>
    <col min="2564" max="2564" width="32" customWidth="1"/>
    <col min="2565" max="2565" width="21.77734375" customWidth="1"/>
    <col min="2566" max="2566" width="57.21875" bestFit="1" customWidth="1"/>
    <col min="2567" max="2567" width="33.21875" bestFit="1" customWidth="1"/>
    <col min="2568" max="2568" width="16" customWidth="1"/>
    <col min="2569" max="2569" width="35" customWidth="1"/>
    <col min="2570" max="2570" width="29.77734375" customWidth="1"/>
    <col min="2571" max="2571" width="11.77734375" customWidth="1"/>
    <col min="2572" max="2572" width="33.77734375" customWidth="1"/>
    <col min="2573" max="2573" width="12.44140625" customWidth="1"/>
    <col min="2574" max="2574" width="12.5546875" customWidth="1"/>
    <col min="2575" max="2575" width="11" customWidth="1"/>
    <col min="2576" max="2576" width="13.21875" customWidth="1"/>
    <col min="2577" max="2577" width="11.21875" customWidth="1"/>
    <col min="2578" max="2578" width="28.77734375" bestFit="1" customWidth="1"/>
    <col min="2817" max="2817" width="18.77734375" customWidth="1"/>
    <col min="2818" max="2818" width="19.5546875" customWidth="1"/>
    <col min="2819" max="2819" width="53.77734375" customWidth="1"/>
    <col min="2820" max="2820" width="32" customWidth="1"/>
    <col min="2821" max="2821" width="21.77734375" customWidth="1"/>
    <col min="2822" max="2822" width="57.21875" bestFit="1" customWidth="1"/>
    <col min="2823" max="2823" width="33.21875" bestFit="1" customWidth="1"/>
    <col min="2824" max="2824" width="16" customWidth="1"/>
    <col min="2825" max="2825" width="35" customWidth="1"/>
    <col min="2826" max="2826" width="29.77734375" customWidth="1"/>
    <col min="2827" max="2827" width="11.77734375" customWidth="1"/>
    <col min="2828" max="2828" width="33.77734375" customWidth="1"/>
    <col min="2829" max="2829" width="12.44140625" customWidth="1"/>
    <col min="2830" max="2830" width="12.5546875" customWidth="1"/>
    <col min="2831" max="2831" width="11" customWidth="1"/>
    <col min="2832" max="2832" width="13.21875" customWidth="1"/>
    <col min="2833" max="2833" width="11.21875" customWidth="1"/>
    <col min="2834" max="2834" width="28.77734375" bestFit="1" customWidth="1"/>
    <col min="3073" max="3073" width="18.77734375" customWidth="1"/>
    <col min="3074" max="3074" width="19.5546875" customWidth="1"/>
    <col min="3075" max="3075" width="53.77734375" customWidth="1"/>
    <col min="3076" max="3076" width="32" customWidth="1"/>
    <col min="3077" max="3077" width="21.77734375" customWidth="1"/>
    <col min="3078" max="3078" width="57.21875" bestFit="1" customWidth="1"/>
    <col min="3079" max="3079" width="33.21875" bestFit="1" customWidth="1"/>
    <col min="3080" max="3080" width="16" customWidth="1"/>
    <col min="3081" max="3081" width="35" customWidth="1"/>
    <col min="3082" max="3082" width="29.77734375" customWidth="1"/>
    <col min="3083" max="3083" width="11.77734375" customWidth="1"/>
    <col min="3084" max="3084" width="33.77734375" customWidth="1"/>
    <col min="3085" max="3085" width="12.44140625" customWidth="1"/>
    <col min="3086" max="3086" width="12.5546875" customWidth="1"/>
    <col min="3087" max="3087" width="11" customWidth="1"/>
    <col min="3088" max="3088" width="13.21875" customWidth="1"/>
    <col min="3089" max="3089" width="11.21875" customWidth="1"/>
    <col min="3090" max="3090" width="28.77734375" bestFit="1" customWidth="1"/>
    <col min="3329" max="3329" width="18.77734375" customWidth="1"/>
    <col min="3330" max="3330" width="19.5546875" customWidth="1"/>
    <col min="3331" max="3331" width="53.77734375" customWidth="1"/>
    <col min="3332" max="3332" width="32" customWidth="1"/>
    <col min="3333" max="3333" width="21.77734375" customWidth="1"/>
    <col min="3334" max="3334" width="57.21875" bestFit="1" customWidth="1"/>
    <col min="3335" max="3335" width="33.21875" bestFit="1" customWidth="1"/>
    <col min="3336" max="3336" width="16" customWidth="1"/>
    <col min="3337" max="3337" width="35" customWidth="1"/>
    <col min="3338" max="3338" width="29.77734375" customWidth="1"/>
    <col min="3339" max="3339" width="11.77734375" customWidth="1"/>
    <col min="3340" max="3340" width="33.77734375" customWidth="1"/>
    <col min="3341" max="3341" width="12.44140625" customWidth="1"/>
    <col min="3342" max="3342" width="12.5546875" customWidth="1"/>
    <col min="3343" max="3343" width="11" customWidth="1"/>
    <col min="3344" max="3344" width="13.21875" customWidth="1"/>
    <col min="3345" max="3345" width="11.21875" customWidth="1"/>
    <col min="3346" max="3346" width="28.77734375" bestFit="1" customWidth="1"/>
    <col min="3585" max="3585" width="18.77734375" customWidth="1"/>
    <col min="3586" max="3586" width="19.5546875" customWidth="1"/>
    <col min="3587" max="3587" width="53.77734375" customWidth="1"/>
    <col min="3588" max="3588" width="32" customWidth="1"/>
    <col min="3589" max="3589" width="21.77734375" customWidth="1"/>
    <col min="3590" max="3590" width="57.21875" bestFit="1" customWidth="1"/>
    <col min="3591" max="3591" width="33.21875" bestFit="1" customWidth="1"/>
    <col min="3592" max="3592" width="16" customWidth="1"/>
    <col min="3593" max="3593" width="35" customWidth="1"/>
    <col min="3594" max="3594" width="29.77734375" customWidth="1"/>
    <col min="3595" max="3595" width="11.77734375" customWidth="1"/>
    <col min="3596" max="3596" width="33.77734375" customWidth="1"/>
    <col min="3597" max="3597" width="12.44140625" customWidth="1"/>
    <col min="3598" max="3598" width="12.5546875" customWidth="1"/>
    <col min="3599" max="3599" width="11" customWidth="1"/>
    <col min="3600" max="3600" width="13.21875" customWidth="1"/>
    <col min="3601" max="3601" width="11.21875" customWidth="1"/>
    <col min="3602" max="3602" width="28.77734375" bestFit="1" customWidth="1"/>
    <col min="3841" max="3841" width="18.77734375" customWidth="1"/>
    <col min="3842" max="3842" width="19.5546875" customWidth="1"/>
    <col min="3843" max="3843" width="53.77734375" customWidth="1"/>
    <col min="3844" max="3844" width="32" customWidth="1"/>
    <col min="3845" max="3845" width="21.77734375" customWidth="1"/>
    <col min="3846" max="3846" width="57.21875" bestFit="1" customWidth="1"/>
    <col min="3847" max="3847" width="33.21875" bestFit="1" customWidth="1"/>
    <col min="3848" max="3848" width="16" customWidth="1"/>
    <col min="3849" max="3849" width="35" customWidth="1"/>
    <col min="3850" max="3850" width="29.77734375" customWidth="1"/>
    <col min="3851" max="3851" width="11.77734375" customWidth="1"/>
    <col min="3852" max="3852" width="33.77734375" customWidth="1"/>
    <col min="3853" max="3853" width="12.44140625" customWidth="1"/>
    <col min="3854" max="3854" width="12.5546875" customWidth="1"/>
    <col min="3855" max="3855" width="11" customWidth="1"/>
    <col min="3856" max="3856" width="13.21875" customWidth="1"/>
    <col min="3857" max="3857" width="11.21875" customWidth="1"/>
    <col min="3858" max="3858" width="28.77734375" bestFit="1" customWidth="1"/>
    <col min="4097" max="4097" width="18.77734375" customWidth="1"/>
    <col min="4098" max="4098" width="19.5546875" customWidth="1"/>
    <col min="4099" max="4099" width="53.77734375" customWidth="1"/>
    <col min="4100" max="4100" width="32" customWidth="1"/>
    <col min="4101" max="4101" width="21.77734375" customWidth="1"/>
    <col min="4102" max="4102" width="57.21875" bestFit="1" customWidth="1"/>
    <col min="4103" max="4103" width="33.21875" bestFit="1" customWidth="1"/>
    <col min="4104" max="4104" width="16" customWidth="1"/>
    <col min="4105" max="4105" width="35" customWidth="1"/>
    <col min="4106" max="4106" width="29.77734375" customWidth="1"/>
    <col min="4107" max="4107" width="11.77734375" customWidth="1"/>
    <col min="4108" max="4108" width="33.77734375" customWidth="1"/>
    <col min="4109" max="4109" width="12.44140625" customWidth="1"/>
    <col min="4110" max="4110" width="12.5546875" customWidth="1"/>
    <col min="4111" max="4111" width="11" customWidth="1"/>
    <col min="4112" max="4112" width="13.21875" customWidth="1"/>
    <col min="4113" max="4113" width="11.21875" customWidth="1"/>
    <col min="4114" max="4114" width="28.77734375" bestFit="1" customWidth="1"/>
    <col min="4353" max="4353" width="18.77734375" customWidth="1"/>
    <col min="4354" max="4354" width="19.5546875" customWidth="1"/>
    <col min="4355" max="4355" width="53.77734375" customWidth="1"/>
    <col min="4356" max="4356" width="32" customWidth="1"/>
    <col min="4357" max="4357" width="21.77734375" customWidth="1"/>
    <col min="4358" max="4358" width="57.21875" bestFit="1" customWidth="1"/>
    <col min="4359" max="4359" width="33.21875" bestFit="1" customWidth="1"/>
    <col min="4360" max="4360" width="16" customWidth="1"/>
    <col min="4361" max="4361" width="35" customWidth="1"/>
    <col min="4362" max="4362" width="29.77734375" customWidth="1"/>
    <col min="4363" max="4363" width="11.77734375" customWidth="1"/>
    <col min="4364" max="4364" width="33.77734375" customWidth="1"/>
    <col min="4365" max="4365" width="12.44140625" customWidth="1"/>
    <col min="4366" max="4366" width="12.5546875" customWidth="1"/>
    <col min="4367" max="4367" width="11" customWidth="1"/>
    <col min="4368" max="4368" width="13.21875" customWidth="1"/>
    <col min="4369" max="4369" width="11.21875" customWidth="1"/>
    <col min="4370" max="4370" width="28.77734375" bestFit="1" customWidth="1"/>
    <col min="4609" max="4609" width="18.77734375" customWidth="1"/>
    <col min="4610" max="4610" width="19.5546875" customWidth="1"/>
    <col min="4611" max="4611" width="53.77734375" customWidth="1"/>
    <col min="4612" max="4612" width="32" customWidth="1"/>
    <col min="4613" max="4613" width="21.77734375" customWidth="1"/>
    <col min="4614" max="4614" width="57.21875" bestFit="1" customWidth="1"/>
    <col min="4615" max="4615" width="33.21875" bestFit="1" customWidth="1"/>
    <col min="4616" max="4616" width="16" customWidth="1"/>
    <col min="4617" max="4617" width="35" customWidth="1"/>
    <col min="4618" max="4618" width="29.77734375" customWidth="1"/>
    <col min="4619" max="4619" width="11.77734375" customWidth="1"/>
    <col min="4620" max="4620" width="33.77734375" customWidth="1"/>
    <col min="4621" max="4621" width="12.44140625" customWidth="1"/>
    <col min="4622" max="4622" width="12.5546875" customWidth="1"/>
    <col min="4623" max="4623" width="11" customWidth="1"/>
    <col min="4624" max="4624" width="13.21875" customWidth="1"/>
    <col min="4625" max="4625" width="11.21875" customWidth="1"/>
    <col min="4626" max="4626" width="28.77734375" bestFit="1" customWidth="1"/>
    <col min="4865" max="4865" width="18.77734375" customWidth="1"/>
    <col min="4866" max="4866" width="19.5546875" customWidth="1"/>
    <col min="4867" max="4867" width="53.77734375" customWidth="1"/>
    <col min="4868" max="4868" width="32" customWidth="1"/>
    <col min="4869" max="4869" width="21.77734375" customWidth="1"/>
    <col min="4870" max="4870" width="57.21875" bestFit="1" customWidth="1"/>
    <col min="4871" max="4871" width="33.21875" bestFit="1" customWidth="1"/>
    <col min="4872" max="4872" width="16" customWidth="1"/>
    <col min="4873" max="4873" width="35" customWidth="1"/>
    <col min="4874" max="4874" width="29.77734375" customWidth="1"/>
    <col min="4875" max="4875" width="11.77734375" customWidth="1"/>
    <col min="4876" max="4876" width="33.77734375" customWidth="1"/>
    <col min="4877" max="4877" width="12.44140625" customWidth="1"/>
    <col min="4878" max="4878" width="12.5546875" customWidth="1"/>
    <col min="4879" max="4879" width="11" customWidth="1"/>
    <col min="4880" max="4880" width="13.21875" customWidth="1"/>
    <col min="4881" max="4881" width="11.21875" customWidth="1"/>
    <col min="4882" max="4882" width="28.77734375" bestFit="1" customWidth="1"/>
    <col min="5121" max="5121" width="18.77734375" customWidth="1"/>
    <col min="5122" max="5122" width="19.5546875" customWidth="1"/>
    <col min="5123" max="5123" width="53.77734375" customWidth="1"/>
    <col min="5124" max="5124" width="32" customWidth="1"/>
    <col min="5125" max="5125" width="21.77734375" customWidth="1"/>
    <col min="5126" max="5126" width="57.21875" bestFit="1" customWidth="1"/>
    <col min="5127" max="5127" width="33.21875" bestFit="1" customWidth="1"/>
    <col min="5128" max="5128" width="16" customWidth="1"/>
    <col min="5129" max="5129" width="35" customWidth="1"/>
    <col min="5130" max="5130" width="29.77734375" customWidth="1"/>
    <col min="5131" max="5131" width="11.77734375" customWidth="1"/>
    <col min="5132" max="5132" width="33.77734375" customWidth="1"/>
    <col min="5133" max="5133" width="12.44140625" customWidth="1"/>
    <col min="5134" max="5134" width="12.5546875" customWidth="1"/>
    <col min="5135" max="5135" width="11" customWidth="1"/>
    <col min="5136" max="5136" width="13.21875" customWidth="1"/>
    <col min="5137" max="5137" width="11.21875" customWidth="1"/>
    <col min="5138" max="5138" width="28.77734375" bestFit="1" customWidth="1"/>
    <col min="5377" max="5377" width="18.77734375" customWidth="1"/>
    <col min="5378" max="5378" width="19.5546875" customWidth="1"/>
    <col min="5379" max="5379" width="53.77734375" customWidth="1"/>
    <col min="5380" max="5380" width="32" customWidth="1"/>
    <col min="5381" max="5381" width="21.77734375" customWidth="1"/>
    <col min="5382" max="5382" width="57.21875" bestFit="1" customWidth="1"/>
    <col min="5383" max="5383" width="33.21875" bestFit="1" customWidth="1"/>
    <col min="5384" max="5384" width="16" customWidth="1"/>
    <col min="5385" max="5385" width="35" customWidth="1"/>
    <col min="5386" max="5386" width="29.77734375" customWidth="1"/>
    <col min="5387" max="5387" width="11.77734375" customWidth="1"/>
    <col min="5388" max="5388" width="33.77734375" customWidth="1"/>
    <col min="5389" max="5389" width="12.44140625" customWidth="1"/>
    <col min="5390" max="5390" width="12.5546875" customWidth="1"/>
    <col min="5391" max="5391" width="11" customWidth="1"/>
    <col min="5392" max="5392" width="13.21875" customWidth="1"/>
    <col min="5393" max="5393" width="11.21875" customWidth="1"/>
    <col min="5394" max="5394" width="28.77734375" bestFit="1" customWidth="1"/>
    <col min="5633" max="5633" width="18.77734375" customWidth="1"/>
    <col min="5634" max="5634" width="19.5546875" customWidth="1"/>
    <col min="5635" max="5635" width="53.77734375" customWidth="1"/>
    <col min="5636" max="5636" width="32" customWidth="1"/>
    <col min="5637" max="5637" width="21.77734375" customWidth="1"/>
    <col min="5638" max="5638" width="57.21875" bestFit="1" customWidth="1"/>
    <col min="5639" max="5639" width="33.21875" bestFit="1" customWidth="1"/>
    <col min="5640" max="5640" width="16" customWidth="1"/>
    <col min="5641" max="5641" width="35" customWidth="1"/>
    <col min="5642" max="5642" width="29.77734375" customWidth="1"/>
    <col min="5643" max="5643" width="11.77734375" customWidth="1"/>
    <col min="5644" max="5644" width="33.77734375" customWidth="1"/>
    <col min="5645" max="5645" width="12.44140625" customWidth="1"/>
    <col min="5646" max="5646" width="12.5546875" customWidth="1"/>
    <col min="5647" max="5647" width="11" customWidth="1"/>
    <col min="5648" max="5648" width="13.21875" customWidth="1"/>
    <col min="5649" max="5649" width="11.21875" customWidth="1"/>
    <col min="5650" max="5650" width="28.77734375" bestFit="1" customWidth="1"/>
    <col min="5889" max="5889" width="18.77734375" customWidth="1"/>
    <col min="5890" max="5890" width="19.5546875" customWidth="1"/>
    <col min="5891" max="5891" width="53.77734375" customWidth="1"/>
    <col min="5892" max="5892" width="32" customWidth="1"/>
    <col min="5893" max="5893" width="21.77734375" customWidth="1"/>
    <col min="5894" max="5894" width="57.21875" bestFit="1" customWidth="1"/>
    <col min="5895" max="5895" width="33.21875" bestFit="1" customWidth="1"/>
    <col min="5896" max="5896" width="16" customWidth="1"/>
    <col min="5897" max="5897" width="35" customWidth="1"/>
    <col min="5898" max="5898" width="29.77734375" customWidth="1"/>
    <col min="5899" max="5899" width="11.77734375" customWidth="1"/>
    <col min="5900" max="5900" width="33.77734375" customWidth="1"/>
    <col min="5901" max="5901" width="12.44140625" customWidth="1"/>
    <col min="5902" max="5902" width="12.5546875" customWidth="1"/>
    <col min="5903" max="5903" width="11" customWidth="1"/>
    <col min="5904" max="5904" width="13.21875" customWidth="1"/>
    <col min="5905" max="5905" width="11.21875" customWidth="1"/>
    <col min="5906" max="5906" width="28.77734375" bestFit="1" customWidth="1"/>
    <col min="6145" max="6145" width="18.77734375" customWidth="1"/>
    <col min="6146" max="6146" width="19.5546875" customWidth="1"/>
    <col min="6147" max="6147" width="53.77734375" customWidth="1"/>
    <col min="6148" max="6148" width="32" customWidth="1"/>
    <col min="6149" max="6149" width="21.77734375" customWidth="1"/>
    <col min="6150" max="6150" width="57.21875" bestFit="1" customWidth="1"/>
    <col min="6151" max="6151" width="33.21875" bestFit="1" customWidth="1"/>
    <col min="6152" max="6152" width="16" customWidth="1"/>
    <col min="6153" max="6153" width="35" customWidth="1"/>
    <col min="6154" max="6154" width="29.77734375" customWidth="1"/>
    <col min="6155" max="6155" width="11.77734375" customWidth="1"/>
    <col min="6156" max="6156" width="33.77734375" customWidth="1"/>
    <col min="6157" max="6157" width="12.44140625" customWidth="1"/>
    <col min="6158" max="6158" width="12.5546875" customWidth="1"/>
    <col min="6159" max="6159" width="11" customWidth="1"/>
    <col min="6160" max="6160" width="13.21875" customWidth="1"/>
    <col min="6161" max="6161" width="11.21875" customWidth="1"/>
    <col min="6162" max="6162" width="28.77734375" bestFit="1" customWidth="1"/>
    <col min="6401" max="6401" width="18.77734375" customWidth="1"/>
    <col min="6402" max="6402" width="19.5546875" customWidth="1"/>
    <col min="6403" max="6403" width="53.77734375" customWidth="1"/>
    <col min="6404" max="6404" width="32" customWidth="1"/>
    <col min="6405" max="6405" width="21.77734375" customWidth="1"/>
    <col min="6406" max="6406" width="57.21875" bestFit="1" customWidth="1"/>
    <col min="6407" max="6407" width="33.21875" bestFit="1" customWidth="1"/>
    <col min="6408" max="6408" width="16" customWidth="1"/>
    <col min="6409" max="6409" width="35" customWidth="1"/>
    <col min="6410" max="6410" width="29.77734375" customWidth="1"/>
    <col min="6411" max="6411" width="11.77734375" customWidth="1"/>
    <col min="6412" max="6412" width="33.77734375" customWidth="1"/>
    <col min="6413" max="6413" width="12.44140625" customWidth="1"/>
    <col min="6414" max="6414" width="12.5546875" customWidth="1"/>
    <col min="6415" max="6415" width="11" customWidth="1"/>
    <col min="6416" max="6416" width="13.21875" customWidth="1"/>
    <col min="6417" max="6417" width="11.21875" customWidth="1"/>
    <col min="6418" max="6418" width="28.77734375" bestFit="1" customWidth="1"/>
    <col min="6657" max="6657" width="18.77734375" customWidth="1"/>
    <col min="6658" max="6658" width="19.5546875" customWidth="1"/>
    <col min="6659" max="6659" width="53.77734375" customWidth="1"/>
    <col min="6660" max="6660" width="32" customWidth="1"/>
    <col min="6661" max="6661" width="21.77734375" customWidth="1"/>
    <col min="6662" max="6662" width="57.21875" bestFit="1" customWidth="1"/>
    <col min="6663" max="6663" width="33.21875" bestFit="1" customWidth="1"/>
    <col min="6664" max="6664" width="16" customWidth="1"/>
    <col min="6665" max="6665" width="35" customWidth="1"/>
    <col min="6666" max="6666" width="29.77734375" customWidth="1"/>
    <col min="6667" max="6667" width="11.77734375" customWidth="1"/>
    <col min="6668" max="6668" width="33.77734375" customWidth="1"/>
    <col min="6669" max="6669" width="12.44140625" customWidth="1"/>
    <col min="6670" max="6670" width="12.5546875" customWidth="1"/>
    <col min="6671" max="6671" width="11" customWidth="1"/>
    <col min="6672" max="6672" width="13.21875" customWidth="1"/>
    <col min="6673" max="6673" width="11.21875" customWidth="1"/>
    <col min="6674" max="6674" width="28.77734375" bestFit="1" customWidth="1"/>
    <col min="6913" max="6913" width="18.77734375" customWidth="1"/>
    <col min="6914" max="6914" width="19.5546875" customWidth="1"/>
    <col min="6915" max="6915" width="53.77734375" customWidth="1"/>
    <col min="6916" max="6916" width="32" customWidth="1"/>
    <col min="6917" max="6917" width="21.77734375" customWidth="1"/>
    <col min="6918" max="6918" width="57.21875" bestFit="1" customWidth="1"/>
    <col min="6919" max="6919" width="33.21875" bestFit="1" customWidth="1"/>
    <col min="6920" max="6920" width="16" customWidth="1"/>
    <col min="6921" max="6921" width="35" customWidth="1"/>
    <col min="6922" max="6922" width="29.77734375" customWidth="1"/>
    <col min="6923" max="6923" width="11.77734375" customWidth="1"/>
    <col min="6924" max="6924" width="33.77734375" customWidth="1"/>
    <col min="6925" max="6925" width="12.44140625" customWidth="1"/>
    <col min="6926" max="6926" width="12.5546875" customWidth="1"/>
    <col min="6927" max="6927" width="11" customWidth="1"/>
    <col min="6928" max="6928" width="13.21875" customWidth="1"/>
    <col min="6929" max="6929" width="11.21875" customWidth="1"/>
    <col min="6930" max="6930" width="28.77734375" bestFit="1" customWidth="1"/>
    <col min="7169" max="7169" width="18.77734375" customWidth="1"/>
    <col min="7170" max="7170" width="19.5546875" customWidth="1"/>
    <col min="7171" max="7171" width="53.77734375" customWidth="1"/>
    <col min="7172" max="7172" width="32" customWidth="1"/>
    <col min="7173" max="7173" width="21.77734375" customWidth="1"/>
    <col min="7174" max="7174" width="57.21875" bestFit="1" customWidth="1"/>
    <col min="7175" max="7175" width="33.21875" bestFit="1" customWidth="1"/>
    <col min="7176" max="7176" width="16" customWidth="1"/>
    <col min="7177" max="7177" width="35" customWidth="1"/>
    <col min="7178" max="7178" width="29.77734375" customWidth="1"/>
    <col min="7179" max="7179" width="11.77734375" customWidth="1"/>
    <col min="7180" max="7180" width="33.77734375" customWidth="1"/>
    <col min="7181" max="7181" width="12.44140625" customWidth="1"/>
    <col min="7182" max="7182" width="12.5546875" customWidth="1"/>
    <col min="7183" max="7183" width="11" customWidth="1"/>
    <col min="7184" max="7184" width="13.21875" customWidth="1"/>
    <col min="7185" max="7185" width="11.21875" customWidth="1"/>
    <col min="7186" max="7186" width="28.77734375" bestFit="1" customWidth="1"/>
    <col min="7425" max="7425" width="18.77734375" customWidth="1"/>
    <col min="7426" max="7426" width="19.5546875" customWidth="1"/>
    <col min="7427" max="7427" width="53.77734375" customWidth="1"/>
    <col min="7428" max="7428" width="32" customWidth="1"/>
    <col min="7429" max="7429" width="21.77734375" customWidth="1"/>
    <col min="7430" max="7430" width="57.21875" bestFit="1" customWidth="1"/>
    <col min="7431" max="7431" width="33.21875" bestFit="1" customWidth="1"/>
    <col min="7432" max="7432" width="16" customWidth="1"/>
    <col min="7433" max="7433" width="35" customWidth="1"/>
    <col min="7434" max="7434" width="29.77734375" customWidth="1"/>
    <col min="7435" max="7435" width="11.77734375" customWidth="1"/>
    <col min="7436" max="7436" width="33.77734375" customWidth="1"/>
    <col min="7437" max="7437" width="12.44140625" customWidth="1"/>
    <col min="7438" max="7438" width="12.5546875" customWidth="1"/>
    <col min="7439" max="7439" width="11" customWidth="1"/>
    <col min="7440" max="7440" width="13.21875" customWidth="1"/>
    <col min="7441" max="7441" width="11.21875" customWidth="1"/>
    <col min="7442" max="7442" width="28.77734375" bestFit="1" customWidth="1"/>
    <col min="7681" max="7681" width="18.77734375" customWidth="1"/>
    <col min="7682" max="7682" width="19.5546875" customWidth="1"/>
    <col min="7683" max="7683" width="53.77734375" customWidth="1"/>
    <col min="7684" max="7684" width="32" customWidth="1"/>
    <col min="7685" max="7685" width="21.77734375" customWidth="1"/>
    <col min="7686" max="7686" width="57.21875" bestFit="1" customWidth="1"/>
    <col min="7687" max="7687" width="33.21875" bestFit="1" customWidth="1"/>
    <col min="7688" max="7688" width="16" customWidth="1"/>
    <col min="7689" max="7689" width="35" customWidth="1"/>
    <col min="7690" max="7690" width="29.77734375" customWidth="1"/>
    <col min="7691" max="7691" width="11.77734375" customWidth="1"/>
    <col min="7692" max="7692" width="33.77734375" customWidth="1"/>
    <col min="7693" max="7693" width="12.44140625" customWidth="1"/>
    <col min="7694" max="7694" width="12.5546875" customWidth="1"/>
    <col min="7695" max="7695" width="11" customWidth="1"/>
    <col min="7696" max="7696" width="13.21875" customWidth="1"/>
    <col min="7697" max="7697" width="11.21875" customWidth="1"/>
    <col min="7698" max="7698" width="28.77734375" bestFit="1" customWidth="1"/>
    <col min="7937" max="7937" width="18.77734375" customWidth="1"/>
    <col min="7938" max="7938" width="19.5546875" customWidth="1"/>
    <col min="7939" max="7939" width="53.77734375" customWidth="1"/>
    <col min="7940" max="7940" width="32" customWidth="1"/>
    <col min="7941" max="7941" width="21.77734375" customWidth="1"/>
    <col min="7942" max="7942" width="57.21875" bestFit="1" customWidth="1"/>
    <col min="7943" max="7943" width="33.21875" bestFit="1" customWidth="1"/>
    <col min="7944" max="7944" width="16" customWidth="1"/>
    <col min="7945" max="7945" width="35" customWidth="1"/>
    <col min="7946" max="7946" width="29.77734375" customWidth="1"/>
    <col min="7947" max="7947" width="11.77734375" customWidth="1"/>
    <col min="7948" max="7948" width="33.77734375" customWidth="1"/>
    <col min="7949" max="7949" width="12.44140625" customWidth="1"/>
    <col min="7950" max="7950" width="12.5546875" customWidth="1"/>
    <col min="7951" max="7951" width="11" customWidth="1"/>
    <col min="7952" max="7952" width="13.21875" customWidth="1"/>
    <col min="7953" max="7953" width="11.21875" customWidth="1"/>
    <col min="7954" max="7954" width="28.77734375" bestFit="1" customWidth="1"/>
    <col min="8193" max="8193" width="18.77734375" customWidth="1"/>
    <col min="8194" max="8194" width="19.5546875" customWidth="1"/>
    <col min="8195" max="8195" width="53.77734375" customWidth="1"/>
    <col min="8196" max="8196" width="32" customWidth="1"/>
    <col min="8197" max="8197" width="21.77734375" customWidth="1"/>
    <col min="8198" max="8198" width="57.21875" bestFit="1" customWidth="1"/>
    <col min="8199" max="8199" width="33.21875" bestFit="1" customWidth="1"/>
    <col min="8200" max="8200" width="16" customWidth="1"/>
    <col min="8201" max="8201" width="35" customWidth="1"/>
    <col min="8202" max="8202" width="29.77734375" customWidth="1"/>
    <col min="8203" max="8203" width="11.77734375" customWidth="1"/>
    <col min="8204" max="8204" width="33.77734375" customWidth="1"/>
    <col min="8205" max="8205" width="12.44140625" customWidth="1"/>
    <col min="8206" max="8206" width="12.5546875" customWidth="1"/>
    <col min="8207" max="8207" width="11" customWidth="1"/>
    <col min="8208" max="8208" width="13.21875" customWidth="1"/>
    <col min="8209" max="8209" width="11.21875" customWidth="1"/>
    <col min="8210" max="8210" width="28.77734375" bestFit="1" customWidth="1"/>
    <col min="8449" max="8449" width="18.77734375" customWidth="1"/>
    <col min="8450" max="8450" width="19.5546875" customWidth="1"/>
    <col min="8451" max="8451" width="53.77734375" customWidth="1"/>
    <col min="8452" max="8452" width="32" customWidth="1"/>
    <col min="8453" max="8453" width="21.77734375" customWidth="1"/>
    <col min="8454" max="8454" width="57.21875" bestFit="1" customWidth="1"/>
    <col min="8455" max="8455" width="33.21875" bestFit="1" customWidth="1"/>
    <col min="8456" max="8456" width="16" customWidth="1"/>
    <col min="8457" max="8457" width="35" customWidth="1"/>
    <col min="8458" max="8458" width="29.77734375" customWidth="1"/>
    <col min="8459" max="8459" width="11.77734375" customWidth="1"/>
    <col min="8460" max="8460" width="33.77734375" customWidth="1"/>
    <col min="8461" max="8461" width="12.44140625" customWidth="1"/>
    <col min="8462" max="8462" width="12.5546875" customWidth="1"/>
    <col min="8463" max="8463" width="11" customWidth="1"/>
    <col min="8464" max="8464" width="13.21875" customWidth="1"/>
    <col min="8465" max="8465" width="11.21875" customWidth="1"/>
    <col min="8466" max="8466" width="28.77734375" bestFit="1" customWidth="1"/>
    <col min="8705" max="8705" width="18.77734375" customWidth="1"/>
    <col min="8706" max="8706" width="19.5546875" customWidth="1"/>
    <col min="8707" max="8707" width="53.77734375" customWidth="1"/>
    <col min="8708" max="8708" width="32" customWidth="1"/>
    <col min="8709" max="8709" width="21.77734375" customWidth="1"/>
    <col min="8710" max="8710" width="57.21875" bestFit="1" customWidth="1"/>
    <col min="8711" max="8711" width="33.21875" bestFit="1" customWidth="1"/>
    <col min="8712" max="8712" width="16" customWidth="1"/>
    <col min="8713" max="8713" width="35" customWidth="1"/>
    <col min="8714" max="8714" width="29.77734375" customWidth="1"/>
    <col min="8715" max="8715" width="11.77734375" customWidth="1"/>
    <col min="8716" max="8716" width="33.77734375" customWidth="1"/>
    <col min="8717" max="8717" width="12.44140625" customWidth="1"/>
    <col min="8718" max="8718" width="12.5546875" customWidth="1"/>
    <col min="8719" max="8719" width="11" customWidth="1"/>
    <col min="8720" max="8720" width="13.21875" customWidth="1"/>
    <col min="8721" max="8721" width="11.21875" customWidth="1"/>
    <col min="8722" max="8722" width="28.77734375" bestFit="1" customWidth="1"/>
    <col min="8961" max="8961" width="18.77734375" customWidth="1"/>
    <col min="8962" max="8962" width="19.5546875" customWidth="1"/>
    <col min="8963" max="8963" width="53.77734375" customWidth="1"/>
    <col min="8964" max="8964" width="32" customWidth="1"/>
    <col min="8965" max="8965" width="21.77734375" customWidth="1"/>
    <col min="8966" max="8966" width="57.21875" bestFit="1" customWidth="1"/>
    <col min="8967" max="8967" width="33.21875" bestFit="1" customWidth="1"/>
    <col min="8968" max="8968" width="16" customWidth="1"/>
    <col min="8969" max="8969" width="35" customWidth="1"/>
    <col min="8970" max="8970" width="29.77734375" customWidth="1"/>
    <col min="8971" max="8971" width="11.77734375" customWidth="1"/>
    <col min="8972" max="8972" width="33.77734375" customWidth="1"/>
    <col min="8973" max="8973" width="12.44140625" customWidth="1"/>
    <col min="8974" max="8974" width="12.5546875" customWidth="1"/>
    <col min="8975" max="8975" width="11" customWidth="1"/>
    <col min="8976" max="8976" width="13.21875" customWidth="1"/>
    <col min="8977" max="8977" width="11.21875" customWidth="1"/>
    <col min="8978" max="8978" width="28.77734375" bestFit="1" customWidth="1"/>
    <col min="9217" max="9217" width="18.77734375" customWidth="1"/>
    <col min="9218" max="9218" width="19.5546875" customWidth="1"/>
    <col min="9219" max="9219" width="53.77734375" customWidth="1"/>
    <col min="9220" max="9220" width="32" customWidth="1"/>
    <col min="9221" max="9221" width="21.77734375" customWidth="1"/>
    <col min="9222" max="9222" width="57.21875" bestFit="1" customWidth="1"/>
    <col min="9223" max="9223" width="33.21875" bestFit="1" customWidth="1"/>
    <col min="9224" max="9224" width="16" customWidth="1"/>
    <col min="9225" max="9225" width="35" customWidth="1"/>
    <col min="9226" max="9226" width="29.77734375" customWidth="1"/>
    <col min="9227" max="9227" width="11.77734375" customWidth="1"/>
    <col min="9228" max="9228" width="33.77734375" customWidth="1"/>
    <col min="9229" max="9229" width="12.44140625" customWidth="1"/>
    <col min="9230" max="9230" width="12.5546875" customWidth="1"/>
    <col min="9231" max="9231" width="11" customWidth="1"/>
    <col min="9232" max="9232" width="13.21875" customWidth="1"/>
    <col min="9233" max="9233" width="11.21875" customWidth="1"/>
    <col min="9234" max="9234" width="28.77734375" bestFit="1" customWidth="1"/>
    <col min="9473" max="9473" width="18.77734375" customWidth="1"/>
    <col min="9474" max="9474" width="19.5546875" customWidth="1"/>
    <col min="9475" max="9475" width="53.77734375" customWidth="1"/>
    <col min="9476" max="9476" width="32" customWidth="1"/>
    <col min="9477" max="9477" width="21.77734375" customWidth="1"/>
    <col min="9478" max="9478" width="57.21875" bestFit="1" customWidth="1"/>
    <col min="9479" max="9479" width="33.21875" bestFit="1" customWidth="1"/>
    <col min="9480" max="9480" width="16" customWidth="1"/>
    <col min="9481" max="9481" width="35" customWidth="1"/>
    <col min="9482" max="9482" width="29.77734375" customWidth="1"/>
    <col min="9483" max="9483" width="11.77734375" customWidth="1"/>
    <col min="9484" max="9484" width="33.77734375" customWidth="1"/>
    <col min="9485" max="9485" width="12.44140625" customWidth="1"/>
    <col min="9486" max="9486" width="12.5546875" customWidth="1"/>
    <col min="9487" max="9487" width="11" customWidth="1"/>
    <col min="9488" max="9488" width="13.21875" customWidth="1"/>
    <col min="9489" max="9489" width="11.21875" customWidth="1"/>
    <col min="9490" max="9490" width="28.77734375" bestFit="1" customWidth="1"/>
    <col min="9729" max="9729" width="18.77734375" customWidth="1"/>
    <col min="9730" max="9730" width="19.5546875" customWidth="1"/>
    <col min="9731" max="9731" width="53.77734375" customWidth="1"/>
    <col min="9732" max="9732" width="32" customWidth="1"/>
    <col min="9733" max="9733" width="21.77734375" customWidth="1"/>
    <col min="9734" max="9734" width="57.21875" bestFit="1" customWidth="1"/>
    <col min="9735" max="9735" width="33.21875" bestFit="1" customWidth="1"/>
    <col min="9736" max="9736" width="16" customWidth="1"/>
    <col min="9737" max="9737" width="35" customWidth="1"/>
    <col min="9738" max="9738" width="29.77734375" customWidth="1"/>
    <col min="9739" max="9739" width="11.77734375" customWidth="1"/>
    <col min="9740" max="9740" width="33.77734375" customWidth="1"/>
    <col min="9741" max="9741" width="12.44140625" customWidth="1"/>
    <col min="9742" max="9742" width="12.5546875" customWidth="1"/>
    <col min="9743" max="9743" width="11" customWidth="1"/>
    <col min="9744" max="9744" width="13.21875" customWidth="1"/>
    <col min="9745" max="9745" width="11.21875" customWidth="1"/>
    <col min="9746" max="9746" width="28.77734375" bestFit="1" customWidth="1"/>
    <col min="9985" max="9985" width="18.77734375" customWidth="1"/>
    <col min="9986" max="9986" width="19.5546875" customWidth="1"/>
    <col min="9987" max="9987" width="53.77734375" customWidth="1"/>
    <col min="9988" max="9988" width="32" customWidth="1"/>
    <col min="9989" max="9989" width="21.77734375" customWidth="1"/>
    <col min="9990" max="9990" width="57.21875" bestFit="1" customWidth="1"/>
    <col min="9991" max="9991" width="33.21875" bestFit="1" customWidth="1"/>
    <col min="9992" max="9992" width="16" customWidth="1"/>
    <col min="9993" max="9993" width="35" customWidth="1"/>
    <col min="9994" max="9994" width="29.77734375" customWidth="1"/>
    <col min="9995" max="9995" width="11.77734375" customWidth="1"/>
    <col min="9996" max="9996" width="33.77734375" customWidth="1"/>
    <col min="9997" max="9997" width="12.44140625" customWidth="1"/>
    <col min="9998" max="9998" width="12.5546875" customWidth="1"/>
    <col min="9999" max="9999" width="11" customWidth="1"/>
    <col min="10000" max="10000" width="13.21875" customWidth="1"/>
    <col min="10001" max="10001" width="11.21875" customWidth="1"/>
    <col min="10002" max="10002" width="28.77734375" bestFit="1" customWidth="1"/>
    <col min="10241" max="10241" width="18.77734375" customWidth="1"/>
    <col min="10242" max="10242" width="19.5546875" customWidth="1"/>
    <col min="10243" max="10243" width="53.77734375" customWidth="1"/>
    <col min="10244" max="10244" width="32" customWidth="1"/>
    <col min="10245" max="10245" width="21.77734375" customWidth="1"/>
    <col min="10246" max="10246" width="57.21875" bestFit="1" customWidth="1"/>
    <col min="10247" max="10247" width="33.21875" bestFit="1" customWidth="1"/>
    <col min="10248" max="10248" width="16" customWidth="1"/>
    <col min="10249" max="10249" width="35" customWidth="1"/>
    <col min="10250" max="10250" width="29.77734375" customWidth="1"/>
    <col min="10251" max="10251" width="11.77734375" customWidth="1"/>
    <col min="10252" max="10252" width="33.77734375" customWidth="1"/>
    <col min="10253" max="10253" width="12.44140625" customWidth="1"/>
    <col min="10254" max="10254" width="12.5546875" customWidth="1"/>
    <col min="10255" max="10255" width="11" customWidth="1"/>
    <col min="10256" max="10256" width="13.21875" customWidth="1"/>
    <col min="10257" max="10257" width="11.21875" customWidth="1"/>
    <col min="10258" max="10258" width="28.77734375" bestFit="1" customWidth="1"/>
    <col min="10497" max="10497" width="18.77734375" customWidth="1"/>
    <col min="10498" max="10498" width="19.5546875" customWidth="1"/>
    <col min="10499" max="10499" width="53.77734375" customWidth="1"/>
    <col min="10500" max="10500" width="32" customWidth="1"/>
    <col min="10501" max="10501" width="21.77734375" customWidth="1"/>
    <col min="10502" max="10502" width="57.21875" bestFit="1" customWidth="1"/>
    <col min="10503" max="10503" width="33.21875" bestFit="1" customWidth="1"/>
    <col min="10504" max="10504" width="16" customWidth="1"/>
    <col min="10505" max="10505" width="35" customWidth="1"/>
    <col min="10506" max="10506" width="29.77734375" customWidth="1"/>
    <col min="10507" max="10507" width="11.77734375" customWidth="1"/>
    <col min="10508" max="10508" width="33.77734375" customWidth="1"/>
    <col min="10509" max="10509" width="12.44140625" customWidth="1"/>
    <col min="10510" max="10510" width="12.5546875" customWidth="1"/>
    <col min="10511" max="10511" width="11" customWidth="1"/>
    <col min="10512" max="10512" width="13.21875" customWidth="1"/>
    <col min="10513" max="10513" width="11.21875" customWidth="1"/>
    <col min="10514" max="10514" width="28.77734375" bestFit="1" customWidth="1"/>
    <col min="10753" max="10753" width="18.77734375" customWidth="1"/>
    <col min="10754" max="10754" width="19.5546875" customWidth="1"/>
    <col min="10755" max="10755" width="53.77734375" customWidth="1"/>
    <col min="10756" max="10756" width="32" customWidth="1"/>
    <col min="10757" max="10757" width="21.77734375" customWidth="1"/>
    <col min="10758" max="10758" width="57.21875" bestFit="1" customWidth="1"/>
    <col min="10759" max="10759" width="33.21875" bestFit="1" customWidth="1"/>
    <col min="10760" max="10760" width="16" customWidth="1"/>
    <col min="10761" max="10761" width="35" customWidth="1"/>
    <col min="10762" max="10762" width="29.77734375" customWidth="1"/>
    <col min="10763" max="10763" width="11.77734375" customWidth="1"/>
    <col min="10764" max="10764" width="33.77734375" customWidth="1"/>
    <col min="10765" max="10765" width="12.44140625" customWidth="1"/>
    <col min="10766" max="10766" width="12.5546875" customWidth="1"/>
    <col min="10767" max="10767" width="11" customWidth="1"/>
    <col min="10768" max="10768" width="13.21875" customWidth="1"/>
    <col min="10769" max="10769" width="11.21875" customWidth="1"/>
    <col min="10770" max="10770" width="28.77734375" bestFit="1" customWidth="1"/>
    <col min="11009" max="11009" width="18.77734375" customWidth="1"/>
    <col min="11010" max="11010" width="19.5546875" customWidth="1"/>
    <col min="11011" max="11011" width="53.77734375" customWidth="1"/>
    <col min="11012" max="11012" width="32" customWidth="1"/>
    <col min="11013" max="11013" width="21.77734375" customWidth="1"/>
    <col min="11014" max="11014" width="57.21875" bestFit="1" customWidth="1"/>
    <col min="11015" max="11015" width="33.21875" bestFit="1" customWidth="1"/>
    <col min="11016" max="11016" width="16" customWidth="1"/>
    <col min="11017" max="11017" width="35" customWidth="1"/>
    <col min="11018" max="11018" width="29.77734375" customWidth="1"/>
    <col min="11019" max="11019" width="11.77734375" customWidth="1"/>
    <col min="11020" max="11020" width="33.77734375" customWidth="1"/>
    <col min="11021" max="11021" width="12.44140625" customWidth="1"/>
    <col min="11022" max="11022" width="12.5546875" customWidth="1"/>
    <col min="11023" max="11023" width="11" customWidth="1"/>
    <col min="11024" max="11024" width="13.21875" customWidth="1"/>
    <col min="11025" max="11025" width="11.21875" customWidth="1"/>
    <col min="11026" max="11026" width="28.77734375" bestFit="1" customWidth="1"/>
    <col min="11265" max="11265" width="18.77734375" customWidth="1"/>
    <col min="11266" max="11266" width="19.5546875" customWidth="1"/>
    <col min="11267" max="11267" width="53.77734375" customWidth="1"/>
    <col min="11268" max="11268" width="32" customWidth="1"/>
    <col min="11269" max="11269" width="21.77734375" customWidth="1"/>
    <col min="11270" max="11270" width="57.21875" bestFit="1" customWidth="1"/>
    <col min="11271" max="11271" width="33.21875" bestFit="1" customWidth="1"/>
    <col min="11272" max="11272" width="16" customWidth="1"/>
    <col min="11273" max="11273" width="35" customWidth="1"/>
    <col min="11274" max="11274" width="29.77734375" customWidth="1"/>
    <col min="11275" max="11275" width="11.77734375" customWidth="1"/>
    <col min="11276" max="11276" width="33.77734375" customWidth="1"/>
    <col min="11277" max="11277" width="12.44140625" customWidth="1"/>
    <col min="11278" max="11278" width="12.5546875" customWidth="1"/>
    <col min="11279" max="11279" width="11" customWidth="1"/>
    <col min="11280" max="11280" width="13.21875" customWidth="1"/>
    <col min="11281" max="11281" width="11.21875" customWidth="1"/>
    <col min="11282" max="11282" width="28.77734375" bestFit="1" customWidth="1"/>
    <col min="11521" max="11521" width="18.77734375" customWidth="1"/>
    <col min="11522" max="11522" width="19.5546875" customWidth="1"/>
    <col min="11523" max="11523" width="53.77734375" customWidth="1"/>
    <col min="11524" max="11524" width="32" customWidth="1"/>
    <col min="11525" max="11525" width="21.77734375" customWidth="1"/>
    <col min="11526" max="11526" width="57.21875" bestFit="1" customWidth="1"/>
    <col min="11527" max="11527" width="33.21875" bestFit="1" customWidth="1"/>
    <col min="11528" max="11528" width="16" customWidth="1"/>
    <col min="11529" max="11529" width="35" customWidth="1"/>
    <col min="11530" max="11530" width="29.77734375" customWidth="1"/>
    <col min="11531" max="11531" width="11.77734375" customWidth="1"/>
    <col min="11532" max="11532" width="33.77734375" customWidth="1"/>
    <col min="11533" max="11533" width="12.44140625" customWidth="1"/>
    <col min="11534" max="11534" width="12.5546875" customWidth="1"/>
    <col min="11535" max="11535" width="11" customWidth="1"/>
    <col min="11536" max="11536" width="13.21875" customWidth="1"/>
    <col min="11537" max="11537" width="11.21875" customWidth="1"/>
    <col min="11538" max="11538" width="28.77734375" bestFit="1" customWidth="1"/>
    <col min="11777" max="11777" width="18.77734375" customWidth="1"/>
    <col min="11778" max="11778" width="19.5546875" customWidth="1"/>
    <col min="11779" max="11779" width="53.77734375" customWidth="1"/>
    <col min="11780" max="11780" width="32" customWidth="1"/>
    <col min="11781" max="11781" width="21.77734375" customWidth="1"/>
    <col min="11782" max="11782" width="57.21875" bestFit="1" customWidth="1"/>
    <col min="11783" max="11783" width="33.21875" bestFit="1" customWidth="1"/>
    <col min="11784" max="11784" width="16" customWidth="1"/>
    <col min="11785" max="11785" width="35" customWidth="1"/>
    <col min="11786" max="11786" width="29.77734375" customWidth="1"/>
    <col min="11787" max="11787" width="11.77734375" customWidth="1"/>
    <col min="11788" max="11788" width="33.77734375" customWidth="1"/>
    <col min="11789" max="11789" width="12.44140625" customWidth="1"/>
    <col min="11790" max="11790" width="12.5546875" customWidth="1"/>
    <col min="11791" max="11791" width="11" customWidth="1"/>
    <col min="11792" max="11792" width="13.21875" customWidth="1"/>
    <col min="11793" max="11793" width="11.21875" customWidth="1"/>
    <col min="11794" max="11794" width="28.77734375" bestFit="1" customWidth="1"/>
    <col min="12033" max="12033" width="18.77734375" customWidth="1"/>
    <col min="12034" max="12034" width="19.5546875" customWidth="1"/>
    <col min="12035" max="12035" width="53.77734375" customWidth="1"/>
    <col min="12036" max="12036" width="32" customWidth="1"/>
    <col min="12037" max="12037" width="21.77734375" customWidth="1"/>
    <col min="12038" max="12038" width="57.21875" bestFit="1" customWidth="1"/>
    <col min="12039" max="12039" width="33.21875" bestFit="1" customWidth="1"/>
    <col min="12040" max="12040" width="16" customWidth="1"/>
    <col min="12041" max="12041" width="35" customWidth="1"/>
    <col min="12042" max="12042" width="29.77734375" customWidth="1"/>
    <col min="12043" max="12043" width="11.77734375" customWidth="1"/>
    <col min="12044" max="12044" width="33.77734375" customWidth="1"/>
    <col min="12045" max="12045" width="12.44140625" customWidth="1"/>
    <col min="12046" max="12046" width="12.5546875" customWidth="1"/>
    <col min="12047" max="12047" width="11" customWidth="1"/>
    <col min="12048" max="12048" width="13.21875" customWidth="1"/>
    <col min="12049" max="12049" width="11.21875" customWidth="1"/>
    <col min="12050" max="12050" width="28.77734375" bestFit="1" customWidth="1"/>
    <col min="12289" max="12289" width="18.77734375" customWidth="1"/>
    <col min="12290" max="12290" width="19.5546875" customWidth="1"/>
    <col min="12291" max="12291" width="53.77734375" customWidth="1"/>
    <col min="12292" max="12292" width="32" customWidth="1"/>
    <col min="12293" max="12293" width="21.77734375" customWidth="1"/>
    <col min="12294" max="12294" width="57.21875" bestFit="1" customWidth="1"/>
    <col min="12295" max="12295" width="33.21875" bestFit="1" customWidth="1"/>
    <col min="12296" max="12296" width="16" customWidth="1"/>
    <col min="12297" max="12297" width="35" customWidth="1"/>
    <col min="12298" max="12298" width="29.77734375" customWidth="1"/>
    <col min="12299" max="12299" width="11.77734375" customWidth="1"/>
    <col min="12300" max="12300" width="33.77734375" customWidth="1"/>
    <col min="12301" max="12301" width="12.44140625" customWidth="1"/>
    <col min="12302" max="12302" width="12.5546875" customWidth="1"/>
    <col min="12303" max="12303" width="11" customWidth="1"/>
    <col min="12304" max="12304" width="13.21875" customWidth="1"/>
    <col min="12305" max="12305" width="11.21875" customWidth="1"/>
    <col min="12306" max="12306" width="28.77734375" bestFit="1" customWidth="1"/>
    <col min="12545" max="12545" width="18.77734375" customWidth="1"/>
    <col min="12546" max="12546" width="19.5546875" customWidth="1"/>
    <col min="12547" max="12547" width="53.77734375" customWidth="1"/>
    <col min="12548" max="12548" width="32" customWidth="1"/>
    <col min="12549" max="12549" width="21.77734375" customWidth="1"/>
    <col min="12550" max="12550" width="57.21875" bestFit="1" customWidth="1"/>
    <col min="12551" max="12551" width="33.21875" bestFit="1" customWidth="1"/>
    <col min="12552" max="12552" width="16" customWidth="1"/>
    <col min="12553" max="12553" width="35" customWidth="1"/>
    <col min="12554" max="12554" width="29.77734375" customWidth="1"/>
    <col min="12555" max="12555" width="11.77734375" customWidth="1"/>
    <col min="12556" max="12556" width="33.77734375" customWidth="1"/>
    <col min="12557" max="12557" width="12.44140625" customWidth="1"/>
    <col min="12558" max="12558" width="12.5546875" customWidth="1"/>
    <col min="12559" max="12559" width="11" customWidth="1"/>
    <col min="12560" max="12560" width="13.21875" customWidth="1"/>
    <col min="12561" max="12561" width="11.21875" customWidth="1"/>
    <col min="12562" max="12562" width="28.77734375" bestFit="1" customWidth="1"/>
    <col min="12801" max="12801" width="18.77734375" customWidth="1"/>
    <col min="12802" max="12802" width="19.5546875" customWidth="1"/>
    <col min="12803" max="12803" width="53.77734375" customWidth="1"/>
    <col min="12804" max="12804" width="32" customWidth="1"/>
    <col min="12805" max="12805" width="21.77734375" customWidth="1"/>
    <col min="12806" max="12806" width="57.21875" bestFit="1" customWidth="1"/>
    <col min="12807" max="12807" width="33.21875" bestFit="1" customWidth="1"/>
    <col min="12808" max="12808" width="16" customWidth="1"/>
    <col min="12809" max="12809" width="35" customWidth="1"/>
    <col min="12810" max="12810" width="29.77734375" customWidth="1"/>
    <col min="12811" max="12811" width="11.77734375" customWidth="1"/>
    <col min="12812" max="12812" width="33.77734375" customWidth="1"/>
    <col min="12813" max="12813" width="12.44140625" customWidth="1"/>
    <col min="12814" max="12814" width="12.5546875" customWidth="1"/>
    <col min="12815" max="12815" width="11" customWidth="1"/>
    <col min="12816" max="12816" width="13.21875" customWidth="1"/>
    <col min="12817" max="12817" width="11.21875" customWidth="1"/>
    <col min="12818" max="12818" width="28.77734375" bestFit="1" customWidth="1"/>
    <col min="13057" max="13057" width="18.77734375" customWidth="1"/>
    <col min="13058" max="13058" width="19.5546875" customWidth="1"/>
    <col min="13059" max="13059" width="53.77734375" customWidth="1"/>
    <col min="13060" max="13060" width="32" customWidth="1"/>
    <col min="13061" max="13061" width="21.77734375" customWidth="1"/>
    <col min="13062" max="13062" width="57.21875" bestFit="1" customWidth="1"/>
    <col min="13063" max="13063" width="33.21875" bestFit="1" customWidth="1"/>
    <col min="13064" max="13064" width="16" customWidth="1"/>
    <col min="13065" max="13065" width="35" customWidth="1"/>
    <col min="13066" max="13066" width="29.77734375" customWidth="1"/>
    <col min="13067" max="13067" width="11.77734375" customWidth="1"/>
    <col min="13068" max="13068" width="33.77734375" customWidth="1"/>
    <col min="13069" max="13069" width="12.44140625" customWidth="1"/>
    <col min="13070" max="13070" width="12.5546875" customWidth="1"/>
    <col min="13071" max="13071" width="11" customWidth="1"/>
    <col min="13072" max="13072" width="13.21875" customWidth="1"/>
    <col min="13073" max="13073" width="11.21875" customWidth="1"/>
    <col min="13074" max="13074" width="28.77734375" bestFit="1" customWidth="1"/>
    <col min="13313" max="13313" width="18.77734375" customWidth="1"/>
    <col min="13314" max="13314" width="19.5546875" customWidth="1"/>
    <col min="13315" max="13315" width="53.77734375" customWidth="1"/>
    <col min="13316" max="13316" width="32" customWidth="1"/>
    <col min="13317" max="13317" width="21.77734375" customWidth="1"/>
    <col min="13318" max="13318" width="57.21875" bestFit="1" customWidth="1"/>
    <col min="13319" max="13319" width="33.21875" bestFit="1" customWidth="1"/>
    <col min="13320" max="13320" width="16" customWidth="1"/>
    <col min="13321" max="13321" width="35" customWidth="1"/>
    <col min="13322" max="13322" width="29.77734375" customWidth="1"/>
    <col min="13323" max="13323" width="11.77734375" customWidth="1"/>
    <col min="13324" max="13324" width="33.77734375" customWidth="1"/>
    <col min="13325" max="13325" width="12.44140625" customWidth="1"/>
    <col min="13326" max="13326" width="12.5546875" customWidth="1"/>
    <col min="13327" max="13327" width="11" customWidth="1"/>
    <col min="13328" max="13328" width="13.21875" customWidth="1"/>
    <col min="13329" max="13329" width="11.21875" customWidth="1"/>
    <col min="13330" max="13330" width="28.77734375" bestFit="1" customWidth="1"/>
    <col min="13569" max="13569" width="18.77734375" customWidth="1"/>
    <col min="13570" max="13570" width="19.5546875" customWidth="1"/>
    <col min="13571" max="13571" width="53.77734375" customWidth="1"/>
    <col min="13572" max="13572" width="32" customWidth="1"/>
    <col min="13573" max="13573" width="21.77734375" customWidth="1"/>
    <col min="13574" max="13574" width="57.21875" bestFit="1" customWidth="1"/>
    <col min="13575" max="13575" width="33.21875" bestFit="1" customWidth="1"/>
    <col min="13576" max="13576" width="16" customWidth="1"/>
    <col min="13577" max="13577" width="35" customWidth="1"/>
    <col min="13578" max="13578" width="29.77734375" customWidth="1"/>
    <col min="13579" max="13579" width="11.77734375" customWidth="1"/>
    <col min="13580" max="13580" width="33.77734375" customWidth="1"/>
    <col min="13581" max="13581" width="12.44140625" customWidth="1"/>
    <col min="13582" max="13582" width="12.5546875" customWidth="1"/>
    <col min="13583" max="13583" width="11" customWidth="1"/>
    <col min="13584" max="13584" width="13.21875" customWidth="1"/>
    <col min="13585" max="13585" width="11.21875" customWidth="1"/>
    <col min="13586" max="13586" width="28.77734375" bestFit="1" customWidth="1"/>
    <col min="13825" max="13825" width="18.77734375" customWidth="1"/>
    <col min="13826" max="13826" width="19.5546875" customWidth="1"/>
    <col min="13827" max="13827" width="53.77734375" customWidth="1"/>
    <col min="13828" max="13828" width="32" customWidth="1"/>
    <col min="13829" max="13829" width="21.77734375" customWidth="1"/>
    <col min="13830" max="13830" width="57.21875" bestFit="1" customWidth="1"/>
    <col min="13831" max="13831" width="33.21875" bestFit="1" customWidth="1"/>
    <col min="13832" max="13832" width="16" customWidth="1"/>
    <col min="13833" max="13833" width="35" customWidth="1"/>
    <col min="13834" max="13834" width="29.77734375" customWidth="1"/>
    <col min="13835" max="13835" width="11.77734375" customWidth="1"/>
    <col min="13836" max="13836" width="33.77734375" customWidth="1"/>
    <col min="13837" max="13837" width="12.44140625" customWidth="1"/>
    <col min="13838" max="13838" width="12.5546875" customWidth="1"/>
    <col min="13839" max="13839" width="11" customWidth="1"/>
    <col min="13840" max="13840" width="13.21875" customWidth="1"/>
    <col min="13841" max="13841" width="11.21875" customWidth="1"/>
    <col min="13842" max="13842" width="28.77734375" bestFit="1" customWidth="1"/>
    <col min="14081" max="14081" width="18.77734375" customWidth="1"/>
    <col min="14082" max="14082" width="19.5546875" customWidth="1"/>
    <col min="14083" max="14083" width="53.77734375" customWidth="1"/>
    <col min="14084" max="14084" width="32" customWidth="1"/>
    <col min="14085" max="14085" width="21.77734375" customWidth="1"/>
    <col min="14086" max="14086" width="57.21875" bestFit="1" customWidth="1"/>
    <col min="14087" max="14087" width="33.21875" bestFit="1" customWidth="1"/>
    <col min="14088" max="14088" width="16" customWidth="1"/>
    <col min="14089" max="14089" width="35" customWidth="1"/>
    <col min="14090" max="14090" width="29.77734375" customWidth="1"/>
    <col min="14091" max="14091" width="11.77734375" customWidth="1"/>
    <col min="14092" max="14092" width="33.77734375" customWidth="1"/>
    <col min="14093" max="14093" width="12.44140625" customWidth="1"/>
    <col min="14094" max="14094" width="12.5546875" customWidth="1"/>
    <col min="14095" max="14095" width="11" customWidth="1"/>
    <col min="14096" max="14096" width="13.21875" customWidth="1"/>
    <col min="14097" max="14097" width="11.21875" customWidth="1"/>
    <col min="14098" max="14098" width="28.77734375" bestFit="1" customWidth="1"/>
    <col min="14337" max="14337" width="18.77734375" customWidth="1"/>
    <col min="14338" max="14338" width="19.5546875" customWidth="1"/>
    <col min="14339" max="14339" width="53.77734375" customWidth="1"/>
    <col min="14340" max="14340" width="32" customWidth="1"/>
    <col min="14341" max="14341" width="21.77734375" customWidth="1"/>
    <col min="14342" max="14342" width="57.21875" bestFit="1" customWidth="1"/>
    <col min="14343" max="14343" width="33.21875" bestFit="1" customWidth="1"/>
    <col min="14344" max="14344" width="16" customWidth="1"/>
    <col min="14345" max="14345" width="35" customWidth="1"/>
    <col min="14346" max="14346" width="29.77734375" customWidth="1"/>
    <col min="14347" max="14347" width="11.77734375" customWidth="1"/>
    <col min="14348" max="14348" width="33.77734375" customWidth="1"/>
    <col min="14349" max="14349" width="12.44140625" customWidth="1"/>
    <col min="14350" max="14350" width="12.5546875" customWidth="1"/>
    <col min="14351" max="14351" width="11" customWidth="1"/>
    <col min="14352" max="14352" width="13.21875" customWidth="1"/>
    <col min="14353" max="14353" width="11.21875" customWidth="1"/>
    <col min="14354" max="14354" width="28.77734375" bestFit="1" customWidth="1"/>
    <col min="14593" max="14593" width="18.77734375" customWidth="1"/>
    <col min="14594" max="14594" width="19.5546875" customWidth="1"/>
    <col min="14595" max="14595" width="53.77734375" customWidth="1"/>
    <col min="14596" max="14596" width="32" customWidth="1"/>
    <col min="14597" max="14597" width="21.77734375" customWidth="1"/>
    <col min="14598" max="14598" width="57.21875" bestFit="1" customWidth="1"/>
    <col min="14599" max="14599" width="33.21875" bestFit="1" customWidth="1"/>
    <col min="14600" max="14600" width="16" customWidth="1"/>
    <col min="14601" max="14601" width="35" customWidth="1"/>
    <col min="14602" max="14602" width="29.77734375" customWidth="1"/>
    <col min="14603" max="14603" width="11.77734375" customWidth="1"/>
    <col min="14604" max="14604" width="33.77734375" customWidth="1"/>
    <col min="14605" max="14605" width="12.44140625" customWidth="1"/>
    <col min="14606" max="14606" width="12.5546875" customWidth="1"/>
    <col min="14607" max="14607" width="11" customWidth="1"/>
    <col min="14608" max="14608" width="13.21875" customWidth="1"/>
    <col min="14609" max="14609" width="11.21875" customWidth="1"/>
    <col min="14610" max="14610" width="28.77734375" bestFit="1" customWidth="1"/>
    <col min="14849" max="14849" width="18.77734375" customWidth="1"/>
    <col min="14850" max="14850" width="19.5546875" customWidth="1"/>
    <col min="14851" max="14851" width="53.77734375" customWidth="1"/>
    <col min="14852" max="14852" width="32" customWidth="1"/>
    <col min="14853" max="14853" width="21.77734375" customWidth="1"/>
    <col min="14854" max="14854" width="57.21875" bestFit="1" customWidth="1"/>
    <col min="14855" max="14855" width="33.21875" bestFit="1" customWidth="1"/>
    <col min="14856" max="14856" width="16" customWidth="1"/>
    <col min="14857" max="14857" width="35" customWidth="1"/>
    <col min="14858" max="14858" width="29.77734375" customWidth="1"/>
    <col min="14859" max="14859" width="11.77734375" customWidth="1"/>
    <col min="14860" max="14860" width="33.77734375" customWidth="1"/>
    <col min="14861" max="14861" width="12.44140625" customWidth="1"/>
    <col min="14862" max="14862" width="12.5546875" customWidth="1"/>
    <col min="14863" max="14863" width="11" customWidth="1"/>
    <col min="14864" max="14864" width="13.21875" customWidth="1"/>
    <col min="14865" max="14865" width="11.21875" customWidth="1"/>
    <col min="14866" max="14866" width="28.77734375" bestFit="1" customWidth="1"/>
    <col min="15105" max="15105" width="18.77734375" customWidth="1"/>
    <col min="15106" max="15106" width="19.5546875" customWidth="1"/>
    <col min="15107" max="15107" width="53.77734375" customWidth="1"/>
    <col min="15108" max="15108" width="32" customWidth="1"/>
    <col min="15109" max="15109" width="21.77734375" customWidth="1"/>
    <col min="15110" max="15110" width="57.21875" bestFit="1" customWidth="1"/>
    <col min="15111" max="15111" width="33.21875" bestFit="1" customWidth="1"/>
    <col min="15112" max="15112" width="16" customWidth="1"/>
    <col min="15113" max="15113" width="35" customWidth="1"/>
    <col min="15114" max="15114" width="29.77734375" customWidth="1"/>
    <col min="15115" max="15115" width="11.77734375" customWidth="1"/>
    <col min="15116" max="15116" width="33.77734375" customWidth="1"/>
    <col min="15117" max="15117" width="12.44140625" customWidth="1"/>
    <col min="15118" max="15118" width="12.5546875" customWidth="1"/>
    <col min="15119" max="15119" width="11" customWidth="1"/>
    <col min="15120" max="15120" width="13.21875" customWidth="1"/>
    <col min="15121" max="15121" width="11.21875" customWidth="1"/>
    <col min="15122" max="15122" width="28.77734375" bestFit="1" customWidth="1"/>
    <col min="15361" max="15361" width="18.77734375" customWidth="1"/>
    <col min="15362" max="15362" width="19.5546875" customWidth="1"/>
    <col min="15363" max="15363" width="53.77734375" customWidth="1"/>
    <col min="15364" max="15364" width="32" customWidth="1"/>
    <col min="15365" max="15365" width="21.77734375" customWidth="1"/>
    <col min="15366" max="15366" width="57.21875" bestFit="1" customWidth="1"/>
    <col min="15367" max="15367" width="33.21875" bestFit="1" customWidth="1"/>
    <col min="15368" max="15368" width="16" customWidth="1"/>
    <col min="15369" max="15369" width="35" customWidth="1"/>
    <col min="15370" max="15370" width="29.77734375" customWidth="1"/>
    <col min="15371" max="15371" width="11.77734375" customWidth="1"/>
    <col min="15372" max="15372" width="33.77734375" customWidth="1"/>
    <col min="15373" max="15373" width="12.44140625" customWidth="1"/>
    <col min="15374" max="15374" width="12.5546875" customWidth="1"/>
    <col min="15375" max="15375" width="11" customWidth="1"/>
    <col min="15376" max="15376" width="13.21875" customWidth="1"/>
    <col min="15377" max="15377" width="11.21875" customWidth="1"/>
    <col min="15378" max="15378" width="28.77734375" bestFit="1" customWidth="1"/>
    <col min="15617" max="15617" width="18.77734375" customWidth="1"/>
    <col min="15618" max="15618" width="19.5546875" customWidth="1"/>
    <col min="15619" max="15619" width="53.77734375" customWidth="1"/>
    <col min="15620" max="15620" width="32" customWidth="1"/>
    <col min="15621" max="15621" width="21.77734375" customWidth="1"/>
    <col min="15622" max="15622" width="57.21875" bestFit="1" customWidth="1"/>
    <col min="15623" max="15623" width="33.21875" bestFit="1" customWidth="1"/>
    <col min="15624" max="15624" width="16" customWidth="1"/>
    <col min="15625" max="15625" width="35" customWidth="1"/>
    <col min="15626" max="15626" width="29.77734375" customWidth="1"/>
    <col min="15627" max="15627" width="11.77734375" customWidth="1"/>
    <col min="15628" max="15628" width="33.77734375" customWidth="1"/>
    <col min="15629" max="15629" width="12.44140625" customWidth="1"/>
    <col min="15630" max="15630" width="12.5546875" customWidth="1"/>
    <col min="15631" max="15631" width="11" customWidth="1"/>
    <col min="15632" max="15632" width="13.21875" customWidth="1"/>
    <col min="15633" max="15633" width="11.21875" customWidth="1"/>
    <col min="15634" max="15634" width="28.77734375" bestFit="1" customWidth="1"/>
    <col min="15873" max="15873" width="18.77734375" customWidth="1"/>
    <col min="15874" max="15874" width="19.5546875" customWidth="1"/>
    <col min="15875" max="15875" width="53.77734375" customWidth="1"/>
    <col min="15876" max="15876" width="32" customWidth="1"/>
    <col min="15877" max="15877" width="21.77734375" customWidth="1"/>
    <col min="15878" max="15878" width="57.21875" bestFit="1" customWidth="1"/>
    <col min="15879" max="15879" width="33.21875" bestFit="1" customWidth="1"/>
    <col min="15880" max="15880" width="16" customWidth="1"/>
    <col min="15881" max="15881" width="35" customWidth="1"/>
    <col min="15882" max="15882" width="29.77734375" customWidth="1"/>
    <col min="15883" max="15883" width="11.77734375" customWidth="1"/>
    <col min="15884" max="15884" width="33.77734375" customWidth="1"/>
    <col min="15885" max="15885" width="12.44140625" customWidth="1"/>
    <col min="15886" max="15886" width="12.5546875" customWidth="1"/>
    <col min="15887" max="15887" width="11" customWidth="1"/>
    <col min="15888" max="15888" width="13.21875" customWidth="1"/>
    <col min="15889" max="15889" width="11.21875" customWidth="1"/>
    <col min="15890" max="15890" width="28.77734375" bestFit="1" customWidth="1"/>
    <col min="16129" max="16129" width="18.77734375" customWidth="1"/>
    <col min="16130" max="16130" width="19.5546875" customWidth="1"/>
    <col min="16131" max="16131" width="53.77734375" customWidth="1"/>
    <col min="16132" max="16132" width="32" customWidth="1"/>
    <col min="16133" max="16133" width="21.77734375" customWidth="1"/>
    <col min="16134" max="16134" width="57.21875" bestFit="1" customWidth="1"/>
    <col min="16135" max="16135" width="33.21875" bestFit="1" customWidth="1"/>
    <col min="16136" max="16136" width="16" customWidth="1"/>
    <col min="16137" max="16137" width="35" customWidth="1"/>
    <col min="16138" max="16138" width="29.77734375" customWidth="1"/>
    <col min="16139" max="16139" width="11.77734375" customWidth="1"/>
    <col min="16140" max="16140" width="33.77734375" customWidth="1"/>
    <col min="16141" max="16141" width="12.44140625" customWidth="1"/>
    <col min="16142" max="16142" width="12.5546875" customWidth="1"/>
    <col min="16143" max="16143" width="11" customWidth="1"/>
    <col min="16144" max="16144" width="13.21875" customWidth="1"/>
    <col min="16145" max="16145" width="11.21875" customWidth="1"/>
    <col min="16146" max="16146" width="28.77734375" bestFit="1" customWidth="1"/>
  </cols>
  <sheetData>
    <row r="3" spans="2:17" ht="51" customHeight="1" thickBot="1" x14ac:dyDescent="0.3">
      <c r="B3" s="109" t="s">
        <v>0</v>
      </c>
      <c r="C3" s="110" t="s">
        <v>1</v>
      </c>
      <c r="D3" s="109" t="s">
        <v>2</v>
      </c>
      <c r="E3" s="109" t="s">
        <v>3</v>
      </c>
      <c r="F3" s="109" t="s">
        <v>4</v>
      </c>
      <c r="G3" s="111" t="s">
        <v>5</v>
      </c>
      <c r="H3" s="112" t="s">
        <v>6</v>
      </c>
      <c r="I3" s="318" t="s">
        <v>7</v>
      </c>
      <c r="J3" s="319"/>
      <c r="L3" s="91"/>
      <c r="M3" s="123"/>
      <c r="N3" s="123"/>
      <c r="O3" s="123"/>
      <c r="P3" s="123"/>
      <c r="Q3" s="123"/>
    </row>
    <row r="4" spans="2:17" ht="13.95" customHeight="1" thickBot="1" x14ac:dyDescent="0.4">
      <c r="B4" s="308" t="s">
        <v>8</v>
      </c>
      <c r="C4" s="173" t="s">
        <v>9</v>
      </c>
      <c r="D4" s="174" t="s">
        <v>10</v>
      </c>
      <c r="E4" s="175" t="s">
        <v>11</v>
      </c>
      <c r="F4" s="174"/>
      <c r="G4" s="174"/>
      <c r="H4" s="113"/>
      <c r="I4" s="156"/>
      <c r="J4" s="176"/>
      <c r="L4" s="91"/>
      <c r="M4" s="123"/>
      <c r="N4" s="123"/>
      <c r="O4" s="123"/>
      <c r="P4" s="123"/>
      <c r="Q4" s="123"/>
    </row>
    <row r="5" spans="2:17" ht="13.5" customHeight="1" x14ac:dyDescent="0.35">
      <c r="B5" s="309"/>
      <c r="C5" s="210" t="s">
        <v>12</v>
      </c>
      <c r="D5" s="174" t="s">
        <v>13</v>
      </c>
      <c r="E5" s="175" t="s">
        <v>11</v>
      </c>
      <c r="F5" s="202" t="s">
        <v>14</v>
      </c>
      <c r="G5" s="201"/>
      <c r="H5" s="132"/>
      <c r="I5" s="243"/>
      <c r="J5" s="204"/>
      <c r="L5" s="91"/>
      <c r="M5" s="123"/>
      <c r="N5" s="123"/>
      <c r="O5" s="123"/>
      <c r="P5" s="123"/>
      <c r="Q5" s="123"/>
    </row>
    <row r="6" spans="2:17" ht="13.5" customHeight="1" x14ac:dyDescent="0.35">
      <c r="B6" s="309"/>
      <c r="C6" s="177" t="s">
        <v>15</v>
      </c>
      <c r="D6" s="178" t="s">
        <v>10</v>
      </c>
      <c r="E6" s="179" t="s">
        <v>11</v>
      </c>
      <c r="F6" s="178"/>
      <c r="G6" s="178"/>
      <c r="H6" s="90"/>
      <c r="I6" s="157"/>
      <c r="J6" s="180"/>
      <c r="L6" s="91"/>
      <c r="M6" s="123"/>
      <c r="N6" s="123"/>
      <c r="O6" s="123"/>
      <c r="P6" s="123"/>
      <c r="Q6" s="123"/>
    </row>
    <row r="7" spans="2:17" ht="13.5" customHeight="1" x14ac:dyDescent="0.25">
      <c r="B7" s="309"/>
      <c r="C7" s="181" t="s">
        <v>16</v>
      </c>
      <c r="D7" s="182" t="s">
        <v>10</v>
      </c>
      <c r="E7" s="179" t="s">
        <v>11</v>
      </c>
      <c r="F7" s="183"/>
      <c r="G7" s="182"/>
      <c r="H7" s="90"/>
      <c r="I7" s="158"/>
      <c r="J7" s="180"/>
      <c r="L7" s="91"/>
      <c r="M7" s="123"/>
      <c r="N7" s="123"/>
      <c r="O7" s="123"/>
      <c r="P7" s="123"/>
      <c r="Q7" s="123"/>
    </row>
    <row r="8" spans="2:17" ht="13.5" customHeight="1" x14ac:dyDescent="0.25">
      <c r="B8" s="309"/>
      <c r="C8" s="184" t="s">
        <v>17</v>
      </c>
      <c r="D8" s="183" t="s">
        <v>18</v>
      </c>
      <c r="E8" s="185" t="s">
        <v>11</v>
      </c>
      <c r="F8" s="178" t="s">
        <v>19</v>
      </c>
      <c r="G8" s="184"/>
      <c r="H8" s="127"/>
      <c r="I8" s="158"/>
      <c r="J8" s="186"/>
      <c r="L8" s="91"/>
      <c r="M8" s="123"/>
      <c r="N8" s="123"/>
      <c r="O8" s="123"/>
      <c r="P8" s="123"/>
      <c r="Q8" s="123"/>
    </row>
    <row r="9" spans="2:17" ht="13.95" customHeight="1" thickBot="1" x14ac:dyDescent="0.4">
      <c r="B9" s="310"/>
      <c r="C9" s="187" t="s">
        <v>20</v>
      </c>
      <c r="D9" s="188" t="s">
        <v>10</v>
      </c>
      <c r="E9" s="185" t="s">
        <v>11</v>
      </c>
      <c r="F9" s="188"/>
      <c r="G9" s="188"/>
      <c r="H9" s="127"/>
      <c r="I9" s="159"/>
      <c r="J9" s="163"/>
      <c r="L9" s="91"/>
      <c r="M9" s="123"/>
      <c r="N9" s="123"/>
      <c r="O9" s="123"/>
      <c r="P9" s="123"/>
      <c r="Q9" s="123"/>
    </row>
    <row r="10" spans="2:17" ht="13.5" customHeight="1" thickBot="1" x14ac:dyDescent="0.3">
      <c r="B10" s="133"/>
      <c r="C10" s="140"/>
      <c r="D10" s="133"/>
      <c r="E10" s="189"/>
      <c r="F10" s="133"/>
      <c r="G10" s="141"/>
      <c r="H10" s="134"/>
      <c r="I10" s="168"/>
      <c r="J10" s="169"/>
      <c r="L10" s="91"/>
      <c r="M10" s="123"/>
      <c r="N10" s="123"/>
      <c r="O10" s="123"/>
      <c r="P10" s="123"/>
      <c r="Q10" s="123"/>
    </row>
    <row r="11" spans="2:17" ht="13.5" customHeight="1" thickBot="1" x14ac:dyDescent="0.3">
      <c r="B11" s="317" t="s">
        <v>21</v>
      </c>
      <c r="C11" s="174" t="s">
        <v>22</v>
      </c>
      <c r="D11" s="190" t="s">
        <v>23</v>
      </c>
      <c r="E11" s="175" t="s">
        <v>11</v>
      </c>
      <c r="F11" s="175" t="s">
        <v>24</v>
      </c>
      <c r="G11" s="175"/>
      <c r="H11" s="113"/>
      <c r="I11" s="175"/>
      <c r="J11" s="191"/>
      <c r="L11" s="91"/>
      <c r="M11" s="123"/>
      <c r="N11" s="123"/>
      <c r="O11" s="123"/>
      <c r="P11" s="123"/>
      <c r="Q11" s="123"/>
    </row>
    <row r="12" spans="2:17" x14ac:dyDescent="0.25">
      <c r="B12" s="315"/>
      <c r="C12" s="173" t="s">
        <v>25</v>
      </c>
      <c r="D12" s="174" t="s">
        <v>10</v>
      </c>
      <c r="E12" s="175" t="s">
        <v>26</v>
      </c>
      <c r="F12" s="174"/>
      <c r="G12" s="174"/>
      <c r="H12" s="113"/>
      <c r="I12" s="192"/>
      <c r="J12" s="164" t="s">
        <v>27</v>
      </c>
      <c r="L12" s="91"/>
      <c r="M12" s="123"/>
      <c r="N12" s="123"/>
      <c r="O12" s="123"/>
      <c r="P12" s="123"/>
      <c r="Q12" s="123"/>
    </row>
    <row r="13" spans="2:17" x14ac:dyDescent="0.25">
      <c r="B13" s="315"/>
      <c r="C13" s="177" t="s">
        <v>28</v>
      </c>
      <c r="D13" s="178" t="s">
        <v>10</v>
      </c>
      <c r="E13" s="179" t="s">
        <v>26</v>
      </c>
      <c r="F13" s="178"/>
      <c r="G13" s="178"/>
      <c r="H13" s="226"/>
      <c r="I13" s="227">
        <f>H13*1/100</f>
        <v>0</v>
      </c>
      <c r="J13" s="165" t="s">
        <v>29</v>
      </c>
      <c r="K13" s="91">
        <f>12%</f>
        <v>0.12</v>
      </c>
      <c r="M13" s="123"/>
      <c r="N13" s="123"/>
      <c r="O13" s="123"/>
      <c r="P13" s="123"/>
      <c r="Q13" s="123"/>
    </row>
    <row r="14" spans="2:17" x14ac:dyDescent="0.25">
      <c r="B14" s="315"/>
      <c r="C14" s="177" t="s">
        <v>30</v>
      </c>
      <c r="D14" s="178" t="s">
        <v>10</v>
      </c>
      <c r="E14" s="179" t="s">
        <v>26</v>
      </c>
      <c r="F14" s="178"/>
      <c r="G14" s="178"/>
      <c r="H14" s="226"/>
      <c r="I14" s="242">
        <f>(H14+H14*18/100)*1/100</f>
        <v>0</v>
      </c>
      <c r="J14" s="160"/>
      <c r="K14">
        <f>1.18%</f>
        <v>1.18E-2</v>
      </c>
      <c r="L14" s="91"/>
      <c r="M14" s="123"/>
      <c r="N14" s="123"/>
      <c r="O14" s="123"/>
      <c r="P14" s="123"/>
      <c r="Q14" s="123"/>
    </row>
    <row r="15" spans="2:17" ht="13.5" customHeight="1" thickBot="1" x14ac:dyDescent="0.3">
      <c r="B15" s="316"/>
      <c r="C15" s="177" t="s">
        <v>31</v>
      </c>
      <c r="D15" s="178" t="s">
        <v>10</v>
      </c>
      <c r="E15" s="179" t="s">
        <v>26</v>
      </c>
      <c r="F15" s="178"/>
      <c r="G15" s="185" t="s">
        <v>32</v>
      </c>
      <c r="H15" s="226"/>
      <c r="I15" s="228">
        <f>H15*1/100</f>
        <v>0</v>
      </c>
      <c r="J15" s="165" t="s">
        <v>33</v>
      </c>
      <c r="K15" s="225">
        <f>20%</f>
        <v>0.2</v>
      </c>
      <c r="L15" s="91"/>
      <c r="M15" s="123"/>
      <c r="N15" s="123"/>
      <c r="O15" s="123"/>
      <c r="P15" s="123"/>
      <c r="Q15" s="123"/>
    </row>
    <row r="16" spans="2:17" ht="13.5" customHeight="1" thickBot="1" x14ac:dyDescent="0.3">
      <c r="B16" s="133"/>
      <c r="C16" s="140"/>
      <c r="D16" s="133"/>
      <c r="E16" s="189"/>
      <c r="F16" s="133"/>
      <c r="G16" s="141"/>
      <c r="H16" s="134"/>
      <c r="I16" s="168"/>
      <c r="J16" s="169"/>
      <c r="L16" s="91"/>
      <c r="M16" s="123"/>
      <c r="N16" s="123"/>
      <c r="O16" s="123"/>
      <c r="P16" s="123"/>
      <c r="Q16" s="123"/>
    </row>
    <row r="17" spans="1:18" ht="13.5" customHeight="1" thickBot="1" x14ac:dyDescent="0.3">
      <c r="B17" s="317" t="s">
        <v>34</v>
      </c>
      <c r="C17" s="178" t="s">
        <v>35</v>
      </c>
      <c r="D17" s="178" t="s">
        <v>13</v>
      </c>
      <c r="E17" s="179" t="s">
        <v>26</v>
      </c>
      <c r="F17" s="174" t="s">
        <v>36</v>
      </c>
      <c r="G17" s="178"/>
      <c r="H17" s="90"/>
      <c r="I17" s="179"/>
      <c r="J17" s="166" t="s">
        <v>37</v>
      </c>
      <c r="L17" s="91"/>
      <c r="M17" s="123"/>
      <c r="N17" s="123"/>
      <c r="O17" s="123"/>
      <c r="P17" s="123"/>
      <c r="Q17" s="123"/>
    </row>
    <row r="18" spans="1:18" ht="13.5" customHeight="1" thickBot="1" x14ac:dyDescent="0.3">
      <c r="B18" s="315"/>
      <c r="C18" s="178" t="s">
        <v>38</v>
      </c>
      <c r="D18" s="178" t="s">
        <v>13</v>
      </c>
      <c r="E18" s="179" t="s">
        <v>26</v>
      </c>
      <c r="F18" s="174" t="s">
        <v>36</v>
      </c>
      <c r="G18" s="178"/>
      <c r="H18" s="90"/>
      <c r="I18" s="179"/>
      <c r="J18" s="166" t="s">
        <v>39</v>
      </c>
      <c r="L18" s="91"/>
      <c r="M18" s="123"/>
      <c r="N18" s="123"/>
      <c r="O18" s="123"/>
      <c r="P18" s="123"/>
      <c r="Q18" s="123"/>
    </row>
    <row r="19" spans="1:18" ht="13.5" customHeight="1" thickBot="1" x14ac:dyDescent="0.3">
      <c r="B19" s="315"/>
      <c r="C19" s="178" t="s">
        <v>40</v>
      </c>
      <c r="D19" s="178" t="s">
        <v>13</v>
      </c>
      <c r="E19" s="179" t="s">
        <v>26</v>
      </c>
      <c r="F19" s="174" t="s">
        <v>36</v>
      </c>
      <c r="G19" s="178"/>
      <c r="H19" s="90"/>
      <c r="I19" s="179"/>
      <c r="J19" s="166" t="s">
        <v>39</v>
      </c>
      <c r="L19" s="91"/>
      <c r="M19" s="123"/>
      <c r="N19" s="123"/>
      <c r="O19" s="123"/>
      <c r="P19" s="123"/>
      <c r="Q19" s="123"/>
    </row>
    <row r="20" spans="1:18" ht="13.5" customHeight="1" thickBot="1" x14ac:dyDescent="0.3">
      <c r="B20" s="315"/>
      <c r="C20" s="178" t="s">
        <v>41</v>
      </c>
      <c r="D20" s="178" t="s">
        <v>13</v>
      </c>
      <c r="E20" s="179" t="s">
        <v>26</v>
      </c>
      <c r="F20" s="174" t="s">
        <v>36</v>
      </c>
      <c r="G20" s="178"/>
      <c r="H20" s="90"/>
      <c r="I20" s="179"/>
      <c r="J20" s="166" t="s">
        <v>39</v>
      </c>
      <c r="L20" s="91"/>
      <c r="M20" s="123"/>
      <c r="N20" s="123"/>
      <c r="O20" s="123"/>
      <c r="P20" s="123"/>
      <c r="Q20" s="123"/>
    </row>
    <row r="21" spans="1:18" x14ac:dyDescent="0.25">
      <c r="B21" s="316"/>
      <c r="C21" s="178" t="s">
        <v>42</v>
      </c>
      <c r="D21" s="178" t="s">
        <v>13</v>
      </c>
      <c r="E21" s="179" t="s">
        <v>26</v>
      </c>
      <c r="F21" s="174" t="s">
        <v>36</v>
      </c>
      <c r="G21" s="178"/>
      <c r="H21" s="90"/>
      <c r="I21" s="179"/>
      <c r="J21" s="166" t="s">
        <v>39</v>
      </c>
      <c r="L21" s="91"/>
      <c r="M21" s="123"/>
      <c r="N21" s="123"/>
      <c r="O21" s="123"/>
      <c r="P21" s="123"/>
      <c r="Q21" s="123"/>
    </row>
    <row r="22" spans="1:18" ht="15.75" customHeight="1" x14ac:dyDescent="0.35">
      <c r="B22" s="128"/>
      <c r="C22" s="193"/>
      <c r="D22" s="193"/>
      <c r="E22" s="194"/>
      <c r="F22" s="193"/>
      <c r="G22" s="193"/>
      <c r="H22" s="129"/>
      <c r="I22" s="170" t="s">
        <v>43</v>
      </c>
      <c r="J22" s="171" t="s">
        <v>44</v>
      </c>
      <c r="M22" s="123"/>
      <c r="N22" s="123"/>
      <c r="O22" s="123"/>
      <c r="P22" s="123"/>
      <c r="Q22" s="123"/>
      <c r="R22" s="91"/>
    </row>
    <row r="23" spans="1:18" ht="15.75" customHeight="1" x14ac:dyDescent="0.35">
      <c r="B23" s="317" t="s">
        <v>45</v>
      </c>
      <c r="C23" s="178" t="s">
        <v>46</v>
      </c>
      <c r="D23" s="178" t="s">
        <v>10</v>
      </c>
      <c r="E23" s="179" t="s">
        <v>26</v>
      </c>
      <c r="F23" s="178"/>
      <c r="G23" s="178"/>
      <c r="H23" s="90"/>
      <c r="I23" s="178"/>
      <c r="J23" s="161"/>
      <c r="M23" s="123"/>
      <c r="N23" s="123"/>
      <c r="O23" s="123"/>
      <c r="P23" s="123"/>
      <c r="Q23" s="123"/>
      <c r="R23" s="91"/>
    </row>
    <row r="24" spans="1:18" ht="15.75" customHeight="1" x14ac:dyDescent="0.35">
      <c r="B24" s="315"/>
      <c r="C24" s="178" t="s">
        <v>47</v>
      </c>
      <c r="D24" s="178" t="s">
        <v>10</v>
      </c>
      <c r="E24" s="179" t="s">
        <v>26</v>
      </c>
      <c r="F24" s="178"/>
      <c r="G24" s="178"/>
      <c r="H24" s="90"/>
      <c r="I24" s="178"/>
      <c r="J24" s="161"/>
      <c r="M24" s="123"/>
      <c r="N24" s="123"/>
      <c r="O24" s="123"/>
      <c r="P24" s="123"/>
      <c r="Q24" s="123"/>
      <c r="R24" s="91"/>
    </row>
    <row r="25" spans="1:18" ht="15.75" customHeight="1" x14ac:dyDescent="0.35">
      <c r="A25" s="303" t="s">
        <v>48</v>
      </c>
      <c r="B25" s="316"/>
      <c r="C25" s="178" t="s">
        <v>49</v>
      </c>
      <c r="D25" s="178" t="s">
        <v>10</v>
      </c>
      <c r="E25" s="179" t="s">
        <v>26</v>
      </c>
      <c r="F25" s="178"/>
      <c r="G25" s="178"/>
      <c r="H25" s="90"/>
      <c r="I25" s="178"/>
      <c r="J25" s="161"/>
      <c r="M25" s="123"/>
      <c r="N25" s="123"/>
      <c r="O25" s="123"/>
      <c r="P25" s="123"/>
      <c r="Q25" s="123"/>
      <c r="R25" s="91"/>
    </row>
    <row r="26" spans="1:18" ht="15.75" customHeight="1" thickBot="1" x14ac:dyDescent="0.4">
      <c r="A26" s="304"/>
      <c r="B26" s="125"/>
      <c r="C26" s="195"/>
      <c r="D26" s="196"/>
      <c r="E26" s="197"/>
      <c r="F26" s="196"/>
      <c r="G26" s="196"/>
      <c r="H26" s="126"/>
      <c r="I26" s="196"/>
      <c r="J26" s="172"/>
      <c r="M26" s="123"/>
      <c r="N26" s="123"/>
      <c r="O26" s="123"/>
      <c r="P26" s="123"/>
      <c r="Q26" s="123"/>
      <c r="R26" s="91"/>
    </row>
    <row r="27" spans="1:18" ht="15.75" customHeight="1" x14ac:dyDescent="0.35">
      <c r="B27" s="338" t="s">
        <v>50</v>
      </c>
      <c r="C27" s="198" t="s">
        <v>51</v>
      </c>
      <c r="D27" s="174" t="s">
        <v>52</v>
      </c>
      <c r="E27" s="175" t="s">
        <v>53</v>
      </c>
      <c r="F27" s="174"/>
      <c r="G27" s="174"/>
      <c r="H27" s="136"/>
      <c r="I27" s="167">
        <f>I25*J25+I24*J24+I23*J23</f>
        <v>0</v>
      </c>
      <c r="J27" s="162"/>
      <c r="M27" s="123"/>
      <c r="N27" s="123"/>
      <c r="O27" s="123"/>
      <c r="P27" s="123"/>
      <c r="Q27" s="123"/>
      <c r="R27" s="91"/>
    </row>
    <row r="28" spans="1:18" ht="15.75" customHeight="1" thickBot="1" x14ac:dyDescent="0.3">
      <c r="B28" s="309"/>
      <c r="C28" s="199" t="s">
        <v>54</v>
      </c>
      <c r="D28" s="178" t="s">
        <v>10</v>
      </c>
      <c r="E28" s="148" t="s">
        <v>26</v>
      </c>
      <c r="F28" s="178"/>
      <c r="G28" s="178"/>
      <c r="H28" s="226"/>
      <c r="I28" s="224">
        <f>1+1*H28/100</f>
        <v>1</v>
      </c>
      <c r="J28" s="209" t="s">
        <v>55</v>
      </c>
      <c r="K28" s="225"/>
      <c r="M28" s="123"/>
      <c r="N28" s="123"/>
      <c r="O28" s="123"/>
      <c r="P28" s="123"/>
      <c r="Q28" s="123"/>
      <c r="R28" s="91"/>
    </row>
    <row r="29" spans="1:18" ht="15" customHeight="1" x14ac:dyDescent="0.25">
      <c r="B29" s="309"/>
      <c r="C29" s="200" t="s">
        <v>56</v>
      </c>
      <c r="D29" s="201" t="s">
        <v>10</v>
      </c>
      <c r="E29" s="202" t="s">
        <v>26</v>
      </c>
      <c r="F29" s="201"/>
      <c r="G29" s="201"/>
      <c r="H29" s="132"/>
      <c r="I29" s="203"/>
      <c r="J29" s="204" t="s">
        <v>57</v>
      </c>
      <c r="R29" s="91"/>
    </row>
    <row r="30" spans="1:18" ht="15" customHeight="1" x14ac:dyDescent="0.25">
      <c r="B30" s="309"/>
      <c r="C30" s="199" t="s">
        <v>58</v>
      </c>
      <c r="D30" s="178" t="s">
        <v>10</v>
      </c>
      <c r="E30" s="179" t="s">
        <v>26</v>
      </c>
      <c r="F30" s="178"/>
      <c r="G30" s="178"/>
      <c r="H30" s="226"/>
      <c r="I30" s="224">
        <f>1+1*H30*1/100</f>
        <v>1</v>
      </c>
      <c r="J30" s="180" t="s">
        <v>59</v>
      </c>
      <c r="L30" s="91"/>
      <c r="R30" s="91"/>
    </row>
    <row r="31" spans="1:18" ht="15" customHeight="1" x14ac:dyDescent="0.35">
      <c r="B31" s="309"/>
      <c r="C31" s="199" t="s">
        <v>60</v>
      </c>
      <c r="D31" s="178" t="s">
        <v>10</v>
      </c>
      <c r="E31" s="179" t="s">
        <v>26</v>
      </c>
      <c r="F31" s="178"/>
      <c r="G31" s="178"/>
      <c r="H31" s="90"/>
      <c r="I31" s="205"/>
      <c r="J31" s="180" t="s">
        <v>57</v>
      </c>
      <c r="K31" s="85"/>
      <c r="L31" s="91"/>
      <c r="M31" s="336"/>
      <c r="N31" s="337"/>
      <c r="O31" s="337"/>
      <c r="P31" s="337"/>
      <c r="Q31" s="337"/>
    </row>
    <row r="32" spans="1:18" ht="15" customHeight="1" x14ac:dyDescent="0.35">
      <c r="B32" s="309"/>
      <c r="C32" s="199" t="s">
        <v>61</v>
      </c>
      <c r="D32" s="178" t="s">
        <v>10</v>
      </c>
      <c r="E32" s="179" t="s">
        <v>26</v>
      </c>
      <c r="F32" s="178"/>
      <c r="G32" s="178"/>
      <c r="H32" s="226"/>
      <c r="I32" s="224">
        <f>1+1*H32*1/100</f>
        <v>1</v>
      </c>
      <c r="J32" s="180" t="s">
        <v>62</v>
      </c>
      <c r="K32" s="85"/>
      <c r="L32" s="91"/>
      <c r="M32" s="123"/>
      <c r="N32" s="123"/>
      <c r="O32" s="123"/>
      <c r="P32" s="123"/>
      <c r="Q32" s="123"/>
    </row>
    <row r="33" spans="1:17" ht="15" customHeight="1" thickBot="1" x14ac:dyDescent="0.4">
      <c r="B33" s="309"/>
      <c r="C33" s="206" t="s">
        <v>63</v>
      </c>
      <c r="D33" s="207" t="s">
        <v>10</v>
      </c>
      <c r="E33" s="208" t="s">
        <v>26</v>
      </c>
      <c r="F33" s="207"/>
      <c r="G33" s="207"/>
      <c r="H33" s="229"/>
      <c r="I33" s="224">
        <f>1+1*H33*1/100</f>
        <v>1</v>
      </c>
      <c r="J33" s="209" t="s">
        <v>55</v>
      </c>
      <c r="K33" s="85"/>
      <c r="L33" s="91"/>
      <c r="M33" s="123"/>
      <c r="N33" s="123"/>
      <c r="O33" s="123"/>
      <c r="P33" s="123"/>
      <c r="Q33" s="123"/>
    </row>
    <row r="34" spans="1:17" ht="15" customHeight="1" x14ac:dyDescent="0.35">
      <c r="B34" s="309"/>
      <c r="C34" s="210" t="s">
        <v>64</v>
      </c>
      <c r="D34" s="201" t="s">
        <v>10</v>
      </c>
      <c r="E34" s="202" t="s">
        <v>26</v>
      </c>
      <c r="F34" s="201"/>
      <c r="G34" s="201"/>
      <c r="H34" s="124"/>
      <c r="I34" s="211"/>
      <c r="J34" s="212" t="s">
        <v>65</v>
      </c>
      <c r="K34" s="85"/>
      <c r="L34" s="91"/>
      <c r="M34" s="123"/>
      <c r="N34" s="123"/>
      <c r="O34" s="123"/>
      <c r="P34" s="123"/>
      <c r="Q34" s="123"/>
    </row>
    <row r="35" spans="1:17" ht="15" customHeight="1" x14ac:dyDescent="0.35">
      <c r="B35" s="309"/>
      <c r="C35" s="177" t="s">
        <v>66</v>
      </c>
      <c r="D35" s="178" t="s">
        <v>10</v>
      </c>
      <c r="E35" s="179" t="s">
        <v>26</v>
      </c>
      <c r="F35" s="178"/>
      <c r="G35" s="178"/>
      <c r="H35" s="127"/>
      <c r="I35" s="205"/>
      <c r="J35" s="213" t="s">
        <v>65</v>
      </c>
      <c r="K35" s="85"/>
      <c r="L35" s="91"/>
      <c r="M35" s="123"/>
      <c r="N35" s="123"/>
      <c r="O35" s="123"/>
      <c r="P35" s="123"/>
      <c r="Q35" s="123"/>
    </row>
    <row r="36" spans="1:17" ht="20.25" customHeight="1" x14ac:dyDescent="0.3">
      <c r="A36" s="115"/>
      <c r="B36" s="133"/>
      <c r="C36" s="134"/>
      <c r="D36" s="189"/>
      <c r="E36" s="189"/>
      <c r="F36" s="155" t="s">
        <v>67</v>
      </c>
      <c r="G36" s="189"/>
      <c r="H36" s="135"/>
      <c r="I36" s="290" t="s">
        <v>68</v>
      </c>
      <c r="J36" s="214"/>
    </row>
    <row r="37" spans="1:17" ht="12.75" customHeight="1" x14ac:dyDescent="0.25">
      <c r="B37" s="317" t="s">
        <v>69</v>
      </c>
      <c r="C37" s="178" t="s">
        <v>70</v>
      </c>
      <c r="D37" s="178" t="s">
        <v>10</v>
      </c>
      <c r="E37" s="179" t="s">
        <v>26</v>
      </c>
      <c r="F37" s="241">
        <v>0.15</v>
      </c>
      <c r="G37" s="178"/>
      <c r="H37" s="215"/>
      <c r="I37" s="291">
        <f>F99</f>
        <v>0</v>
      </c>
      <c r="J37" s="213"/>
    </row>
    <row r="38" spans="1:17" ht="15" customHeight="1" x14ac:dyDescent="0.25">
      <c r="B38" s="315"/>
      <c r="C38" s="178" t="s">
        <v>71</v>
      </c>
      <c r="D38" s="178" t="s">
        <v>10</v>
      </c>
      <c r="E38" s="179" t="s">
        <v>26</v>
      </c>
      <c r="F38" s="241">
        <v>0.15</v>
      </c>
      <c r="G38" s="178"/>
      <c r="H38" s="215"/>
      <c r="I38" s="216">
        <f>F109</f>
        <v>0</v>
      </c>
      <c r="J38" s="212"/>
    </row>
    <row r="39" spans="1:17" ht="15" customHeight="1" x14ac:dyDescent="0.25">
      <c r="B39" s="315"/>
      <c r="C39" s="178" t="s">
        <v>72</v>
      </c>
      <c r="D39" s="178" t="s">
        <v>10</v>
      </c>
      <c r="E39" s="179" t="s">
        <v>26</v>
      </c>
      <c r="F39" s="241">
        <v>0.1</v>
      </c>
      <c r="G39" s="178"/>
      <c r="H39" s="215"/>
      <c r="I39" s="216">
        <f>F119</f>
        <v>0</v>
      </c>
      <c r="J39" s="212"/>
    </row>
    <row r="40" spans="1:17" ht="15" customHeight="1" x14ac:dyDescent="0.25">
      <c r="B40" s="315"/>
      <c r="C40" s="178" t="s">
        <v>73</v>
      </c>
      <c r="D40" s="178" t="s">
        <v>10</v>
      </c>
      <c r="E40" s="179" t="s">
        <v>26</v>
      </c>
      <c r="F40" s="241">
        <v>0</v>
      </c>
      <c r="G40" s="178"/>
      <c r="H40" s="215"/>
      <c r="I40" s="216">
        <f>F129</f>
        <v>0</v>
      </c>
      <c r="J40" s="212"/>
    </row>
    <row r="41" spans="1:17" ht="15" customHeight="1" x14ac:dyDescent="0.25">
      <c r="B41" s="315"/>
      <c r="C41" s="178" t="s">
        <v>74</v>
      </c>
      <c r="D41" s="178" t="s">
        <v>10</v>
      </c>
      <c r="E41" s="179" t="s">
        <v>26</v>
      </c>
      <c r="F41" s="241">
        <v>0.15</v>
      </c>
      <c r="G41" s="178"/>
      <c r="H41" s="215"/>
      <c r="I41" s="216">
        <f>F132</f>
        <v>0</v>
      </c>
      <c r="J41" s="212"/>
    </row>
    <row r="42" spans="1:17" ht="15" customHeight="1" x14ac:dyDescent="0.25">
      <c r="B42" s="315"/>
      <c r="C42" s="178" t="s">
        <v>75</v>
      </c>
      <c r="D42" s="178" t="s">
        <v>10</v>
      </c>
      <c r="E42" s="179" t="s">
        <v>26</v>
      </c>
      <c r="F42" s="241">
        <v>0.15</v>
      </c>
      <c r="G42" s="178"/>
      <c r="H42" s="215"/>
      <c r="I42" s="216">
        <f>F141</f>
        <v>0</v>
      </c>
      <c r="J42" s="212"/>
    </row>
    <row r="43" spans="1:17" ht="16.5" customHeight="1" x14ac:dyDescent="0.3">
      <c r="A43" s="115"/>
      <c r="B43" s="315"/>
      <c r="C43" s="178" t="s">
        <v>76</v>
      </c>
      <c r="D43" s="178" t="s">
        <v>10</v>
      </c>
      <c r="E43" s="179" t="s">
        <v>26</v>
      </c>
      <c r="F43" s="241">
        <v>0.15</v>
      </c>
      <c r="G43" s="178"/>
      <c r="H43" s="215"/>
      <c r="I43" s="216">
        <f>F151</f>
        <v>0</v>
      </c>
      <c r="J43" s="212"/>
    </row>
    <row r="44" spans="1:17" ht="12.75" customHeight="1" x14ac:dyDescent="0.25">
      <c r="B44" s="315"/>
      <c r="C44" s="178" t="s">
        <v>77</v>
      </c>
      <c r="D44" s="178" t="s">
        <v>10</v>
      </c>
      <c r="E44" s="179" t="s">
        <v>26</v>
      </c>
      <c r="F44" s="241">
        <v>0</v>
      </c>
      <c r="G44" s="178"/>
      <c r="H44" s="215"/>
      <c r="I44" s="216">
        <f>F161</f>
        <v>0</v>
      </c>
      <c r="J44" s="212"/>
    </row>
    <row r="45" spans="1:17" ht="12.75" customHeight="1" x14ac:dyDescent="0.25">
      <c r="B45" s="315"/>
      <c r="C45" s="178" t="s">
        <v>78</v>
      </c>
      <c r="D45" s="178" t="s">
        <v>10</v>
      </c>
      <c r="E45" s="179" t="s">
        <v>26</v>
      </c>
      <c r="F45" s="241">
        <v>0</v>
      </c>
      <c r="G45" s="178"/>
      <c r="H45" s="215"/>
      <c r="I45" s="216">
        <f>F180</f>
        <v>0</v>
      </c>
      <c r="J45" s="212"/>
    </row>
    <row r="46" spans="1:17" ht="12.75" customHeight="1" x14ac:dyDescent="0.25">
      <c r="B46" s="316"/>
      <c r="C46" s="178" t="s">
        <v>79</v>
      </c>
      <c r="D46" s="178" t="s">
        <v>10</v>
      </c>
      <c r="E46" s="179" t="s">
        <v>26</v>
      </c>
      <c r="F46" s="241">
        <v>0.1</v>
      </c>
      <c r="G46" s="178"/>
      <c r="H46" s="215"/>
      <c r="I46" s="216">
        <f>F190</f>
        <v>0</v>
      </c>
      <c r="J46" s="217"/>
    </row>
    <row r="47" spans="1:17" ht="12.75" customHeight="1" x14ac:dyDescent="0.25"/>
    <row r="48" spans="1:17" ht="12.75" customHeight="1" x14ac:dyDescent="0.25">
      <c r="C48" s="89"/>
      <c r="F48" s="131"/>
    </row>
    <row r="49" spans="2:17" ht="12.75" customHeight="1" x14ac:dyDescent="0.25">
      <c r="C49" s="218"/>
      <c r="F49" s="131"/>
    </row>
    <row r="50" spans="2:17" ht="15" customHeight="1" x14ac:dyDescent="0.35">
      <c r="B50" s="314" t="s">
        <v>50</v>
      </c>
      <c r="C50" s="150" t="s">
        <v>80</v>
      </c>
      <c r="D50" s="329"/>
      <c r="E50" s="330"/>
      <c r="F50" s="193"/>
      <c r="G50" s="193"/>
      <c r="H50" s="129"/>
      <c r="I50" s="129"/>
      <c r="J50" s="219"/>
      <c r="K50" s="85"/>
      <c r="L50" s="91"/>
      <c r="M50" s="123"/>
      <c r="N50" s="123"/>
      <c r="O50" s="123"/>
      <c r="P50" s="123"/>
      <c r="Q50" s="123"/>
    </row>
    <row r="51" spans="2:17" ht="15" customHeight="1" x14ac:dyDescent="0.35">
      <c r="B51" s="315"/>
      <c r="C51" s="220" t="s">
        <v>35</v>
      </c>
      <c r="D51" s="332" t="s">
        <v>81</v>
      </c>
      <c r="E51" s="333"/>
      <c r="F51" s="231">
        <v>0.05</v>
      </c>
      <c r="G51" s="221" t="s">
        <v>82</v>
      </c>
      <c r="H51" s="143"/>
      <c r="I51" s="143"/>
      <c r="J51" s="222"/>
      <c r="K51" s="85"/>
      <c r="L51" s="91"/>
      <c r="M51" s="123"/>
      <c r="N51" s="123"/>
      <c r="O51" s="123"/>
      <c r="P51" s="123"/>
      <c r="Q51" s="123"/>
    </row>
    <row r="52" spans="2:17" ht="15" customHeight="1" x14ac:dyDescent="0.35">
      <c r="B52" s="315"/>
      <c r="C52" s="220" t="s">
        <v>38</v>
      </c>
      <c r="D52" s="334"/>
      <c r="E52" s="334"/>
      <c r="F52" s="230">
        <v>7.0000000000000007E-2</v>
      </c>
      <c r="G52" s="221" t="s">
        <v>82</v>
      </c>
      <c r="H52" s="143"/>
      <c r="I52" s="143"/>
      <c r="J52" s="222"/>
      <c r="K52" s="85"/>
      <c r="L52" s="91"/>
      <c r="M52" s="123"/>
      <c r="N52" s="123"/>
      <c r="O52" s="123"/>
      <c r="P52" s="123"/>
      <c r="Q52" s="123"/>
    </row>
    <row r="53" spans="2:17" ht="15" customHeight="1" x14ac:dyDescent="0.35">
      <c r="B53" s="315"/>
      <c r="C53" s="220" t="s">
        <v>40</v>
      </c>
      <c r="D53" s="334"/>
      <c r="E53" s="334"/>
      <c r="F53" s="230">
        <v>0.09</v>
      </c>
      <c r="G53" s="221" t="s">
        <v>82</v>
      </c>
      <c r="H53" s="143"/>
      <c r="I53" s="143"/>
      <c r="J53" s="222"/>
      <c r="K53" s="85"/>
      <c r="L53" s="91"/>
      <c r="M53" s="123"/>
      <c r="N53" s="123"/>
      <c r="O53" s="123"/>
      <c r="P53" s="123"/>
      <c r="Q53" s="123"/>
    </row>
    <row r="54" spans="2:17" ht="15" customHeight="1" x14ac:dyDescent="0.35">
      <c r="B54" s="315"/>
      <c r="C54" s="220" t="s">
        <v>41</v>
      </c>
      <c r="D54" s="334"/>
      <c r="E54" s="334"/>
      <c r="F54" s="231">
        <v>0.11</v>
      </c>
      <c r="G54" s="221" t="s">
        <v>82</v>
      </c>
      <c r="H54" s="143"/>
      <c r="I54" s="143"/>
      <c r="J54" s="222"/>
      <c r="K54" s="85"/>
      <c r="L54" s="91"/>
      <c r="M54" s="123"/>
      <c r="N54" s="123"/>
      <c r="O54" s="123"/>
      <c r="P54" s="123"/>
      <c r="Q54" s="123"/>
    </row>
    <row r="55" spans="2:17" ht="15" customHeight="1" x14ac:dyDescent="0.35">
      <c r="B55" s="315"/>
      <c r="C55" s="220" t="s">
        <v>42</v>
      </c>
      <c r="D55" s="334"/>
      <c r="E55" s="334"/>
      <c r="F55" s="230">
        <v>0.13</v>
      </c>
      <c r="G55" s="221" t="s">
        <v>82</v>
      </c>
      <c r="H55" s="143"/>
      <c r="I55" s="143"/>
      <c r="J55" s="222"/>
      <c r="K55" s="85"/>
      <c r="L55" s="91"/>
      <c r="M55" s="123"/>
      <c r="N55" s="123"/>
      <c r="O55" s="123"/>
      <c r="P55" s="123"/>
      <c r="Q55" s="123"/>
    </row>
    <row r="56" spans="2:17" ht="15" customHeight="1" x14ac:dyDescent="0.35">
      <c r="B56" s="315"/>
      <c r="C56" s="150" t="s">
        <v>83</v>
      </c>
      <c r="D56" s="334"/>
      <c r="E56" s="334"/>
      <c r="F56" s="232"/>
      <c r="G56" s="193"/>
      <c r="H56" s="129"/>
      <c r="I56" s="129"/>
      <c r="J56" s="219"/>
      <c r="K56" s="85"/>
      <c r="L56" s="91"/>
      <c r="M56" s="123"/>
      <c r="N56" s="123"/>
      <c r="O56" s="123"/>
      <c r="P56" s="123"/>
      <c r="Q56" s="123"/>
    </row>
    <row r="57" spans="2:17" ht="15" customHeight="1" x14ac:dyDescent="0.35">
      <c r="B57" s="315"/>
      <c r="C57" s="220" t="s">
        <v>35</v>
      </c>
      <c r="D57" s="334"/>
      <c r="E57" s="334"/>
      <c r="F57" s="233">
        <v>0.25</v>
      </c>
      <c r="G57" s="221" t="s">
        <v>84</v>
      </c>
      <c r="H57" s="143"/>
      <c r="I57" s="143"/>
      <c r="J57" s="222"/>
      <c r="K57" s="85"/>
      <c r="L57" s="91"/>
      <c r="M57" s="123"/>
      <c r="N57" s="123"/>
      <c r="O57" s="123"/>
      <c r="P57" s="123"/>
      <c r="Q57" s="123"/>
    </row>
    <row r="58" spans="2:17" ht="15" customHeight="1" x14ac:dyDescent="0.35">
      <c r="B58" s="315"/>
      <c r="C58" s="220" t="s">
        <v>38</v>
      </c>
      <c r="D58" s="334"/>
      <c r="E58" s="334"/>
      <c r="F58" s="234">
        <v>0.25</v>
      </c>
      <c r="G58" s="221" t="s">
        <v>84</v>
      </c>
      <c r="H58" s="143"/>
      <c r="I58" s="143"/>
      <c r="J58" s="222"/>
      <c r="K58" s="85"/>
      <c r="L58" s="91"/>
      <c r="M58" s="123"/>
      <c r="N58" s="123"/>
      <c r="O58" s="123"/>
      <c r="P58" s="123"/>
      <c r="Q58" s="123"/>
    </row>
    <row r="59" spans="2:17" ht="15" customHeight="1" x14ac:dyDescent="0.35">
      <c r="B59" s="315"/>
      <c r="C59" s="220" t="s">
        <v>40</v>
      </c>
      <c r="D59" s="334"/>
      <c r="E59" s="334"/>
      <c r="F59" s="234">
        <v>0.25</v>
      </c>
      <c r="G59" s="221" t="s">
        <v>84</v>
      </c>
      <c r="H59" s="143"/>
      <c r="I59" s="143"/>
      <c r="J59" s="222"/>
      <c r="K59" s="85"/>
      <c r="L59" s="91"/>
      <c r="M59" s="123"/>
      <c r="N59" s="123"/>
      <c r="O59" s="123"/>
      <c r="P59" s="123"/>
      <c r="Q59" s="123"/>
    </row>
    <row r="60" spans="2:17" ht="15" customHeight="1" x14ac:dyDescent="0.35">
      <c r="B60" s="315"/>
      <c r="C60" s="220" t="s">
        <v>41</v>
      </c>
      <c r="D60" s="334"/>
      <c r="E60" s="334"/>
      <c r="F60" s="230">
        <v>0.25</v>
      </c>
      <c r="G60" s="221" t="s">
        <v>84</v>
      </c>
      <c r="H60" s="143"/>
      <c r="I60" s="143"/>
      <c r="J60" s="222"/>
      <c r="K60" s="85"/>
      <c r="L60" s="91"/>
      <c r="M60" s="123"/>
      <c r="N60" s="123"/>
      <c r="O60" s="123"/>
      <c r="P60" s="123"/>
      <c r="Q60" s="123"/>
    </row>
    <row r="61" spans="2:17" ht="15" customHeight="1" x14ac:dyDescent="0.35">
      <c r="B61" s="315"/>
      <c r="C61" s="220" t="s">
        <v>42</v>
      </c>
      <c r="D61" s="334"/>
      <c r="E61" s="334"/>
      <c r="F61" s="230">
        <v>0.25</v>
      </c>
      <c r="G61" s="221" t="s">
        <v>84</v>
      </c>
      <c r="H61" s="143"/>
      <c r="I61" s="143"/>
      <c r="J61" s="222"/>
      <c r="K61" s="85"/>
      <c r="L61" s="91"/>
      <c r="M61" s="123"/>
      <c r="N61" s="123"/>
      <c r="O61" s="123"/>
      <c r="P61" s="123"/>
      <c r="Q61" s="123"/>
    </row>
    <row r="62" spans="2:17" ht="15" customHeight="1" x14ac:dyDescent="0.35">
      <c r="B62" s="315"/>
      <c r="C62" s="150" t="s">
        <v>85</v>
      </c>
      <c r="D62" s="334"/>
      <c r="E62" s="334"/>
      <c r="F62" s="232"/>
      <c r="G62" s="193"/>
      <c r="H62" s="129"/>
      <c r="I62" s="129"/>
      <c r="J62" s="219"/>
      <c r="K62" s="85"/>
      <c r="L62" s="91"/>
      <c r="M62" s="123"/>
      <c r="N62" s="123"/>
      <c r="O62" s="123"/>
      <c r="P62" s="123"/>
      <c r="Q62" s="123"/>
    </row>
    <row r="63" spans="2:17" ht="15" customHeight="1" x14ac:dyDescent="0.35">
      <c r="B63" s="315"/>
      <c r="C63" s="220" t="s">
        <v>35</v>
      </c>
      <c r="D63" s="334"/>
      <c r="E63" s="334"/>
      <c r="F63" s="230">
        <v>0.1</v>
      </c>
      <c r="G63" s="221" t="s">
        <v>84</v>
      </c>
      <c r="H63" s="249" t="e">
        <f>wc!C83</f>
        <v>#DIV/0!</v>
      </c>
      <c r="I63" s="143"/>
      <c r="J63" s="222"/>
      <c r="K63" s="85"/>
      <c r="L63" s="91"/>
      <c r="M63" s="123"/>
      <c r="N63" s="123"/>
      <c r="O63" s="123"/>
      <c r="P63" s="123"/>
      <c r="Q63" s="123"/>
    </row>
    <row r="64" spans="2:17" ht="15" customHeight="1" x14ac:dyDescent="0.35">
      <c r="B64" s="315"/>
      <c r="C64" s="220" t="s">
        <v>38</v>
      </c>
      <c r="D64" s="334"/>
      <c r="E64" s="334"/>
      <c r="F64" s="230">
        <v>0.12</v>
      </c>
      <c r="G64" s="221" t="s">
        <v>84</v>
      </c>
      <c r="H64" s="249" t="e">
        <f>wc!D83</f>
        <v>#DIV/0!</v>
      </c>
      <c r="I64" s="143"/>
      <c r="J64" s="222"/>
      <c r="K64" s="85"/>
      <c r="L64" s="91"/>
      <c r="M64" s="123"/>
      <c r="N64" s="123"/>
      <c r="O64" s="123"/>
      <c r="P64" s="123"/>
      <c r="Q64" s="123"/>
    </row>
    <row r="65" spans="2:18" ht="15" customHeight="1" x14ac:dyDescent="0.35">
      <c r="B65" s="315"/>
      <c r="C65" s="220" t="s">
        <v>40</v>
      </c>
      <c r="D65" s="334"/>
      <c r="E65" s="334"/>
      <c r="F65" s="230">
        <v>0.14000000000000001</v>
      </c>
      <c r="G65" s="221" t="s">
        <v>84</v>
      </c>
      <c r="H65" s="249" t="e">
        <f>wc!E83</f>
        <v>#DIV/0!</v>
      </c>
      <c r="I65" s="143"/>
      <c r="J65" s="222"/>
      <c r="K65" s="85"/>
      <c r="L65" s="91"/>
      <c r="M65" s="123"/>
      <c r="N65" s="123"/>
      <c r="O65" s="123"/>
      <c r="P65" s="123"/>
      <c r="Q65" s="123"/>
    </row>
    <row r="66" spans="2:18" ht="15" customHeight="1" x14ac:dyDescent="0.35">
      <c r="B66" s="315"/>
      <c r="C66" s="220" t="s">
        <v>41</v>
      </c>
      <c r="D66" s="334"/>
      <c r="E66" s="334"/>
      <c r="F66" s="230">
        <v>0.16</v>
      </c>
      <c r="G66" s="221" t="s">
        <v>84</v>
      </c>
      <c r="H66" s="249" t="e">
        <f>wc!F83</f>
        <v>#DIV/0!</v>
      </c>
      <c r="I66" s="143"/>
      <c r="J66" s="222"/>
      <c r="K66" s="85"/>
      <c r="L66" s="91"/>
      <c r="M66" s="123"/>
      <c r="N66" s="123"/>
      <c r="O66" s="123"/>
      <c r="P66" s="123"/>
      <c r="Q66" s="123"/>
    </row>
    <row r="67" spans="2:18" ht="15" customHeight="1" x14ac:dyDescent="0.35">
      <c r="B67" s="315"/>
      <c r="C67" s="220" t="s">
        <v>42</v>
      </c>
      <c r="D67" s="334"/>
      <c r="E67" s="334"/>
      <c r="F67" s="230">
        <v>0.18</v>
      </c>
      <c r="G67" s="221" t="s">
        <v>84</v>
      </c>
      <c r="H67" s="249" t="e">
        <f>wc!G83</f>
        <v>#DIV/0!</v>
      </c>
      <c r="I67" s="143"/>
      <c r="J67" s="222"/>
      <c r="K67" s="85"/>
      <c r="L67" s="91"/>
      <c r="M67" s="123"/>
      <c r="N67" s="123"/>
      <c r="O67" s="123"/>
      <c r="P67" s="123"/>
      <c r="Q67" s="123"/>
    </row>
    <row r="68" spans="2:18" ht="15" customHeight="1" x14ac:dyDescent="0.35">
      <c r="B68" s="315"/>
      <c r="C68" s="151" t="s">
        <v>86</v>
      </c>
      <c r="D68" s="334"/>
      <c r="E68" s="334"/>
      <c r="F68" s="235"/>
      <c r="G68" s="223"/>
      <c r="H68" s="152"/>
      <c r="I68" s="152"/>
      <c r="J68" s="153"/>
      <c r="K68" s="85"/>
    </row>
    <row r="69" spans="2:18" ht="12.75" customHeight="1" x14ac:dyDescent="0.25">
      <c r="B69" s="315"/>
      <c r="C69" s="220" t="s">
        <v>87</v>
      </c>
      <c r="D69" s="334"/>
      <c r="E69" s="334"/>
      <c r="F69" s="230">
        <v>12</v>
      </c>
      <c r="G69" s="222" t="s">
        <v>65</v>
      </c>
      <c r="H69" s="143"/>
      <c r="I69" s="143"/>
      <c r="J69" s="144"/>
    </row>
    <row r="70" spans="2:18" ht="12.75" customHeight="1" x14ac:dyDescent="0.25">
      <c r="B70" s="315"/>
      <c r="C70" s="220" t="s">
        <v>88</v>
      </c>
      <c r="D70" s="334"/>
      <c r="E70" s="334"/>
      <c r="F70" s="230">
        <v>1.0049999999999999</v>
      </c>
      <c r="G70" s="222" t="s">
        <v>89</v>
      </c>
      <c r="H70" s="145"/>
      <c r="I70" s="145"/>
      <c r="J70" s="144"/>
    </row>
    <row r="71" spans="2:18" ht="15" customHeight="1" x14ac:dyDescent="0.25">
      <c r="B71" s="315"/>
      <c r="C71" s="220" t="s">
        <v>90</v>
      </c>
      <c r="D71" s="334"/>
      <c r="E71" s="334"/>
      <c r="F71" s="230" t="e">
        <f>100/I15/100</f>
        <v>#DIV/0!</v>
      </c>
      <c r="G71" s="222" t="s">
        <v>91</v>
      </c>
      <c r="H71" s="143"/>
      <c r="I71" s="143"/>
      <c r="J71" s="144"/>
    </row>
    <row r="72" spans="2:18" ht="15" customHeight="1" x14ac:dyDescent="0.25">
      <c r="B72" s="315"/>
      <c r="C72" s="220" t="s">
        <v>92</v>
      </c>
      <c r="D72" s="334"/>
      <c r="E72" s="334"/>
      <c r="F72" s="230">
        <v>0.01</v>
      </c>
      <c r="G72" s="222" t="s">
        <v>93</v>
      </c>
      <c r="H72" s="143"/>
      <c r="I72" s="143"/>
      <c r="J72" s="144"/>
      <c r="R72" s="103"/>
    </row>
    <row r="73" spans="2:18" ht="15" customHeight="1" x14ac:dyDescent="0.25">
      <c r="B73" s="315"/>
      <c r="C73" s="220" t="s">
        <v>94</v>
      </c>
      <c r="D73" s="334"/>
      <c r="E73" s="334"/>
      <c r="F73" s="230">
        <v>1.05</v>
      </c>
      <c r="G73" s="222" t="s">
        <v>55</v>
      </c>
      <c r="H73" s="143"/>
      <c r="I73" s="143"/>
      <c r="J73" s="144"/>
      <c r="R73" s="91"/>
    </row>
    <row r="74" spans="2:18" ht="15" customHeight="1" x14ac:dyDescent="0.25">
      <c r="B74" s="315"/>
      <c r="C74" s="220" t="s">
        <v>95</v>
      </c>
      <c r="D74" s="334"/>
      <c r="E74" s="334"/>
      <c r="F74" s="230">
        <v>0.5</v>
      </c>
      <c r="G74" s="144" t="s">
        <v>96</v>
      </c>
      <c r="H74" s="143"/>
      <c r="I74" s="143"/>
      <c r="J74" s="144"/>
      <c r="R74" s="91"/>
    </row>
    <row r="75" spans="2:18" ht="15" customHeight="1" x14ac:dyDescent="0.25">
      <c r="B75" s="315"/>
      <c r="C75" s="220" t="s">
        <v>97</v>
      </c>
      <c r="D75" s="334"/>
      <c r="E75" s="334"/>
      <c r="F75" s="230">
        <v>0.01</v>
      </c>
      <c r="G75" s="144" t="s">
        <v>98</v>
      </c>
      <c r="H75" s="143"/>
      <c r="I75" s="143"/>
      <c r="J75" s="144"/>
    </row>
    <row r="76" spans="2:18" ht="15" customHeight="1" x14ac:dyDescent="0.25">
      <c r="B76" s="315"/>
      <c r="C76" s="220" t="s">
        <v>99</v>
      </c>
      <c r="D76" s="334"/>
      <c r="E76" s="334"/>
      <c r="F76" s="230">
        <v>0.2</v>
      </c>
      <c r="G76" s="222" t="s">
        <v>33</v>
      </c>
      <c r="H76" s="143"/>
      <c r="I76" s="143"/>
      <c r="J76" s="144"/>
    </row>
    <row r="77" spans="2:18" ht="15" customHeight="1" x14ac:dyDescent="0.25">
      <c r="B77" s="315"/>
      <c r="C77" s="220" t="s">
        <v>100</v>
      </c>
      <c r="D77" s="334"/>
      <c r="E77" s="334"/>
      <c r="F77" s="230">
        <v>0</v>
      </c>
      <c r="G77" s="222"/>
      <c r="H77" s="143"/>
      <c r="I77" s="143"/>
      <c r="J77" s="144"/>
    </row>
    <row r="78" spans="2:18" ht="12.75" customHeight="1" x14ac:dyDescent="0.25">
      <c r="B78" s="315"/>
      <c r="C78" s="220" t="s">
        <v>101</v>
      </c>
      <c r="D78" s="334"/>
      <c r="E78" s="334"/>
      <c r="F78" s="230">
        <v>0.9</v>
      </c>
      <c r="G78" s="222" t="s">
        <v>82</v>
      </c>
      <c r="H78" s="143"/>
      <c r="I78" s="143"/>
      <c r="J78" s="144"/>
    </row>
    <row r="79" spans="2:18" ht="15" customHeight="1" x14ac:dyDescent="0.25">
      <c r="B79" s="315"/>
      <c r="C79" s="220" t="s">
        <v>102</v>
      </c>
      <c r="D79" s="334"/>
      <c r="E79" s="334"/>
      <c r="F79" s="230">
        <v>1.3</v>
      </c>
      <c r="G79" s="222" t="s">
        <v>82</v>
      </c>
      <c r="H79" s="143"/>
      <c r="I79" s="143"/>
      <c r="J79" s="144"/>
      <c r="Q79" s="218"/>
    </row>
    <row r="80" spans="2:18" ht="15" customHeight="1" x14ac:dyDescent="0.25">
      <c r="B80" s="315"/>
      <c r="C80" s="220" t="s">
        <v>103</v>
      </c>
      <c r="D80" s="334"/>
      <c r="E80" s="334"/>
      <c r="F80" s="230">
        <v>1.01</v>
      </c>
      <c r="G80" s="222" t="s">
        <v>104</v>
      </c>
      <c r="H80" s="143"/>
      <c r="I80" s="143"/>
      <c r="J80" s="144"/>
      <c r="Q80" s="218"/>
    </row>
    <row r="81" spans="2:17" ht="12.75" customHeight="1" x14ac:dyDescent="0.25">
      <c r="B81" s="315"/>
      <c r="C81" s="150" t="s">
        <v>105</v>
      </c>
      <c r="D81" s="334"/>
      <c r="E81" s="334"/>
      <c r="F81" s="236"/>
      <c r="G81" s="193"/>
      <c r="H81" s="129"/>
      <c r="I81" s="129"/>
      <c r="J81" s="154"/>
      <c r="Q81" s="218"/>
    </row>
    <row r="82" spans="2:17" ht="12.75" customHeight="1" x14ac:dyDescent="0.35">
      <c r="B82" s="315"/>
      <c r="C82" s="142" t="s">
        <v>70</v>
      </c>
      <c r="D82" s="334"/>
      <c r="E82" s="334"/>
      <c r="F82" s="230">
        <v>0.15</v>
      </c>
      <c r="G82" s="221"/>
      <c r="H82" s="143"/>
      <c r="I82" s="143"/>
      <c r="J82" s="144"/>
      <c r="Q82" s="218"/>
    </row>
    <row r="83" spans="2:17" ht="12.75" customHeight="1" x14ac:dyDescent="0.35">
      <c r="B83" s="315"/>
      <c r="C83" s="142" t="s">
        <v>71</v>
      </c>
      <c r="D83" s="334"/>
      <c r="E83" s="334"/>
      <c r="F83" s="230">
        <v>0.15</v>
      </c>
      <c r="G83" s="221"/>
      <c r="H83" s="143"/>
      <c r="I83" s="143"/>
      <c r="J83" s="144"/>
      <c r="Q83" s="218"/>
    </row>
    <row r="84" spans="2:17" ht="12.75" customHeight="1" x14ac:dyDescent="0.35">
      <c r="B84" s="315"/>
      <c r="C84" s="142" t="s">
        <v>106</v>
      </c>
      <c r="D84" s="334"/>
      <c r="E84" s="334"/>
      <c r="F84" s="230">
        <v>0.1</v>
      </c>
      <c r="G84" s="221"/>
      <c r="H84" s="143"/>
      <c r="I84" s="143"/>
      <c r="J84" s="144"/>
      <c r="Q84" s="218"/>
    </row>
    <row r="85" spans="2:17" ht="12.75" customHeight="1" x14ac:dyDescent="0.35">
      <c r="B85" s="315"/>
      <c r="C85" s="142" t="s">
        <v>73</v>
      </c>
      <c r="D85" s="334"/>
      <c r="E85" s="334"/>
      <c r="F85" s="230">
        <v>0</v>
      </c>
      <c r="G85" s="221"/>
      <c r="H85" s="143"/>
      <c r="I85" s="143"/>
      <c r="J85" s="144"/>
    </row>
    <row r="86" spans="2:17" ht="15" customHeight="1" x14ac:dyDescent="0.35">
      <c r="B86" s="315"/>
      <c r="C86" s="142" t="s">
        <v>74</v>
      </c>
      <c r="D86" s="334"/>
      <c r="E86" s="334"/>
      <c r="F86" s="230">
        <v>0.15</v>
      </c>
      <c r="G86" s="221"/>
      <c r="H86" s="143"/>
      <c r="I86" s="143"/>
      <c r="J86" s="144"/>
    </row>
    <row r="87" spans="2:17" ht="16.5" customHeight="1" x14ac:dyDescent="0.35">
      <c r="B87" s="315"/>
      <c r="C87" s="142" t="s">
        <v>107</v>
      </c>
      <c r="D87" s="334"/>
      <c r="E87" s="334"/>
      <c r="F87" s="230">
        <v>0.15</v>
      </c>
      <c r="G87" s="221"/>
      <c r="H87" s="143"/>
      <c r="I87" s="143"/>
      <c r="J87" s="144"/>
      <c r="N87" s="36"/>
    </row>
    <row r="88" spans="2:17" ht="12.75" customHeight="1" x14ac:dyDescent="0.35">
      <c r="B88" s="315"/>
      <c r="C88" s="142" t="s">
        <v>108</v>
      </c>
      <c r="D88" s="334"/>
      <c r="E88" s="334"/>
      <c r="F88" s="230">
        <v>0.1</v>
      </c>
      <c r="G88" s="221"/>
      <c r="H88" s="143"/>
      <c r="I88" s="143"/>
      <c r="J88" s="144"/>
    </row>
    <row r="89" spans="2:17" ht="17.25" customHeight="1" x14ac:dyDescent="0.35">
      <c r="B89" s="315"/>
      <c r="C89" s="142" t="s">
        <v>76</v>
      </c>
      <c r="D89" s="334"/>
      <c r="E89" s="334"/>
      <c r="F89" s="230">
        <v>0.15</v>
      </c>
      <c r="G89" s="221"/>
      <c r="H89" s="143"/>
      <c r="I89" s="143"/>
      <c r="J89" s="144"/>
    </row>
    <row r="90" spans="2:17" ht="12.75" customHeight="1" x14ac:dyDescent="0.35">
      <c r="B90" s="315"/>
      <c r="C90" s="142" t="s">
        <v>109</v>
      </c>
      <c r="D90" s="334"/>
      <c r="E90" s="334"/>
      <c r="F90" s="237">
        <v>0</v>
      </c>
      <c r="G90" s="221"/>
      <c r="H90" s="143"/>
      <c r="I90" s="143"/>
      <c r="J90" s="144"/>
      <c r="P90" s="104"/>
    </row>
    <row r="91" spans="2:17" ht="12.75" customHeight="1" x14ac:dyDescent="0.35">
      <c r="B91" s="315"/>
      <c r="C91" s="142" t="s">
        <v>78</v>
      </c>
      <c r="D91" s="334"/>
      <c r="E91" s="334"/>
      <c r="F91" s="237">
        <v>0.1</v>
      </c>
      <c r="G91" s="221"/>
      <c r="H91" s="143"/>
      <c r="I91" s="143"/>
      <c r="J91" s="144"/>
      <c r="P91" s="104"/>
    </row>
    <row r="92" spans="2:17" ht="12.75" customHeight="1" x14ac:dyDescent="0.35">
      <c r="B92" s="316"/>
      <c r="C92" s="142" t="s">
        <v>110</v>
      </c>
      <c r="D92" s="335"/>
      <c r="E92" s="335"/>
      <c r="F92" s="294">
        <v>0</v>
      </c>
      <c r="G92" s="221"/>
      <c r="H92" s="143"/>
      <c r="I92" s="143"/>
      <c r="J92" s="144"/>
    </row>
    <row r="97" spans="2:6" ht="22.95" customHeight="1" x14ac:dyDescent="0.4">
      <c r="B97" s="252" t="s">
        <v>111</v>
      </c>
    </row>
    <row r="98" spans="2:6" ht="26.55" customHeight="1" thickBot="1" x14ac:dyDescent="0.3">
      <c r="B98" s="253" t="s">
        <v>112</v>
      </c>
      <c r="C98" s="254" t="s">
        <v>113</v>
      </c>
      <c r="D98" s="253" t="s">
        <v>114</v>
      </c>
      <c r="E98" s="255" t="s">
        <v>115</v>
      </c>
      <c r="F98" s="255" t="s">
        <v>116</v>
      </c>
    </row>
    <row r="99" spans="2:6" x14ac:dyDescent="0.25">
      <c r="B99" s="311" t="s">
        <v>70</v>
      </c>
      <c r="C99" s="256">
        <v>1</v>
      </c>
      <c r="D99" s="257"/>
      <c r="E99" s="258"/>
      <c r="F99" s="331">
        <f>SUM(E99:E108)</f>
        <v>0</v>
      </c>
    </row>
    <row r="100" spans="2:6" x14ac:dyDescent="0.25">
      <c r="B100" s="309"/>
      <c r="C100" s="259">
        <v>2</v>
      </c>
      <c r="D100" s="226"/>
      <c r="E100" s="260"/>
      <c r="F100" s="324"/>
    </row>
    <row r="101" spans="2:6" x14ac:dyDescent="0.25">
      <c r="B101" s="309"/>
      <c r="C101" s="259">
        <v>3</v>
      </c>
      <c r="D101" s="226"/>
      <c r="E101" s="260"/>
      <c r="F101" s="324"/>
    </row>
    <row r="102" spans="2:6" x14ac:dyDescent="0.25">
      <c r="B102" s="309"/>
      <c r="C102" s="259">
        <v>4</v>
      </c>
      <c r="D102" s="226"/>
      <c r="E102" s="260"/>
      <c r="F102" s="324"/>
    </row>
    <row r="103" spans="2:6" x14ac:dyDescent="0.25">
      <c r="B103" s="309"/>
      <c r="C103" s="259">
        <v>5</v>
      </c>
      <c r="D103" s="226"/>
      <c r="E103" s="260"/>
      <c r="F103" s="324"/>
    </row>
    <row r="104" spans="2:6" x14ac:dyDescent="0.25">
      <c r="B104" s="309"/>
      <c r="C104" s="259">
        <v>6</v>
      </c>
      <c r="D104" s="226"/>
      <c r="E104" s="260"/>
      <c r="F104" s="324"/>
    </row>
    <row r="105" spans="2:6" x14ac:dyDescent="0.25">
      <c r="B105" s="309"/>
      <c r="C105" s="259">
        <v>7</v>
      </c>
      <c r="D105" s="226"/>
      <c r="E105" s="260"/>
      <c r="F105" s="324"/>
    </row>
    <row r="106" spans="2:6" x14ac:dyDescent="0.25">
      <c r="B106" s="309"/>
      <c r="C106" s="259">
        <v>8</v>
      </c>
      <c r="D106" s="226"/>
      <c r="E106" s="260"/>
      <c r="F106" s="324"/>
    </row>
    <row r="107" spans="2:6" x14ac:dyDescent="0.25">
      <c r="B107" s="309"/>
      <c r="C107" s="259">
        <v>9</v>
      </c>
      <c r="D107" s="226"/>
      <c r="E107" s="260"/>
      <c r="F107" s="324"/>
    </row>
    <row r="108" spans="2:6" ht="13.5" customHeight="1" thickBot="1" x14ac:dyDescent="0.3">
      <c r="B108" s="312"/>
      <c r="C108" s="261">
        <v>10</v>
      </c>
      <c r="D108" s="229"/>
      <c r="E108" s="262"/>
      <c r="F108" s="325"/>
    </row>
    <row r="109" spans="2:6" x14ac:dyDescent="0.25">
      <c r="B109" s="311" t="s">
        <v>71</v>
      </c>
      <c r="C109" s="256">
        <v>1</v>
      </c>
      <c r="D109" s="257"/>
      <c r="E109" s="258"/>
      <c r="F109" s="323">
        <f>SUM(E109:E118)</f>
        <v>0</v>
      </c>
    </row>
    <row r="110" spans="2:6" x14ac:dyDescent="0.25">
      <c r="B110" s="309"/>
      <c r="C110" s="259">
        <v>2</v>
      </c>
      <c r="D110" s="226"/>
      <c r="E110" s="260"/>
      <c r="F110" s="324"/>
    </row>
    <row r="111" spans="2:6" x14ac:dyDescent="0.25">
      <c r="B111" s="309"/>
      <c r="C111" s="259">
        <v>3</v>
      </c>
      <c r="D111" s="226"/>
      <c r="E111" s="260"/>
      <c r="F111" s="324"/>
    </row>
    <row r="112" spans="2:6" x14ac:dyDescent="0.25">
      <c r="B112" s="309"/>
      <c r="C112" s="259">
        <v>4</v>
      </c>
      <c r="D112" s="226"/>
      <c r="E112" s="260"/>
      <c r="F112" s="324"/>
    </row>
    <row r="113" spans="2:6" x14ac:dyDescent="0.25">
      <c r="B113" s="309"/>
      <c r="C113" s="259">
        <v>5</v>
      </c>
      <c r="D113" s="226"/>
      <c r="E113" s="260"/>
      <c r="F113" s="324"/>
    </row>
    <row r="114" spans="2:6" x14ac:dyDescent="0.25">
      <c r="B114" s="309"/>
      <c r="C114" s="259">
        <v>6</v>
      </c>
      <c r="D114" s="226"/>
      <c r="E114" s="260"/>
      <c r="F114" s="324"/>
    </row>
    <row r="115" spans="2:6" x14ac:dyDescent="0.25">
      <c r="B115" s="309"/>
      <c r="C115" s="259">
        <v>7</v>
      </c>
      <c r="D115" s="226"/>
      <c r="E115" s="260"/>
      <c r="F115" s="324"/>
    </row>
    <row r="116" spans="2:6" x14ac:dyDescent="0.25">
      <c r="B116" s="309"/>
      <c r="C116" s="259">
        <v>8</v>
      </c>
      <c r="D116" s="226"/>
      <c r="E116" s="260"/>
      <c r="F116" s="324"/>
    </row>
    <row r="117" spans="2:6" x14ac:dyDescent="0.25">
      <c r="B117" s="309"/>
      <c r="C117" s="259">
        <v>9</v>
      </c>
      <c r="D117" s="226"/>
      <c r="E117" s="260"/>
      <c r="F117" s="324"/>
    </row>
    <row r="118" spans="2:6" ht="13.5" customHeight="1" thickBot="1" x14ac:dyDescent="0.3">
      <c r="B118" s="312"/>
      <c r="C118" s="261">
        <v>10</v>
      </c>
      <c r="D118" s="229"/>
      <c r="E118" s="262"/>
      <c r="F118" s="325"/>
    </row>
    <row r="119" spans="2:6" x14ac:dyDescent="0.25">
      <c r="B119" s="311" t="s">
        <v>72</v>
      </c>
      <c r="C119" s="256">
        <v>1</v>
      </c>
      <c r="D119" s="257"/>
      <c r="E119" s="258"/>
      <c r="F119" s="323">
        <f>SUM(E119:E128)</f>
        <v>0</v>
      </c>
    </row>
    <row r="120" spans="2:6" x14ac:dyDescent="0.25">
      <c r="B120" s="309"/>
      <c r="C120" s="259">
        <v>2</v>
      </c>
      <c r="D120" s="226"/>
      <c r="E120" s="260"/>
      <c r="F120" s="324"/>
    </row>
    <row r="121" spans="2:6" x14ac:dyDescent="0.25">
      <c r="B121" s="309"/>
      <c r="C121" s="259">
        <v>3</v>
      </c>
      <c r="D121" s="226"/>
      <c r="E121" s="260"/>
      <c r="F121" s="324"/>
    </row>
    <row r="122" spans="2:6" ht="12.75" customHeight="1" x14ac:dyDescent="0.25">
      <c r="B122" s="309"/>
      <c r="C122" s="259">
        <v>4</v>
      </c>
      <c r="D122" s="226"/>
      <c r="E122" s="260"/>
      <c r="F122" s="324"/>
    </row>
    <row r="123" spans="2:6" ht="12.75" customHeight="1" x14ac:dyDescent="0.25">
      <c r="B123" s="309"/>
      <c r="C123" s="259">
        <v>5</v>
      </c>
      <c r="D123" s="226"/>
      <c r="E123" s="260"/>
      <c r="F123" s="324"/>
    </row>
    <row r="124" spans="2:6" ht="12.75" customHeight="1" x14ac:dyDescent="0.25">
      <c r="B124" s="309"/>
      <c r="C124" s="259">
        <v>6</v>
      </c>
      <c r="D124" s="226"/>
      <c r="E124" s="260"/>
      <c r="F124" s="324"/>
    </row>
    <row r="125" spans="2:6" ht="12.75" customHeight="1" x14ac:dyDescent="0.25">
      <c r="B125" s="309"/>
      <c r="C125" s="259">
        <v>7</v>
      </c>
      <c r="D125" s="226"/>
      <c r="E125" s="260"/>
      <c r="F125" s="324"/>
    </row>
    <row r="126" spans="2:6" ht="12.75" customHeight="1" x14ac:dyDescent="0.25">
      <c r="B126" s="309"/>
      <c r="C126" s="259">
        <v>8</v>
      </c>
      <c r="D126" s="226"/>
      <c r="E126" s="260"/>
      <c r="F126" s="324"/>
    </row>
    <row r="127" spans="2:6" x14ac:dyDescent="0.25">
      <c r="B127" s="309"/>
      <c r="C127" s="259">
        <v>9</v>
      </c>
      <c r="D127" s="226"/>
      <c r="E127" s="260"/>
      <c r="F127" s="324"/>
    </row>
    <row r="128" spans="2:6" ht="13.5" customHeight="1" thickBot="1" x14ac:dyDescent="0.3">
      <c r="B128" s="312"/>
      <c r="C128" s="261">
        <v>10</v>
      </c>
      <c r="D128" s="229"/>
      <c r="E128" s="262"/>
      <c r="F128" s="325"/>
    </row>
    <row r="129" spans="2:6" x14ac:dyDescent="0.25">
      <c r="B129" s="313" t="s">
        <v>73</v>
      </c>
      <c r="C129" s="256">
        <v>1</v>
      </c>
      <c r="D129" s="257"/>
      <c r="E129" s="258"/>
      <c r="F129" s="323">
        <f>SUM(E129:E131)</f>
        <v>0</v>
      </c>
    </row>
    <row r="130" spans="2:6" x14ac:dyDescent="0.25">
      <c r="B130" s="309"/>
      <c r="C130" s="259">
        <v>2</v>
      </c>
      <c r="D130" s="226"/>
      <c r="E130" s="260"/>
      <c r="F130" s="324"/>
    </row>
    <row r="131" spans="2:6" ht="13.5" customHeight="1" thickBot="1" x14ac:dyDescent="0.3">
      <c r="B131" s="309"/>
      <c r="C131" s="259">
        <v>3</v>
      </c>
      <c r="D131" s="226"/>
      <c r="E131" s="260"/>
      <c r="F131" s="325"/>
    </row>
    <row r="132" spans="2:6" x14ac:dyDescent="0.25">
      <c r="B132" s="305" t="s">
        <v>74</v>
      </c>
      <c r="C132" s="263">
        <v>1</v>
      </c>
      <c r="D132" s="264"/>
      <c r="E132" s="265"/>
      <c r="F132" s="321">
        <f>SUM(E132:E140)</f>
        <v>0</v>
      </c>
    </row>
    <row r="133" spans="2:6" x14ac:dyDescent="0.25">
      <c r="B133" s="306"/>
      <c r="C133" s="266">
        <v>2</v>
      </c>
      <c r="D133" s="267"/>
      <c r="E133" s="268"/>
      <c r="F133" s="304"/>
    </row>
    <row r="134" spans="2:6" x14ac:dyDescent="0.25">
      <c r="B134" s="306"/>
      <c r="C134" s="266">
        <v>3</v>
      </c>
      <c r="D134" s="267"/>
      <c r="E134" s="268"/>
      <c r="F134" s="304"/>
    </row>
    <row r="135" spans="2:6" x14ac:dyDescent="0.25">
      <c r="B135" s="306"/>
      <c r="C135" s="266">
        <v>4</v>
      </c>
      <c r="D135" s="267"/>
      <c r="E135" s="268"/>
      <c r="F135" s="304"/>
    </row>
    <row r="136" spans="2:6" x14ac:dyDescent="0.25">
      <c r="B136" s="306"/>
      <c r="C136" s="266">
        <v>5</v>
      </c>
      <c r="D136" s="267"/>
      <c r="E136" s="268"/>
      <c r="F136" s="304"/>
    </row>
    <row r="137" spans="2:6" x14ac:dyDescent="0.25">
      <c r="B137" s="306"/>
      <c r="C137" s="266">
        <v>6</v>
      </c>
      <c r="D137" s="267"/>
      <c r="E137" s="268"/>
      <c r="F137" s="304"/>
    </row>
    <row r="138" spans="2:6" x14ac:dyDescent="0.25">
      <c r="B138" s="306"/>
      <c r="C138" s="266">
        <v>7</v>
      </c>
      <c r="D138" s="267"/>
      <c r="E138" s="268"/>
      <c r="F138" s="304"/>
    </row>
    <row r="139" spans="2:6" x14ac:dyDescent="0.25">
      <c r="B139" s="306"/>
      <c r="C139" s="269">
        <v>8</v>
      </c>
      <c r="D139" s="270"/>
      <c r="E139" s="271"/>
      <c r="F139" s="304"/>
    </row>
    <row r="140" spans="2:6" ht="13.5" customHeight="1" thickBot="1" x14ac:dyDescent="0.3">
      <c r="B140" s="307"/>
      <c r="C140" s="272">
        <v>9</v>
      </c>
      <c r="D140" s="273"/>
      <c r="E140" s="274"/>
      <c r="F140" s="322"/>
    </row>
    <row r="141" spans="2:6" x14ac:dyDescent="0.25">
      <c r="B141" s="311" t="s">
        <v>117</v>
      </c>
      <c r="C141" s="275">
        <v>1</v>
      </c>
      <c r="D141" s="276"/>
      <c r="E141" s="277"/>
      <c r="F141" s="323">
        <f>SUM(E141:E150)</f>
        <v>0</v>
      </c>
    </row>
    <row r="142" spans="2:6" x14ac:dyDescent="0.25">
      <c r="B142" s="309"/>
      <c r="C142" s="259">
        <v>2</v>
      </c>
      <c r="D142" s="226"/>
      <c r="E142" s="260"/>
      <c r="F142" s="324"/>
    </row>
    <row r="143" spans="2:6" x14ac:dyDescent="0.25">
      <c r="B143" s="309"/>
      <c r="C143" s="259">
        <v>3</v>
      </c>
      <c r="D143" s="226"/>
      <c r="E143" s="260"/>
      <c r="F143" s="324"/>
    </row>
    <row r="144" spans="2:6" x14ac:dyDescent="0.25">
      <c r="B144" s="309"/>
      <c r="C144" s="259">
        <v>4</v>
      </c>
      <c r="D144" s="226"/>
      <c r="E144" s="260"/>
      <c r="F144" s="324"/>
    </row>
    <row r="145" spans="2:6" x14ac:dyDescent="0.25">
      <c r="B145" s="309"/>
      <c r="C145" s="259">
        <v>5</v>
      </c>
      <c r="D145" s="226"/>
      <c r="E145" s="260"/>
      <c r="F145" s="324"/>
    </row>
    <row r="146" spans="2:6" x14ac:dyDescent="0.25">
      <c r="B146" s="309"/>
      <c r="C146" s="259">
        <v>6</v>
      </c>
      <c r="D146" s="226"/>
      <c r="E146" s="260"/>
      <c r="F146" s="324"/>
    </row>
    <row r="147" spans="2:6" x14ac:dyDescent="0.25">
      <c r="B147" s="309"/>
      <c r="C147" s="259">
        <v>7</v>
      </c>
      <c r="D147" s="226"/>
      <c r="E147" s="260"/>
      <c r="F147" s="324"/>
    </row>
    <row r="148" spans="2:6" x14ac:dyDescent="0.25">
      <c r="B148" s="309"/>
      <c r="C148" s="259">
        <v>8</v>
      </c>
      <c r="D148" s="226"/>
      <c r="E148" s="260"/>
      <c r="F148" s="324"/>
    </row>
    <row r="149" spans="2:6" x14ac:dyDescent="0.25">
      <c r="B149" s="309"/>
      <c r="C149" s="259">
        <v>9</v>
      </c>
      <c r="D149" s="226"/>
      <c r="E149" s="260"/>
      <c r="F149" s="324"/>
    </row>
    <row r="150" spans="2:6" ht="13.5" customHeight="1" thickBot="1" x14ac:dyDescent="0.3">
      <c r="B150" s="312"/>
      <c r="C150" s="278">
        <v>10</v>
      </c>
      <c r="D150" s="279"/>
      <c r="E150" s="280"/>
      <c r="F150" s="325"/>
    </row>
    <row r="151" spans="2:6" x14ac:dyDescent="0.25">
      <c r="B151" s="311" t="s">
        <v>118</v>
      </c>
      <c r="C151" s="281">
        <v>1</v>
      </c>
      <c r="D151" s="257"/>
      <c r="E151" s="282"/>
      <c r="F151" s="328">
        <f>SUM(E151:E160)</f>
        <v>0</v>
      </c>
    </row>
    <row r="152" spans="2:6" x14ac:dyDescent="0.25">
      <c r="B152" s="309"/>
      <c r="C152" s="283">
        <v>2</v>
      </c>
      <c r="D152" s="226"/>
      <c r="E152" s="284"/>
      <c r="F152" s="309"/>
    </row>
    <row r="153" spans="2:6" x14ac:dyDescent="0.25">
      <c r="B153" s="309"/>
      <c r="C153" s="283">
        <v>3</v>
      </c>
      <c r="D153" s="226"/>
      <c r="E153" s="284"/>
      <c r="F153" s="309"/>
    </row>
    <row r="154" spans="2:6" x14ac:dyDescent="0.25">
      <c r="B154" s="309"/>
      <c r="C154" s="283">
        <v>4</v>
      </c>
      <c r="D154" s="226"/>
      <c r="E154" s="284"/>
      <c r="F154" s="309"/>
    </row>
    <row r="155" spans="2:6" x14ac:dyDescent="0.25">
      <c r="B155" s="309"/>
      <c r="C155" s="283">
        <v>5</v>
      </c>
      <c r="D155" s="226"/>
      <c r="E155" s="284"/>
      <c r="F155" s="309"/>
    </row>
    <row r="156" spans="2:6" x14ac:dyDescent="0.25">
      <c r="B156" s="309"/>
      <c r="C156" s="283">
        <v>6</v>
      </c>
      <c r="D156" s="226"/>
      <c r="E156" s="284"/>
      <c r="F156" s="309"/>
    </row>
    <row r="157" spans="2:6" x14ac:dyDescent="0.25">
      <c r="B157" s="309"/>
      <c r="C157" s="283">
        <v>7</v>
      </c>
      <c r="D157" s="226"/>
      <c r="E157" s="284"/>
      <c r="F157" s="309"/>
    </row>
    <row r="158" spans="2:6" x14ac:dyDescent="0.25">
      <c r="B158" s="309"/>
      <c r="C158" s="283">
        <v>8</v>
      </c>
      <c r="D158" s="226"/>
      <c r="E158" s="284"/>
      <c r="F158" s="309"/>
    </row>
    <row r="159" spans="2:6" x14ac:dyDescent="0.25">
      <c r="B159" s="309"/>
      <c r="C159" s="283">
        <v>9</v>
      </c>
      <c r="D159" s="226"/>
      <c r="E159" s="284"/>
      <c r="F159" s="309"/>
    </row>
    <row r="160" spans="2:6" ht="13.5" customHeight="1" thickBot="1" x14ac:dyDescent="0.3">
      <c r="B160" s="312"/>
      <c r="C160" s="285">
        <v>10</v>
      </c>
      <c r="D160" s="229"/>
      <c r="E160" s="286"/>
      <c r="F160" s="312"/>
    </row>
    <row r="161" spans="2:6" x14ac:dyDescent="0.25">
      <c r="B161" s="320" t="s">
        <v>76</v>
      </c>
      <c r="C161" s="281">
        <v>1</v>
      </c>
      <c r="D161" s="257"/>
      <c r="E161" s="258"/>
      <c r="F161" s="326">
        <f>SUM(E161:E170)</f>
        <v>0</v>
      </c>
    </row>
    <row r="162" spans="2:6" x14ac:dyDescent="0.25">
      <c r="B162" s="309"/>
      <c r="C162" s="283">
        <v>2</v>
      </c>
      <c r="D162" s="226"/>
      <c r="E162" s="260"/>
      <c r="F162" s="324"/>
    </row>
    <row r="163" spans="2:6" x14ac:dyDescent="0.25">
      <c r="B163" s="309"/>
      <c r="C163" s="283">
        <v>3</v>
      </c>
      <c r="D163" s="226"/>
      <c r="E163" s="260"/>
      <c r="F163" s="324"/>
    </row>
    <row r="164" spans="2:6" x14ac:dyDescent="0.25">
      <c r="B164" s="309"/>
      <c r="C164" s="283">
        <v>4</v>
      </c>
      <c r="D164" s="226"/>
      <c r="E164" s="260"/>
      <c r="F164" s="324"/>
    </row>
    <row r="165" spans="2:6" x14ac:dyDescent="0.25">
      <c r="B165" s="309"/>
      <c r="C165" s="283">
        <v>5</v>
      </c>
      <c r="D165" s="226"/>
      <c r="E165" s="260"/>
      <c r="F165" s="324"/>
    </row>
    <row r="166" spans="2:6" x14ac:dyDescent="0.25">
      <c r="B166" s="309"/>
      <c r="C166" s="283">
        <v>6</v>
      </c>
      <c r="D166" s="226"/>
      <c r="E166" s="260"/>
      <c r="F166" s="324"/>
    </row>
    <row r="167" spans="2:6" x14ac:dyDescent="0.25">
      <c r="B167" s="309"/>
      <c r="C167" s="283">
        <v>7</v>
      </c>
      <c r="D167" s="226"/>
      <c r="E167" s="260"/>
      <c r="F167" s="324"/>
    </row>
    <row r="168" spans="2:6" x14ac:dyDescent="0.25">
      <c r="B168" s="309"/>
      <c r="C168" s="283">
        <v>8</v>
      </c>
      <c r="D168" s="226"/>
      <c r="E168" s="260"/>
      <c r="F168" s="324"/>
    </row>
    <row r="169" spans="2:6" x14ac:dyDescent="0.25">
      <c r="B169" s="309"/>
      <c r="C169" s="283">
        <v>9</v>
      </c>
      <c r="D169" s="226"/>
      <c r="E169" s="260"/>
      <c r="F169" s="324"/>
    </row>
    <row r="170" spans="2:6" ht="13.5" customHeight="1" thickBot="1" x14ac:dyDescent="0.3">
      <c r="B170" s="312"/>
      <c r="C170" s="285">
        <v>10</v>
      </c>
      <c r="D170" s="229"/>
      <c r="E170" s="262"/>
      <c r="F170" s="327"/>
    </row>
    <row r="171" spans="2:6" x14ac:dyDescent="0.25">
      <c r="B171" s="313" t="s">
        <v>77</v>
      </c>
      <c r="C171" s="275">
        <v>1</v>
      </c>
      <c r="D171" s="276"/>
      <c r="E171" s="277"/>
      <c r="F171" s="326">
        <f>SUM(E171:E179)</f>
        <v>0</v>
      </c>
    </row>
    <row r="172" spans="2:6" x14ac:dyDescent="0.25">
      <c r="B172" s="309"/>
      <c r="C172" s="259">
        <v>2</v>
      </c>
      <c r="D172" s="226"/>
      <c r="E172" s="260"/>
      <c r="F172" s="324"/>
    </row>
    <row r="173" spans="2:6" x14ac:dyDescent="0.25">
      <c r="B173" s="309"/>
      <c r="C173" s="259">
        <v>3</v>
      </c>
      <c r="D173" s="226"/>
      <c r="E173" s="260"/>
      <c r="F173" s="324"/>
    </row>
    <row r="174" spans="2:6" x14ac:dyDescent="0.25">
      <c r="B174" s="309"/>
      <c r="C174" s="259">
        <v>4</v>
      </c>
      <c r="D174" s="226"/>
      <c r="E174" s="260"/>
      <c r="F174" s="324"/>
    </row>
    <row r="175" spans="2:6" x14ac:dyDescent="0.25">
      <c r="B175" s="309"/>
      <c r="C175" s="259">
        <v>5</v>
      </c>
      <c r="D175" s="226"/>
      <c r="E175" s="260"/>
      <c r="F175" s="324"/>
    </row>
    <row r="176" spans="2:6" x14ac:dyDescent="0.25">
      <c r="B176" s="309"/>
      <c r="C176" s="259">
        <v>6</v>
      </c>
      <c r="D176" s="226"/>
      <c r="E176" s="260"/>
      <c r="F176" s="324"/>
    </row>
    <row r="177" spans="2:6" x14ac:dyDescent="0.25">
      <c r="B177" s="309"/>
      <c r="C177" s="259">
        <v>7</v>
      </c>
      <c r="D177" s="226"/>
      <c r="E177" s="260"/>
      <c r="F177" s="324"/>
    </row>
    <row r="178" spans="2:6" x14ac:dyDescent="0.25">
      <c r="B178" s="309"/>
      <c r="C178" s="259">
        <v>8</v>
      </c>
      <c r="D178" s="226"/>
      <c r="E178" s="260"/>
      <c r="F178" s="324"/>
    </row>
    <row r="179" spans="2:6" ht="13.5" customHeight="1" thickBot="1" x14ac:dyDescent="0.3">
      <c r="B179" s="309"/>
      <c r="C179" s="278">
        <v>9</v>
      </c>
      <c r="D179" s="279"/>
      <c r="E179" s="280"/>
      <c r="F179" s="327"/>
    </row>
    <row r="180" spans="2:6" x14ac:dyDescent="0.25">
      <c r="B180" s="305" t="s">
        <v>78</v>
      </c>
      <c r="C180" s="263">
        <v>1</v>
      </c>
      <c r="D180" s="264"/>
      <c r="E180" s="287"/>
      <c r="F180" s="326">
        <f>SUM(E180:E189)</f>
        <v>0</v>
      </c>
    </row>
    <row r="181" spans="2:6" x14ac:dyDescent="0.25">
      <c r="B181" s="306"/>
      <c r="C181" s="269">
        <v>2</v>
      </c>
      <c r="D181" s="270"/>
      <c r="E181" s="288"/>
      <c r="F181" s="324"/>
    </row>
    <row r="182" spans="2:6" x14ac:dyDescent="0.25">
      <c r="B182" s="306"/>
      <c r="C182" s="269">
        <v>3</v>
      </c>
      <c r="D182" s="270"/>
      <c r="E182" s="288"/>
      <c r="F182" s="324"/>
    </row>
    <row r="183" spans="2:6" x14ac:dyDescent="0.25">
      <c r="B183" s="306"/>
      <c r="C183" s="269">
        <v>4</v>
      </c>
      <c r="D183" s="270"/>
      <c r="E183" s="288"/>
      <c r="F183" s="324"/>
    </row>
    <row r="184" spans="2:6" x14ac:dyDescent="0.25">
      <c r="B184" s="306"/>
      <c r="C184" s="269">
        <v>5</v>
      </c>
      <c r="D184" s="270"/>
      <c r="E184" s="288"/>
      <c r="F184" s="324"/>
    </row>
    <row r="185" spans="2:6" x14ac:dyDescent="0.25">
      <c r="B185" s="306"/>
      <c r="C185" s="269">
        <v>6</v>
      </c>
      <c r="D185" s="270"/>
      <c r="E185" s="288"/>
      <c r="F185" s="324"/>
    </row>
    <row r="186" spans="2:6" x14ac:dyDescent="0.25">
      <c r="B186" s="306"/>
      <c r="C186" s="269">
        <v>7</v>
      </c>
      <c r="D186" s="270"/>
      <c r="E186" s="288"/>
      <c r="F186" s="324"/>
    </row>
    <row r="187" spans="2:6" x14ac:dyDescent="0.25">
      <c r="B187" s="306"/>
      <c r="C187" s="269">
        <v>8</v>
      </c>
      <c r="D187" s="270"/>
      <c r="E187" s="288"/>
      <c r="F187" s="324"/>
    </row>
    <row r="188" spans="2:6" x14ac:dyDescent="0.25">
      <c r="B188" s="306"/>
      <c r="C188" s="269">
        <v>9</v>
      </c>
      <c r="D188" s="270"/>
      <c r="E188" s="288"/>
      <c r="F188" s="324"/>
    </row>
    <row r="189" spans="2:6" ht="13.5" customHeight="1" thickBot="1" x14ac:dyDescent="0.3">
      <c r="B189" s="307"/>
      <c r="C189" s="272">
        <v>10</v>
      </c>
      <c r="D189" s="273"/>
      <c r="E189" s="289"/>
      <c r="F189" s="327"/>
    </row>
    <row r="190" spans="2:6" x14ac:dyDescent="0.25">
      <c r="B190" s="305" t="s">
        <v>79</v>
      </c>
      <c r="C190" s="263">
        <v>1</v>
      </c>
      <c r="D190" s="264"/>
      <c r="E190" s="287"/>
      <c r="F190" s="326">
        <f>SUM(E190:E199)</f>
        <v>0</v>
      </c>
    </row>
    <row r="191" spans="2:6" x14ac:dyDescent="0.25">
      <c r="B191" s="306"/>
      <c r="C191" s="269">
        <v>2</v>
      </c>
      <c r="D191" s="270"/>
      <c r="E191" s="288"/>
      <c r="F191" s="324"/>
    </row>
    <row r="192" spans="2:6" x14ac:dyDescent="0.25">
      <c r="B192" s="306"/>
      <c r="C192" s="269">
        <v>3</v>
      </c>
      <c r="D192" s="270"/>
      <c r="E192" s="288"/>
      <c r="F192" s="324"/>
    </row>
    <row r="193" spans="2:6" x14ac:dyDescent="0.25">
      <c r="B193" s="306"/>
      <c r="C193" s="269">
        <v>4</v>
      </c>
      <c r="D193" s="270"/>
      <c r="E193" s="288"/>
      <c r="F193" s="324"/>
    </row>
    <row r="194" spans="2:6" x14ac:dyDescent="0.25">
      <c r="B194" s="306"/>
      <c r="C194" s="269">
        <v>5</v>
      </c>
      <c r="D194" s="270"/>
      <c r="E194" s="288"/>
      <c r="F194" s="324"/>
    </row>
    <row r="195" spans="2:6" x14ac:dyDescent="0.25">
      <c r="B195" s="306"/>
      <c r="C195" s="269">
        <v>6</v>
      </c>
      <c r="D195" s="270"/>
      <c r="E195" s="288"/>
      <c r="F195" s="324"/>
    </row>
    <row r="196" spans="2:6" x14ac:dyDescent="0.25">
      <c r="B196" s="306"/>
      <c r="C196" s="269">
        <v>7</v>
      </c>
      <c r="D196" s="270"/>
      <c r="E196" s="288"/>
      <c r="F196" s="324"/>
    </row>
    <row r="197" spans="2:6" x14ac:dyDescent="0.25">
      <c r="B197" s="306"/>
      <c r="C197" s="269">
        <v>8</v>
      </c>
      <c r="D197" s="270"/>
      <c r="E197" s="288"/>
      <c r="F197" s="324"/>
    </row>
    <row r="198" spans="2:6" x14ac:dyDescent="0.25">
      <c r="B198" s="306"/>
      <c r="C198" s="269">
        <v>9</v>
      </c>
      <c r="D198" s="270"/>
      <c r="E198" s="288"/>
      <c r="F198" s="324"/>
    </row>
    <row r="199" spans="2:6" ht="13.5" customHeight="1" thickBot="1" x14ac:dyDescent="0.3">
      <c r="B199" s="307"/>
      <c r="C199" s="272">
        <v>10</v>
      </c>
      <c r="D199" s="273"/>
      <c r="E199" s="289"/>
      <c r="F199" s="327"/>
    </row>
  </sheetData>
  <mergeCells count="34">
    <mergeCell ref="F109:F118"/>
    <mergeCell ref="M31:Q31"/>
    <mergeCell ref="F180:F189"/>
    <mergeCell ref="F190:F199"/>
    <mergeCell ref="B99:B108"/>
    <mergeCell ref="B37:B46"/>
    <mergeCell ref="B27:B35"/>
    <mergeCell ref="F171:F179"/>
    <mergeCell ref="B171:B179"/>
    <mergeCell ref="I3:J3"/>
    <mergeCell ref="B161:B170"/>
    <mergeCell ref="F132:F140"/>
    <mergeCell ref="F141:F150"/>
    <mergeCell ref="B151:B160"/>
    <mergeCell ref="F129:F131"/>
    <mergeCell ref="B119:B128"/>
    <mergeCell ref="B109:B118"/>
    <mergeCell ref="F161:F170"/>
    <mergeCell ref="F151:F160"/>
    <mergeCell ref="D50:E50"/>
    <mergeCell ref="F119:F128"/>
    <mergeCell ref="F99:F108"/>
    <mergeCell ref="D51:E92"/>
    <mergeCell ref="B23:B25"/>
    <mergeCell ref="B17:B21"/>
    <mergeCell ref="A25:A26"/>
    <mergeCell ref="B180:B189"/>
    <mergeCell ref="B190:B199"/>
    <mergeCell ref="B4:B9"/>
    <mergeCell ref="B132:B140"/>
    <mergeCell ref="B141:B150"/>
    <mergeCell ref="B129:B131"/>
    <mergeCell ref="B50:B92"/>
    <mergeCell ref="B11:B15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view="pageBreakPreview" zoomScale="55" zoomScaleNormal="55" zoomScaleSheetLayoutView="55" workbookViewId="0">
      <selection activeCell="C8" sqref="C8"/>
    </sheetView>
  </sheetViews>
  <sheetFormatPr defaultColWidth="21.77734375" defaultRowHeight="25.8" x14ac:dyDescent="0.5"/>
  <cols>
    <col min="1" max="1" width="52.21875" style="2" customWidth="1"/>
    <col min="2" max="2" width="20.77734375" style="2" customWidth="1"/>
    <col min="3" max="3" width="23.77734375" style="2" customWidth="1"/>
    <col min="4" max="4" width="25.44140625" style="2" customWidth="1"/>
    <col min="5" max="5" width="29.21875" style="2" bestFit="1" customWidth="1"/>
    <col min="6" max="6" width="33.77734375" style="2" bestFit="1" customWidth="1"/>
    <col min="7" max="7" width="38.44140625" style="2" bestFit="1" customWidth="1"/>
    <col min="8" max="8" width="21.77734375" style="2" customWidth="1"/>
    <col min="9" max="16384" width="21.77734375" style="2"/>
  </cols>
  <sheetData>
    <row r="1" spans="1:13" x14ac:dyDescent="0.5">
      <c r="A1" s="339"/>
      <c r="B1" s="340"/>
      <c r="C1" s="340"/>
      <c r="D1" s="340"/>
      <c r="E1" s="340"/>
      <c r="F1" s="340"/>
      <c r="G1" s="340"/>
    </row>
    <row r="2" spans="1:13" x14ac:dyDescent="0.5">
      <c r="A2" s="339"/>
      <c r="B2" s="340"/>
      <c r="C2" s="340"/>
      <c r="D2" s="340"/>
      <c r="E2" s="340"/>
      <c r="F2" s="340"/>
      <c r="G2" s="340"/>
    </row>
    <row r="3" spans="1:13" ht="49.5" customHeight="1" x14ac:dyDescent="0.55000000000000004">
      <c r="A3" s="346" t="s">
        <v>119</v>
      </c>
      <c r="B3" s="340"/>
      <c r="C3" s="340"/>
      <c r="D3" s="340"/>
      <c r="E3" s="340"/>
      <c r="F3" s="340"/>
      <c r="G3" s="340"/>
      <c r="H3" s="137"/>
      <c r="I3" s="137"/>
      <c r="J3" s="137"/>
      <c r="K3" s="137"/>
    </row>
    <row r="4" spans="1:13" ht="57" customHeight="1" x14ac:dyDescent="0.55000000000000004">
      <c r="A4" s="345" t="s">
        <v>120</v>
      </c>
      <c r="B4" s="335"/>
      <c r="C4" s="335"/>
      <c r="D4" s="335"/>
      <c r="E4" s="335"/>
      <c r="F4" s="335"/>
      <c r="G4" s="335"/>
      <c r="H4" s="146"/>
      <c r="I4" s="146"/>
      <c r="J4" s="146"/>
      <c r="K4" s="146"/>
    </row>
    <row r="5" spans="1:13" ht="37.5" customHeight="1" x14ac:dyDescent="0.5">
      <c r="A5" s="350" t="s">
        <v>121</v>
      </c>
      <c r="B5" s="341" t="s">
        <v>122</v>
      </c>
      <c r="C5" s="100" t="str">
        <f>Assumptions.1!J17</f>
        <v>Estimated</v>
      </c>
      <c r="D5" s="100" t="str">
        <f>Assumptions.1!J18</f>
        <v>Projected</v>
      </c>
      <c r="E5" s="100" t="str">
        <f>Assumptions.1!J19</f>
        <v>Projected</v>
      </c>
      <c r="F5" s="100" t="str">
        <f>Assumptions.1!J20</f>
        <v>Projected</v>
      </c>
      <c r="G5" s="100" t="str">
        <f>Assumptions.1!J21</f>
        <v>Projected</v>
      </c>
    </row>
    <row r="6" spans="1:13" s="3" customFormat="1" ht="75.75" customHeight="1" thickBot="1" x14ac:dyDescent="0.55000000000000004">
      <c r="A6" s="342"/>
      <c r="B6" s="342"/>
      <c r="C6" s="130">
        <f>Assumptions.1!I17</f>
        <v>0</v>
      </c>
      <c r="D6" s="101">
        <f>Assumptions.1!I18</f>
        <v>0</v>
      </c>
      <c r="E6" s="101">
        <f>Assumptions.1!I19</f>
        <v>0</v>
      </c>
      <c r="F6" s="101">
        <f>Assumptions.1!I20</f>
        <v>0</v>
      </c>
      <c r="G6" s="101">
        <f>Assumptions.1!I21</f>
        <v>0</v>
      </c>
    </row>
    <row r="7" spans="1:13" s="3" customFormat="1" ht="25.95" customHeight="1" thickTop="1" x14ac:dyDescent="0.5">
      <c r="A7" s="2"/>
      <c r="C7" s="4"/>
      <c r="D7" s="4"/>
    </row>
    <row r="8" spans="1:13" s="3" customFormat="1" ht="33" customHeight="1" x14ac:dyDescent="0.5">
      <c r="A8" s="2" t="s">
        <v>90</v>
      </c>
      <c r="B8" s="108"/>
      <c r="C8" s="6" t="e">
        <f>Assumptions.1!I12*Assumptions.1!F71*Assumptions.1!I35/Assumptions.1!F69</f>
        <v>#DIV/0!</v>
      </c>
      <c r="D8" s="2" t="e">
        <f>Assumptions.1!I12*Assumptions.1!F71*Assumptions.1!I33</f>
        <v>#DIV/0!</v>
      </c>
      <c r="E8" s="6" t="e">
        <f>D8*Assumptions.1!I33</f>
        <v>#DIV/0!</v>
      </c>
      <c r="F8" s="6" t="e">
        <f>E8*Assumptions.1!I33</f>
        <v>#DIV/0!</v>
      </c>
      <c r="G8" s="6" t="e">
        <f>F8*Assumptions.1!I33</f>
        <v>#DIV/0!</v>
      </c>
      <c r="I8" s="3" t="e">
        <f>Assumptions.1!I12*Assumptions.1!F71*Assumptions.1!I33</f>
        <v>#DIV/0!</v>
      </c>
    </row>
    <row r="9" spans="1:13" x14ac:dyDescent="0.5">
      <c r="A9" s="5"/>
    </row>
    <row r="10" spans="1:13" ht="35.25" customHeight="1" x14ac:dyDescent="0.5">
      <c r="A10" s="2" t="s">
        <v>123</v>
      </c>
      <c r="C10" s="6">
        <f>Assumptions.1!F77</f>
        <v>0</v>
      </c>
      <c r="D10" s="2">
        <f>C12</f>
        <v>0</v>
      </c>
      <c r="E10" s="2">
        <f>D12</f>
        <v>0</v>
      </c>
      <c r="F10" s="6">
        <f>E12</f>
        <v>0</v>
      </c>
      <c r="G10" s="6">
        <f>F12</f>
        <v>0</v>
      </c>
    </row>
    <row r="11" spans="1:13" ht="37.5" customHeight="1" x14ac:dyDescent="0.5">
      <c r="A11" s="2" t="s">
        <v>124</v>
      </c>
      <c r="B11" s="108"/>
      <c r="C11" s="6" t="e">
        <f>C13-C10+C12</f>
        <v>#DIV/0!</v>
      </c>
      <c r="D11" s="6" t="e">
        <f>D13-D10+D12</f>
        <v>#DIV/0!</v>
      </c>
      <c r="E11" s="6" t="e">
        <f>E13-E10+E12</f>
        <v>#DIV/0!</v>
      </c>
      <c r="F11" s="6" t="e">
        <f>F13-F10+F12</f>
        <v>#DIV/0!</v>
      </c>
      <c r="G11" s="6" t="e">
        <f>G13-G10+G12</f>
        <v>#DIV/0!</v>
      </c>
      <c r="J11" s="6"/>
    </row>
    <row r="12" spans="1:13" ht="36" customHeight="1" x14ac:dyDescent="0.5">
      <c r="A12" s="2" t="s">
        <v>125</v>
      </c>
      <c r="C12" s="2">
        <f>Assumptions.1!I12*Assumptions.1!F78</f>
        <v>0</v>
      </c>
      <c r="D12" s="2">
        <f>Assumptions.1!I12*Assumptions.1!F79</f>
        <v>0</v>
      </c>
      <c r="E12" s="6">
        <f>D12*Assumptions.1!F80</f>
        <v>0</v>
      </c>
      <c r="F12" s="6">
        <f>E12*Assumptions.1!F80</f>
        <v>0</v>
      </c>
      <c r="G12" s="6">
        <f>F12*Assumptions.1!F80</f>
        <v>0</v>
      </c>
      <c r="I12" s="6"/>
      <c r="J12" s="6"/>
    </row>
    <row r="13" spans="1:13" ht="39.75" customHeight="1" x14ac:dyDescent="0.5">
      <c r="A13" s="3" t="s">
        <v>126</v>
      </c>
      <c r="C13" s="7" t="e">
        <f>C8-C15</f>
        <v>#DIV/0!</v>
      </c>
      <c r="D13" s="7" t="e">
        <f>D8-D15</f>
        <v>#DIV/0!</v>
      </c>
      <c r="E13" s="7" t="e">
        <f>E8-E15</f>
        <v>#DIV/0!</v>
      </c>
      <c r="F13" s="7" t="e">
        <f>F8-F15</f>
        <v>#DIV/0!</v>
      </c>
      <c r="G13" s="7" t="e">
        <f>G8-G15</f>
        <v>#DIV/0!</v>
      </c>
    </row>
    <row r="14" spans="1:13" ht="28.5" customHeight="1" x14ac:dyDescent="0.5">
      <c r="A14" s="5"/>
    </row>
    <row r="15" spans="1:13" s="3" customFormat="1" ht="55.5" customHeight="1" x14ac:dyDescent="0.5">
      <c r="A15" s="5" t="s">
        <v>127</v>
      </c>
      <c r="C15" s="7" t="e">
        <f>C8*Assumptions.1!F57</f>
        <v>#DIV/0!</v>
      </c>
      <c r="D15" s="7" t="e">
        <f>D8*Assumptions.1!F58</f>
        <v>#DIV/0!</v>
      </c>
      <c r="E15" s="7" t="e">
        <f>E8*Assumptions.1!F59</f>
        <v>#DIV/0!</v>
      </c>
      <c r="F15" s="7" t="e">
        <f>F8*Assumptions.1!F60</f>
        <v>#DIV/0!</v>
      </c>
      <c r="G15" s="7" t="e">
        <f>G8*Assumptions.1!F61</f>
        <v>#DIV/0!</v>
      </c>
      <c r="I15" s="79"/>
      <c r="J15" s="79"/>
      <c r="K15" s="79"/>
      <c r="L15" s="79"/>
      <c r="M15" s="79"/>
    </row>
    <row r="16" spans="1:13" s="3" customFormat="1" ht="25.5" customHeight="1" x14ac:dyDescent="0.5">
      <c r="A16" s="5"/>
    </row>
    <row r="17" spans="1:13" s="3" customFormat="1" ht="40.5" customHeight="1" x14ac:dyDescent="0.5">
      <c r="A17" s="2" t="s">
        <v>128</v>
      </c>
      <c r="B17" s="108"/>
      <c r="C17" s="7" t="e">
        <f>Assumptions.1!F72*wc!C8</f>
        <v>#DIV/0!</v>
      </c>
      <c r="D17" s="7" t="e">
        <f>Assumptions.1!F72*wc!D8</f>
        <v>#DIV/0!</v>
      </c>
      <c r="E17" s="7" t="e">
        <f>Assumptions.1!F72*wc!E8</f>
        <v>#DIV/0!</v>
      </c>
      <c r="F17" s="7" t="e">
        <f>F8*Assumptions.1!F72</f>
        <v>#DIV/0!</v>
      </c>
      <c r="G17" s="7" t="e">
        <f>G8*Assumptions.1!F72</f>
        <v>#DIV/0!</v>
      </c>
    </row>
    <row r="18" spans="1:13" s="3" customFormat="1" ht="21.75" customHeight="1" x14ac:dyDescent="0.5">
      <c r="A18" s="2"/>
      <c r="C18" s="7"/>
      <c r="D18" s="7"/>
      <c r="E18" s="7"/>
      <c r="F18" s="7"/>
      <c r="G18" s="7"/>
    </row>
    <row r="19" spans="1:13" ht="43.5" customHeight="1" x14ac:dyDescent="0.5">
      <c r="A19" s="2" t="s">
        <v>129</v>
      </c>
      <c r="B19" s="108"/>
      <c r="C19" s="6" t="e">
        <f>Assumptions.1!F76*wc!C8</f>
        <v>#DIV/0!</v>
      </c>
      <c r="D19" s="6" t="e">
        <f>Assumptions.1!F76*wc!D8</f>
        <v>#DIV/0!</v>
      </c>
      <c r="E19" s="6" t="e">
        <f>Assumptions.1!F76*wc!E8</f>
        <v>#DIV/0!</v>
      </c>
      <c r="F19" s="6" t="e">
        <f>F8*Assumptions.1!F76</f>
        <v>#DIV/0!</v>
      </c>
      <c r="G19" s="6" t="e">
        <f>G8*Assumptions.1!F76</f>
        <v>#DIV/0!</v>
      </c>
      <c r="I19" s="83"/>
      <c r="J19" s="83"/>
      <c r="K19" s="83"/>
      <c r="L19" s="83"/>
      <c r="M19" s="83"/>
    </row>
    <row r="20" spans="1:13" ht="30" customHeight="1" x14ac:dyDescent="0.5">
      <c r="B20" s="11"/>
      <c r="I20" s="80"/>
      <c r="J20" s="80"/>
      <c r="K20" s="80"/>
      <c r="L20" s="80"/>
      <c r="M20" s="80"/>
    </row>
    <row r="21" spans="1:13" ht="43.5" customHeight="1" x14ac:dyDescent="0.5">
      <c r="A21" s="5" t="s">
        <v>130</v>
      </c>
      <c r="B21" s="11"/>
      <c r="C21" s="15" t="e">
        <f>C15+C17-C19</f>
        <v>#DIV/0!</v>
      </c>
      <c r="D21" s="15" t="e">
        <f>D15+D17-D19</f>
        <v>#DIV/0!</v>
      </c>
      <c r="E21" s="15" t="e">
        <f>E15+E17-E19</f>
        <v>#DIV/0!</v>
      </c>
      <c r="F21" s="15" t="e">
        <f>F15+F17-F19</f>
        <v>#DIV/0!</v>
      </c>
      <c r="G21" s="15" t="e">
        <f>G15+G17-G19</f>
        <v>#DIV/0!</v>
      </c>
      <c r="I21" s="80"/>
      <c r="J21" s="80"/>
      <c r="K21" s="80"/>
      <c r="L21" s="80"/>
      <c r="M21" s="80"/>
    </row>
    <row r="22" spans="1:13" ht="18" customHeight="1" x14ac:dyDescent="0.5">
      <c r="A22" s="3"/>
      <c r="B22" s="11"/>
      <c r="I22" s="83"/>
      <c r="J22" s="83"/>
      <c r="K22" s="83"/>
      <c r="L22" s="83"/>
      <c r="M22" s="83"/>
    </row>
    <row r="23" spans="1:13" ht="43.5" customHeight="1" x14ac:dyDescent="0.5">
      <c r="A23" s="2" t="s">
        <v>131</v>
      </c>
      <c r="B23" s="11"/>
      <c r="C23" s="6">
        <f>Depsch!N17</f>
        <v>0</v>
      </c>
      <c r="D23" s="6">
        <f>Depsch!N24</f>
        <v>0</v>
      </c>
      <c r="E23" s="6">
        <f>Depsch!N31</f>
        <v>0</v>
      </c>
      <c r="F23" s="6">
        <f>Depsch!N38</f>
        <v>0</v>
      </c>
      <c r="G23" s="6">
        <f>Depsch!N45</f>
        <v>0</v>
      </c>
      <c r="I23" s="80"/>
      <c r="J23" s="80"/>
      <c r="K23" s="80"/>
      <c r="L23" s="80"/>
      <c r="M23" s="80"/>
    </row>
    <row r="24" spans="1:13" ht="21.75" customHeight="1" x14ac:dyDescent="0.5">
      <c r="B24" s="11"/>
      <c r="C24" s="6"/>
      <c r="D24" s="6"/>
      <c r="E24" s="6"/>
      <c r="F24" s="6"/>
      <c r="G24" s="6"/>
      <c r="I24" s="80"/>
      <c r="J24" s="80"/>
      <c r="K24" s="80"/>
      <c r="L24" s="80"/>
      <c r="M24" s="80"/>
    </row>
    <row r="25" spans="1:13" s="16" customFormat="1" ht="40.5" customHeight="1" x14ac:dyDescent="0.5">
      <c r="A25" s="5" t="s">
        <v>132</v>
      </c>
      <c r="C25" s="15" t="e">
        <f>C21-C23</f>
        <v>#DIV/0!</v>
      </c>
      <c r="D25" s="15" t="e">
        <f>D21-D23</f>
        <v>#DIV/0!</v>
      </c>
      <c r="E25" s="15" t="e">
        <f>E21-E23</f>
        <v>#DIV/0!</v>
      </c>
      <c r="F25" s="15" t="e">
        <f>F21-F23</f>
        <v>#DIV/0!</v>
      </c>
      <c r="G25" s="15" t="e">
        <f>G21-G23</f>
        <v>#DIV/0!</v>
      </c>
      <c r="I25" s="81"/>
      <c r="J25" s="81"/>
      <c r="K25" s="81"/>
      <c r="L25" s="81"/>
      <c r="M25" s="81"/>
    </row>
    <row r="26" spans="1:13" ht="18" customHeight="1" x14ac:dyDescent="0.5">
      <c r="A26" s="3"/>
      <c r="C26" s="6"/>
      <c r="D26" s="6"/>
      <c r="E26" s="6"/>
      <c r="F26" s="6"/>
      <c r="G26" s="6"/>
      <c r="I26" s="80"/>
      <c r="J26" s="80"/>
      <c r="K26" s="80"/>
      <c r="L26" s="80"/>
      <c r="M26" s="80"/>
    </row>
    <row r="27" spans="1:13" ht="40.5" customHeight="1" x14ac:dyDescent="0.5">
      <c r="A27" s="2" t="s">
        <v>133</v>
      </c>
      <c r="B27" s="11"/>
      <c r="C27" s="6">
        <f>Assumptions.1!I12*Assumptions.1!I13*Assumptions.1!I35/Assumptions.1!F69</f>
        <v>0</v>
      </c>
      <c r="D27" s="6">
        <f>Assumptions.1!I12*Assumptions.1!I13*Assumptions.1!F69/Assumptions.1!F69</f>
        <v>0</v>
      </c>
      <c r="E27" s="6">
        <f>D27*Assumptions.1!F70</f>
        <v>0</v>
      </c>
      <c r="F27" s="6">
        <f>E27*Assumptions.1!F70</f>
        <v>0</v>
      </c>
      <c r="G27" s="6">
        <f>F27*Assumptions.1!F70</f>
        <v>0</v>
      </c>
      <c r="I27" s="80"/>
      <c r="J27" s="80"/>
      <c r="K27" s="80"/>
      <c r="L27" s="80"/>
      <c r="M27" s="80"/>
    </row>
    <row r="28" spans="1:13" ht="16.5" customHeight="1" x14ac:dyDescent="0.5">
      <c r="I28" s="80"/>
      <c r="J28" s="80"/>
      <c r="K28" s="80"/>
      <c r="L28" s="80"/>
      <c r="M28" s="80"/>
    </row>
    <row r="29" spans="1:13" s="3" customFormat="1" ht="48" customHeight="1" thickBot="1" x14ac:dyDescent="0.55000000000000004">
      <c r="A29" s="8" t="s">
        <v>134</v>
      </c>
      <c r="B29" s="9"/>
      <c r="C29" s="138" t="e">
        <f>C25-C27</f>
        <v>#DIV/0!</v>
      </c>
      <c r="D29" s="138" t="e">
        <f>D25-D27</f>
        <v>#DIV/0!</v>
      </c>
      <c r="E29" s="138" t="e">
        <f>E25-E27</f>
        <v>#DIV/0!</v>
      </c>
      <c r="F29" s="138" t="e">
        <f>F25-F27</f>
        <v>#DIV/0!</v>
      </c>
      <c r="G29" s="138" t="e">
        <f>G25-G27</f>
        <v>#DIV/0!</v>
      </c>
      <c r="I29" s="82"/>
      <c r="J29" s="82"/>
      <c r="K29" s="82"/>
      <c r="L29" s="82"/>
      <c r="M29" s="82"/>
    </row>
    <row r="30" spans="1:13" ht="44.25" customHeight="1" thickBot="1" x14ac:dyDescent="0.55000000000000004">
      <c r="A30" s="1"/>
      <c r="B30" s="1"/>
      <c r="C30" s="343" t="s">
        <v>135</v>
      </c>
      <c r="D30" s="344"/>
      <c r="E30" s="344"/>
      <c r="F30" s="344"/>
      <c r="G30" s="322"/>
    </row>
    <row r="31" spans="1:13" ht="48.75" customHeight="1" x14ac:dyDescent="0.55000000000000004">
      <c r="A31" s="345" t="s">
        <v>136</v>
      </c>
      <c r="B31" s="335"/>
      <c r="C31" s="335"/>
      <c r="D31" s="335"/>
      <c r="E31" s="335"/>
      <c r="F31" s="335"/>
      <c r="G31" s="335"/>
    </row>
    <row r="32" spans="1:13" ht="30.75" customHeight="1" x14ac:dyDescent="0.5">
      <c r="A32" s="341" t="s">
        <v>137</v>
      </c>
      <c r="B32" s="341" t="s">
        <v>122</v>
      </c>
      <c r="C32" s="102" t="str">
        <f>C5</f>
        <v>Estimated</v>
      </c>
      <c r="D32" s="102" t="str">
        <f>D5</f>
        <v>Projected</v>
      </c>
      <c r="E32" s="102" t="str">
        <f>D32</f>
        <v>Projected</v>
      </c>
      <c r="F32" s="102" t="str">
        <f>E32</f>
        <v>Projected</v>
      </c>
      <c r="G32" s="102" t="str">
        <f>F32</f>
        <v>Projected</v>
      </c>
    </row>
    <row r="33" spans="1:10" ht="95.25" customHeight="1" thickBot="1" x14ac:dyDescent="0.55000000000000004">
      <c r="A33" s="342"/>
      <c r="B33" s="342"/>
      <c r="C33" s="118">
        <f>C6</f>
        <v>0</v>
      </c>
      <c r="D33" s="101">
        <f>D6</f>
        <v>0</v>
      </c>
      <c r="E33" s="101">
        <f>E6</f>
        <v>0</v>
      </c>
      <c r="F33" s="101">
        <f>F6</f>
        <v>0</v>
      </c>
      <c r="G33" s="101">
        <f>G6</f>
        <v>0</v>
      </c>
    </row>
    <row r="34" spans="1:10" ht="33.75" customHeight="1" thickTop="1" x14ac:dyDescent="0.5">
      <c r="A34" s="41" t="s">
        <v>138</v>
      </c>
    </row>
    <row r="35" spans="1:10" x14ac:dyDescent="0.5">
      <c r="A35" s="5"/>
    </row>
    <row r="36" spans="1:10" ht="42.75" customHeight="1" x14ac:dyDescent="0.5">
      <c r="A36" s="2" t="s">
        <v>139</v>
      </c>
      <c r="B36" s="108"/>
      <c r="C36" s="48" t="e">
        <f>C58-SUM(C37:C41)</f>
        <v>#DIV/0!</v>
      </c>
      <c r="D36" s="48" t="e">
        <f>D58-SUM(D37:D41)</f>
        <v>#DIV/0!</v>
      </c>
      <c r="E36" s="48" t="e">
        <f>E58-SUM(E37:E41)</f>
        <v>#DIV/0!</v>
      </c>
      <c r="F36" s="48" t="e">
        <f>F58-SUM(F37:F41)</f>
        <v>#DIV/0!</v>
      </c>
      <c r="G36" s="48" t="e">
        <f>G58-SUM(G37:G41)</f>
        <v>#DIV/0!</v>
      </c>
      <c r="H36" s="6"/>
      <c r="I36" s="6"/>
      <c r="J36" s="6"/>
    </row>
    <row r="37" spans="1:10" ht="42.75" customHeight="1" x14ac:dyDescent="0.5">
      <c r="A37" s="50" t="s">
        <v>140</v>
      </c>
      <c r="B37" s="10"/>
    </row>
    <row r="38" spans="1:10" ht="42.75" customHeight="1" x14ac:dyDescent="0.5">
      <c r="A38" s="3" t="s">
        <v>141</v>
      </c>
      <c r="B38" s="1"/>
    </row>
    <row r="39" spans="1:10" ht="42.75" customHeight="1" x14ac:dyDescent="0.5">
      <c r="A39" s="2" t="s">
        <v>142</v>
      </c>
      <c r="B39" s="10"/>
      <c r="C39" s="46" t="e">
        <f>IF(C83&lt;C78,C83,Assumptions.1!I12)</f>
        <v>#DIV/0!</v>
      </c>
      <c r="D39" s="46" t="e">
        <f>IF(D83&lt;D78,D83,Assumptions.1!I12)</f>
        <v>#DIV/0!</v>
      </c>
      <c r="E39" s="46" t="e">
        <f>IF(E83&lt;E78,E83,E78)</f>
        <v>#DIV/0!</v>
      </c>
      <c r="F39" s="46" t="e">
        <f>IF(F83&lt;F78,F83,F78)</f>
        <v>#DIV/0!</v>
      </c>
      <c r="G39" s="46" t="e">
        <f>IF(G83&lt;G78,G83,G78)</f>
        <v>#DIV/0!</v>
      </c>
      <c r="H39" s="46"/>
    </row>
    <row r="40" spans="1:10" ht="51" customHeight="1" x14ac:dyDescent="0.5">
      <c r="A40" s="2" t="s">
        <v>143</v>
      </c>
      <c r="B40" s="108"/>
      <c r="C40" s="6">
        <v>0</v>
      </c>
      <c r="D40" s="6">
        <v>0</v>
      </c>
      <c r="E40" s="6">
        <v>0</v>
      </c>
      <c r="F40" s="6">
        <v>0</v>
      </c>
      <c r="G40" s="6">
        <v>0</v>
      </c>
    </row>
    <row r="41" spans="1:10" ht="45" customHeight="1" x14ac:dyDescent="0.5">
      <c r="B41" s="10"/>
      <c r="C41" s="6"/>
      <c r="D41" s="6"/>
      <c r="E41" s="6"/>
      <c r="F41" s="6"/>
      <c r="G41" s="6"/>
    </row>
    <row r="42" spans="1:10" ht="47.25" customHeight="1" thickBot="1" x14ac:dyDescent="0.55000000000000004">
      <c r="C42" s="13" t="e">
        <f>C58</f>
        <v>#DIV/0!</v>
      </c>
      <c r="D42" s="13" t="e">
        <f>D58</f>
        <v>#DIV/0!</v>
      </c>
      <c r="E42" s="13" t="e">
        <f>SUM(E36:E41)</f>
        <v>#DIV/0!</v>
      </c>
      <c r="F42" s="13" t="e">
        <f>SUM(F36:F41)</f>
        <v>#DIV/0!</v>
      </c>
      <c r="G42" s="13" t="e">
        <f>SUM(G36:G41)</f>
        <v>#DIV/0!</v>
      </c>
    </row>
    <row r="43" spans="1:10" ht="25.95" customHeight="1" thickTop="1" x14ac:dyDescent="0.5"/>
    <row r="44" spans="1:10" ht="25.95" customHeight="1" thickBot="1" x14ac:dyDescent="0.55000000000000004"/>
    <row r="45" spans="1:10" ht="25.95" customHeight="1" thickBot="1" x14ac:dyDescent="0.55000000000000004">
      <c r="C45" s="347" t="s">
        <v>135</v>
      </c>
      <c r="D45" s="348"/>
      <c r="E45" s="348"/>
      <c r="F45" s="348"/>
      <c r="G45" s="349"/>
    </row>
    <row r="46" spans="1:10" ht="36.75" customHeight="1" x14ac:dyDescent="0.5">
      <c r="A46" s="41" t="s">
        <v>144</v>
      </c>
    </row>
    <row r="47" spans="1:10" ht="36.75" customHeight="1" x14ac:dyDescent="0.5">
      <c r="A47" s="5"/>
    </row>
    <row r="48" spans="1:10" ht="36.75" customHeight="1" x14ac:dyDescent="0.5">
      <c r="A48" s="3" t="s">
        <v>145</v>
      </c>
      <c r="C48" s="6">
        <f>Depsch!N18</f>
        <v>0</v>
      </c>
      <c r="D48" s="6">
        <f>Depsch!N25</f>
        <v>0</v>
      </c>
      <c r="E48" s="6">
        <f>Depsch!N32</f>
        <v>0</v>
      </c>
      <c r="F48" s="6">
        <f>Depsch!N39</f>
        <v>0</v>
      </c>
      <c r="G48" s="6">
        <f>Depsch!N46</f>
        <v>0</v>
      </c>
      <c r="H48" s="6"/>
    </row>
    <row r="49" spans="1:15" ht="31.5" customHeight="1" x14ac:dyDescent="0.5">
      <c r="C49" s="6"/>
      <c r="D49" s="6"/>
      <c r="E49" s="6"/>
      <c r="F49" s="6"/>
      <c r="G49" s="6"/>
    </row>
    <row r="50" spans="1:15" ht="31.5" customHeight="1" x14ac:dyDescent="0.5">
      <c r="A50" s="3" t="s">
        <v>146</v>
      </c>
    </row>
    <row r="51" spans="1:15" ht="31.5" customHeight="1" x14ac:dyDescent="0.5">
      <c r="C51" s="6"/>
      <c r="D51" s="6"/>
      <c r="E51" s="6"/>
      <c r="F51" s="6"/>
      <c r="G51" s="6"/>
    </row>
    <row r="52" spans="1:15" ht="42.75" customHeight="1" x14ac:dyDescent="0.5">
      <c r="A52" s="3" t="s">
        <v>147</v>
      </c>
      <c r="B52" s="10"/>
      <c r="J52" s="106"/>
      <c r="K52" s="106"/>
      <c r="L52" s="106"/>
      <c r="M52" s="106"/>
      <c r="N52" s="106"/>
      <c r="O52" s="106"/>
    </row>
    <row r="53" spans="1:15" ht="42.75" customHeight="1" x14ac:dyDescent="0.5">
      <c r="A53" s="2" t="str">
        <f>A12</f>
        <v xml:space="preserve">Closing Stock </v>
      </c>
      <c r="B53" s="10"/>
      <c r="C53" s="2">
        <f>C12</f>
        <v>0</v>
      </c>
      <c r="D53" s="2">
        <f>D12</f>
        <v>0</v>
      </c>
      <c r="E53" s="2">
        <f>E12</f>
        <v>0</v>
      </c>
      <c r="F53" s="2">
        <f>F12</f>
        <v>0</v>
      </c>
      <c r="G53" s="6">
        <f>G12</f>
        <v>0</v>
      </c>
      <c r="N53" s="6"/>
    </row>
    <row r="54" spans="1:15" ht="44.25" customHeight="1" x14ac:dyDescent="0.5">
      <c r="A54" s="2" t="s">
        <v>148</v>
      </c>
      <c r="B54" s="108"/>
      <c r="C54" s="6" t="e">
        <f>C8*Assumptions.1!F63</f>
        <v>#DIV/0!</v>
      </c>
      <c r="D54" s="6" t="e">
        <f>D8*Assumptions.1!F64</f>
        <v>#DIV/0!</v>
      </c>
      <c r="E54" s="6" t="e">
        <f>E8*Assumptions.1!F65</f>
        <v>#DIV/0!</v>
      </c>
      <c r="F54" s="6" t="e">
        <f>F8*Assumptions.1!F66</f>
        <v>#DIV/0!</v>
      </c>
      <c r="G54" s="6" t="e">
        <f>G8*Assumptions.1!F67</f>
        <v>#DIV/0!</v>
      </c>
      <c r="H54" s="6"/>
      <c r="N54" s="6"/>
    </row>
    <row r="55" spans="1:15" ht="44.25" customHeight="1" x14ac:dyDescent="0.5">
      <c r="A55" s="2" t="s">
        <v>149</v>
      </c>
      <c r="B55" s="108"/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/>
      <c r="N55" s="6"/>
    </row>
    <row r="56" spans="1:15" ht="39" customHeight="1" x14ac:dyDescent="0.5">
      <c r="A56" s="2" t="s">
        <v>150</v>
      </c>
      <c r="B56" s="108"/>
      <c r="C56" s="6" t="e">
        <f>Assumptions.1!F51*wc!C39</f>
        <v>#DIV/0!</v>
      </c>
      <c r="D56" s="2" t="e">
        <f>Assumptions.1!F52*wc!D39</f>
        <v>#DIV/0!</v>
      </c>
      <c r="E56" s="2" t="e">
        <f>Assumptions.1!F53*wc!E39</f>
        <v>#DIV/0!</v>
      </c>
      <c r="F56" s="2" t="e">
        <f>Assumptions.1!F54*wc!F39</f>
        <v>#DIV/0!</v>
      </c>
      <c r="G56" s="2" t="e">
        <f>Assumptions.1!F55*wc!G39</f>
        <v>#DIV/0!</v>
      </c>
      <c r="N56" s="84"/>
    </row>
    <row r="57" spans="1:15" ht="39" customHeight="1" x14ac:dyDescent="0.5"/>
    <row r="58" spans="1:15" ht="53.25" customHeight="1" thickBot="1" x14ac:dyDescent="0.55000000000000004">
      <c r="C58" s="139" t="e">
        <f>SUM(C48:C56)</f>
        <v>#DIV/0!</v>
      </c>
      <c r="D58" s="139" t="e">
        <f>SUM(D48:D56)</f>
        <v>#DIV/0!</v>
      </c>
      <c r="E58" s="139" t="e">
        <f>SUM(E47:E57)</f>
        <v>#DIV/0!</v>
      </c>
      <c r="F58" s="139" t="e">
        <f>SUM(F47:F57)</f>
        <v>#DIV/0!</v>
      </c>
      <c r="G58" s="139" t="e">
        <f>SUM(G47:G57)</f>
        <v>#DIV/0!</v>
      </c>
      <c r="I58" s="6"/>
      <c r="J58" s="6"/>
      <c r="K58" s="6"/>
      <c r="L58" s="6"/>
      <c r="M58" s="6"/>
    </row>
    <row r="59" spans="1:15" ht="53.25" customHeight="1" thickBot="1" x14ac:dyDescent="0.55000000000000004">
      <c r="C59" s="343" t="s">
        <v>135</v>
      </c>
      <c r="D59" s="344"/>
      <c r="E59" s="344"/>
      <c r="F59" s="344"/>
      <c r="G59" s="322"/>
      <c r="I59" s="6"/>
      <c r="J59" s="6"/>
      <c r="K59" s="6"/>
      <c r="L59" s="6"/>
      <c r="M59" s="6"/>
    </row>
    <row r="60" spans="1:15" ht="51.75" customHeight="1" x14ac:dyDescent="0.5">
      <c r="C60" s="7"/>
      <c r="D60" s="7"/>
      <c r="E60" s="7"/>
      <c r="F60" s="7"/>
      <c r="G60" s="7"/>
      <c r="I60" s="84"/>
      <c r="J60" s="84"/>
      <c r="K60" s="84"/>
      <c r="L60" s="84"/>
      <c r="M60" s="84"/>
    </row>
    <row r="61" spans="1:15" ht="30" customHeight="1" x14ac:dyDescent="0.55000000000000004">
      <c r="A61" s="345" t="s">
        <v>151</v>
      </c>
      <c r="B61" s="335"/>
      <c r="C61" s="335"/>
      <c r="D61" s="335"/>
      <c r="E61" s="335"/>
      <c r="F61" s="335"/>
      <c r="G61" s="335"/>
    </row>
    <row r="62" spans="1:15" ht="95.25" customHeight="1" thickBot="1" x14ac:dyDescent="0.55000000000000004">
      <c r="A62" s="51"/>
      <c r="B62" s="51"/>
      <c r="C62" s="119">
        <f>C6</f>
        <v>0</v>
      </c>
      <c r="D62" s="52">
        <f>D6</f>
        <v>0</v>
      </c>
      <c r="E62" s="52">
        <f>E6</f>
        <v>0</v>
      </c>
      <c r="F62" s="52">
        <f>F6</f>
        <v>0</v>
      </c>
      <c r="G62" s="52">
        <f>G6</f>
        <v>0</v>
      </c>
    </row>
    <row r="63" spans="1:15" ht="25.95" customHeight="1" thickTop="1" x14ac:dyDescent="0.5"/>
    <row r="64" spans="1:15" x14ac:dyDescent="0.5">
      <c r="A64" s="2" t="s">
        <v>152</v>
      </c>
      <c r="B64" s="108"/>
      <c r="C64" s="2">
        <f>Assumptions.1!I31*Assumptions.1!I35</f>
        <v>0</v>
      </c>
      <c r="D64" s="2">
        <f>Assumptions.1!I31*Assumptions.1!F69</f>
        <v>0</v>
      </c>
      <c r="E64" s="2">
        <f>wc!D64*Assumptions.1!I32</f>
        <v>0</v>
      </c>
      <c r="F64" s="2">
        <f>E64*Assumptions.1!I30</f>
        <v>0</v>
      </c>
      <c r="G64" s="6">
        <f>F64*Assumptions.1!I30</f>
        <v>0</v>
      </c>
      <c r="H64" s="6"/>
    </row>
    <row r="65" spans="1:10" ht="35.25" customHeight="1" x14ac:dyDescent="0.5">
      <c r="A65" s="2" t="s">
        <v>153</v>
      </c>
      <c r="B65" s="108"/>
      <c r="C65" s="6">
        <f>Assumptions.1!I27*Assumptions.1!I35</f>
        <v>0</v>
      </c>
      <c r="D65" s="6">
        <f>Assumptions.1!I27*Assumptions.1!F69</f>
        <v>0</v>
      </c>
      <c r="E65" s="6">
        <f>D65*Assumptions.1!I28</f>
        <v>0</v>
      </c>
      <c r="F65" s="6">
        <f>E65*Assumptions.1!I28</f>
        <v>0</v>
      </c>
      <c r="G65" s="6">
        <f>F65*Assumptions.1!I28</f>
        <v>0</v>
      </c>
    </row>
    <row r="66" spans="1:10" ht="30" customHeight="1" x14ac:dyDescent="0.5">
      <c r="A66" s="2" t="s">
        <v>154</v>
      </c>
      <c r="B66" s="108"/>
      <c r="C66" s="2">
        <f>Assumptions.1!I29*Assumptions.1!I35</f>
        <v>0</v>
      </c>
      <c r="D66" s="6">
        <f>Assumptions.1!I29*Assumptions.1!F69</f>
        <v>0</v>
      </c>
      <c r="E66" s="6">
        <f>D66*Assumptions.1!I30</f>
        <v>0</v>
      </c>
      <c r="F66" s="6">
        <f>E66*Assumptions.1!I30</f>
        <v>0</v>
      </c>
      <c r="G66" s="6">
        <f>F66*Assumptions.1!I30</f>
        <v>0</v>
      </c>
    </row>
    <row r="67" spans="1:10" ht="27.75" customHeight="1" x14ac:dyDescent="0.5">
      <c r="A67" s="2" t="s">
        <v>155</v>
      </c>
      <c r="B67" s="108"/>
      <c r="C67" s="2">
        <f>Assumptions.1!I14*Assumptions.1!I12</f>
        <v>0</v>
      </c>
      <c r="D67" s="6">
        <f>C67</f>
        <v>0</v>
      </c>
      <c r="E67" s="6">
        <f>D67</f>
        <v>0</v>
      </c>
      <c r="F67" s="6">
        <f>E67</f>
        <v>0</v>
      </c>
      <c r="G67" s="6">
        <f>F67</f>
        <v>0</v>
      </c>
    </row>
    <row r="68" spans="1:10" ht="27.75" customHeight="1" x14ac:dyDescent="0.5">
      <c r="A68" s="2" t="s">
        <v>156</v>
      </c>
      <c r="B68" s="108"/>
      <c r="C68" s="6" t="e">
        <f>C8*Assumptions.1!F75</f>
        <v>#DIV/0!</v>
      </c>
      <c r="D68" s="6" t="e">
        <f>D8*Assumptions.1!F75</f>
        <v>#DIV/0!</v>
      </c>
      <c r="E68" s="6" t="e">
        <f>E8*Assumptions.1!F75</f>
        <v>#DIV/0!</v>
      </c>
      <c r="F68" s="6" t="e">
        <f>F8*Assumptions.1!F75</f>
        <v>#DIV/0!</v>
      </c>
      <c r="G68" s="6" t="e">
        <f>G8*Assumptions.1!F75</f>
        <v>#DIV/0!</v>
      </c>
    </row>
    <row r="69" spans="1:10" ht="53.25" customHeight="1" x14ac:dyDescent="0.5">
      <c r="A69" s="107" t="s">
        <v>157</v>
      </c>
      <c r="B69" s="108"/>
      <c r="C69" s="6" t="e">
        <f>C73-C67-C66-C65-C64-C68</f>
        <v>#DIV/0!</v>
      </c>
      <c r="D69" s="6" t="e">
        <f>D73-D67-D66-D65-D64-D68</f>
        <v>#DIV/0!</v>
      </c>
      <c r="E69" s="6" t="e">
        <f>E73-E67-E66-E65-E64-E68</f>
        <v>#DIV/0!</v>
      </c>
      <c r="F69" s="6" t="e">
        <f>F73-F67-F66-F65-F64-F68</f>
        <v>#DIV/0!</v>
      </c>
      <c r="G69" s="6" t="e">
        <f>G73-G67-G66-G65-G64-G68</f>
        <v>#DIV/0!</v>
      </c>
    </row>
    <row r="70" spans="1:10" ht="27.75" customHeight="1" x14ac:dyDescent="0.5"/>
    <row r="71" spans="1:10" ht="27.75" customHeight="1" x14ac:dyDescent="0.5"/>
    <row r="73" spans="1:10" ht="50.25" customHeight="1" x14ac:dyDescent="0.5">
      <c r="C73" s="47" t="e">
        <f>C19</f>
        <v>#DIV/0!</v>
      </c>
      <c r="D73" s="47" t="e">
        <f>D19</f>
        <v>#DIV/0!</v>
      </c>
      <c r="E73" s="47" t="e">
        <f>E19</f>
        <v>#DIV/0!</v>
      </c>
      <c r="F73" s="47" t="e">
        <f>F19</f>
        <v>#DIV/0!</v>
      </c>
      <c r="G73" s="47" t="e">
        <f>G19</f>
        <v>#DIV/0!</v>
      </c>
    </row>
    <row r="74" spans="1:10" ht="34.5" customHeight="1" thickBot="1" x14ac:dyDescent="0.55000000000000004">
      <c r="C74" s="7"/>
      <c r="D74" s="3"/>
      <c r="J74" s="6"/>
    </row>
    <row r="75" spans="1:10" ht="36.75" customHeight="1" thickBot="1" x14ac:dyDescent="0.55000000000000004">
      <c r="C75" s="347" t="s">
        <v>135</v>
      </c>
      <c r="D75" s="348"/>
      <c r="E75" s="348"/>
      <c r="F75" s="348"/>
      <c r="G75" s="349"/>
    </row>
    <row r="76" spans="1:10" ht="25.5" customHeight="1" x14ac:dyDescent="0.5">
      <c r="C76" s="3"/>
      <c r="D76" s="3"/>
    </row>
    <row r="77" spans="1:10" ht="36.75" customHeight="1" x14ac:dyDescent="0.5">
      <c r="A77" s="147" t="s">
        <v>158</v>
      </c>
      <c r="C77" s="3"/>
      <c r="D77" s="3"/>
    </row>
    <row r="78" spans="1:10" x14ac:dyDescent="0.5">
      <c r="A78" s="2" t="s">
        <v>159</v>
      </c>
      <c r="C78" s="2">
        <f>Assumptions.1!I12</f>
        <v>0</v>
      </c>
      <c r="D78" s="2">
        <f>C78</f>
        <v>0</v>
      </c>
      <c r="E78" s="2">
        <f>D78</f>
        <v>0</v>
      </c>
      <c r="F78" s="2">
        <f>E78</f>
        <v>0</v>
      </c>
      <c r="G78" s="2">
        <f>F78</f>
        <v>0</v>
      </c>
    </row>
    <row r="80" spans="1:10" x14ac:dyDescent="0.5">
      <c r="A80" s="2" t="s">
        <v>160</v>
      </c>
      <c r="B80" s="245">
        <v>0.75</v>
      </c>
      <c r="C80" s="2">
        <f>C53*B80</f>
        <v>0</v>
      </c>
      <c r="D80" s="2">
        <f>D53*B80</f>
        <v>0</v>
      </c>
      <c r="E80" s="2">
        <f>E53*B80</f>
        <v>0</v>
      </c>
      <c r="F80" s="2">
        <f>F53*B80</f>
        <v>0</v>
      </c>
      <c r="G80" s="6">
        <f>G53*B80</f>
        <v>0</v>
      </c>
    </row>
    <row r="81" spans="1:7" x14ac:dyDescent="0.5">
      <c r="A81" s="2" t="s">
        <v>161</v>
      </c>
      <c r="B81" s="245">
        <v>0.5</v>
      </c>
      <c r="C81" s="6" t="e">
        <f>B81*C54</f>
        <v>#DIV/0!</v>
      </c>
      <c r="D81" s="2" t="e">
        <f>D54*B81</f>
        <v>#DIV/0!</v>
      </c>
      <c r="E81" s="2" t="e">
        <f>E54*B81</f>
        <v>#DIV/0!</v>
      </c>
      <c r="F81" s="2" t="e">
        <f>F54*B81</f>
        <v>#DIV/0!</v>
      </c>
      <c r="G81" s="6" t="e">
        <f>G54*B81</f>
        <v>#DIV/0!</v>
      </c>
    </row>
    <row r="82" spans="1:7" x14ac:dyDescent="0.5">
      <c r="C82" s="6"/>
      <c r="D82" s="6"/>
      <c r="E82" s="6"/>
      <c r="F82" s="6"/>
      <c r="G82" s="6"/>
    </row>
    <row r="83" spans="1:7" x14ac:dyDescent="0.5">
      <c r="A83" s="2" t="s">
        <v>162</v>
      </c>
      <c r="C83" s="6" t="e">
        <f>C80+C81</f>
        <v>#DIV/0!</v>
      </c>
      <c r="D83" s="6" t="e">
        <f>D80+D81</f>
        <v>#DIV/0!</v>
      </c>
      <c r="E83" s="6" t="e">
        <f>E80+E81</f>
        <v>#DIV/0!</v>
      </c>
      <c r="F83" s="6" t="e">
        <f>F80+F81</f>
        <v>#DIV/0!</v>
      </c>
      <c r="G83" s="6" t="e">
        <f>G80+G81</f>
        <v>#DIV/0!</v>
      </c>
    </row>
  </sheetData>
  <mergeCells count="14">
    <mergeCell ref="C75:G75"/>
    <mergeCell ref="B5:B6"/>
    <mergeCell ref="A5:A6"/>
    <mergeCell ref="A32:A33"/>
    <mergeCell ref="C59:G59"/>
    <mergeCell ref="A61:G61"/>
    <mergeCell ref="C45:G45"/>
    <mergeCell ref="A1:G1"/>
    <mergeCell ref="B32:B33"/>
    <mergeCell ref="C30:G30"/>
    <mergeCell ref="A31:G31"/>
    <mergeCell ref="A3:G3"/>
    <mergeCell ref="A4:G4"/>
    <mergeCell ref="A2:G2"/>
  </mergeCells>
  <pageMargins left="0.23622047244094491" right="0.19685039370078741" top="0.39370078740157483" bottom="0.3" header="0.23622047244094491" footer="0.16"/>
  <pageSetup scale="46" orientation="portrait" r:id="rId1"/>
  <rowBreaks count="2" manualBreakCount="2">
    <brk id="30" max="6" man="1"/>
    <brk id="59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view="pageBreakPreview" topLeftCell="A25" zoomScale="55" zoomScaleNormal="55" zoomScaleSheetLayoutView="55" workbookViewId="0">
      <selection activeCell="C36" sqref="C36:G38"/>
    </sheetView>
  </sheetViews>
  <sheetFormatPr defaultColWidth="21.77734375" defaultRowHeight="25.8" x14ac:dyDescent="0.5"/>
  <cols>
    <col min="1" max="1" width="49.44140625" style="2" customWidth="1"/>
    <col min="2" max="2" width="26.44140625" style="2" customWidth="1"/>
    <col min="3" max="3" width="23.77734375" style="2" customWidth="1"/>
    <col min="4" max="4" width="25.44140625" style="2" customWidth="1"/>
    <col min="5" max="5" width="24" style="2" customWidth="1"/>
    <col min="6" max="6" width="28.21875" style="2" bestFit="1" customWidth="1"/>
    <col min="7" max="7" width="32.21875" style="2" bestFit="1" customWidth="1"/>
    <col min="8" max="8" width="21.77734375" style="2" customWidth="1"/>
    <col min="9" max="16384" width="21.77734375" style="2"/>
  </cols>
  <sheetData>
    <row r="1" spans="1:7" x14ac:dyDescent="0.5">
      <c r="A1" s="339"/>
      <c r="B1" s="340"/>
      <c r="C1" s="340"/>
      <c r="D1" s="340"/>
      <c r="E1" s="340"/>
      <c r="F1" s="340"/>
      <c r="G1" s="340"/>
    </row>
    <row r="2" spans="1:7" x14ac:dyDescent="0.5">
      <c r="A2" s="339"/>
      <c r="B2" s="340"/>
      <c r="C2" s="340"/>
      <c r="D2" s="340"/>
      <c r="E2" s="340"/>
      <c r="F2" s="340"/>
      <c r="G2" s="340"/>
    </row>
    <row r="3" spans="1:7" ht="49.5" customHeight="1" x14ac:dyDescent="0.55000000000000004">
      <c r="A3" s="346" t="s">
        <v>163</v>
      </c>
      <c r="B3" s="340"/>
      <c r="C3" s="340"/>
      <c r="D3" s="340"/>
      <c r="E3" s="340"/>
      <c r="F3" s="340"/>
      <c r="G3" s="340"/>
    </row>
    <row r="4" spans="1:7" ht="57" customHeight="1" x14ac:dyDescent="0.55000000000000004">
      <c r="A4" s="353" t="s">
        <v>164</v>
      </c>
      <c r="B4" s="335"/>
      <c r="C4" s="335"/>
      <c r="D4" s="335"/>
      <c r="E4" s="335"/>
      <c r="F4" s="335"/>
      <c r="G4" s="335"/>
    </row>
    <row r="5" spans="1:7" ht="37.5" customHeight="1" x14ac:dyDescent="0.5">
      <c r="A5" s="350" t="s">
        <v>121</v>
      </c>
      <c r="B5" s="298"/>
      <c r="C5" s="100" t="str">
        <f>Assumptions.1!J17</f>
        <v>Estimated</v>
      </c>
      <c r="D5" s="100" t="str">
        <f>Assumptions.1!J18</f>
        <v>Projected</v>
      </c>
      <c r="E5" s="100" t="str">
        <f>Assumptions.1!J19</f>
        <v>Projected</v>
      </c>
      <c r="F5" s="100" t="str">
        <f>Assumptions.1!J20</f>
        <v>Projected</v>
      </c>
      <c r="G5" s="100" t="str">
        <f>Assumptions.1!J21</f>
        <v>Projected</v>
      </c>
    </row>
    <row r="6" spans="1:7" s="3" customFormat="1" ht="75.75" customHeight="1" thickBot="1" x14ac:dyDescent="0.55000000000000004">
      <c r="A6" s="342"/>
      <c r="B6" s="299"/>
      <c r="C6" s="130">
        <f>Assumptions.1!I17</f>
        <v>0</v>
      </c>
      <c r="D6" s="101">
        <f>Assumptions.1!I18</f>
        <v>0</v>
      </c>
      <c r="E6" s="101">
        <f>Assumptions.1!I19</f>
        <v>0</v>
      </c>
      <c r="F6" s="101">
        <f>Assumptions.1!I20</f>
        <v>0</v>
      </c>
      <c r="G6" s="101">
        <f>Assumptions.1!I21</f>
        <v>0</v>
      </c>
    </row>
    <row r="7" spans="1:7" s="3" customFormat="1" ht="42.45" customHeight="1" thickTop="1" x14ac:dyDescent="0.5">
      <c r="A7" s="2"/>
      <c r="B7" s="2"/>
      <c r="C7" s="300" t="s">
        <v>165</v>
      </c>
      <c r="D7" s="300" t="s">
        <v>165</v>
      </c>
      <c r="E7" s="300" t="s">
        <v>165</v>
      </c>
      <c r="F7" s="300" t="s">
        <v>165</v>
      </c>
      <c r="G7" s="300" t="s">
        <v>165</v>
      </c>
    </row>
    <row r="8" spans="1:7" s="3" customFormat="1" x14ac:dyDescent="0.5">
      <c r="A8" s="147" t="s">
        <v>166</v>
      </c>
      <c r="B8" s="2"/>
      <c r="C8" s="4"/>
      <c r="D8" s="4"/>
    </row>
    <row r="9" spans="1:7" s="3" customFormat="1" ht="33" customHeight="1" x14ac:dyDescent="0.5">
      <c r="A9" s="2" t="s">
        <v>167</v>
      </c>
      <c r="B9" s="2"/>
      <c r="C9" s="301" t="e">
        <f>wc!C8</f>
        <v>#DIV/0!</v>
      </c>
      <c r="D9" s="301" t="e">
        <f>wc!D8</f>
        <v>#DIV/0!</v>
      </c>
      <c r="E9" s="301" t="e">
        <f>wc!E8</f>
        <v>#DIV/0!</v>
      </c>
      <c r="F9" s="301" t="e">
        <f>wc!F8</f>
        <v>#DIV/0!</v>
      </c>
      <c r="G9" s="301" t="e">
        <f>wc!G8</f>
        <v>#DIV/0!</v>
      </c>
    </row>
    <row r="10" spans="1:7" ht="37.5" customHeight="1" x14ac:dyDescent="0.5">
      <c r="A10" s="2" t="s">
        <v>124</v>
      </c>
      <c r="C10" s="301" t="e">
        <f>wc!C11</f>
        <v>#DIV/0!</v>
      </c>
      <c r="D10" s="301" t="e">
        <f>wc!D11</f>
        <v>#DIV/0!</v>
      </c>
      <c r="E10" s="301" t="e">
        <f>wc!E11</f>
        <v>#DIV/0!</v>
      </c>
      <c r="F10" s="301" t="e">
        <f>wc!F11</f>
        <v>#DIV/0!</v>
      </c>
      <c r="G10" s="301" t="e">
        <f>wc!G11</f>
        <v>#DIV/0!</v>
      </c>
    </row>
    <row r="11" spans="1:7" ht="36" customHeight="1" x14ac:dyDescent="0.5">
      <c r="A11" s="2" t="s">
        <v>168</v>
      </c>
      <c r="C11" s="302">
        <f>wc!C12</f>
        <v>0</v>
      </c>
      <c r="D11" s="302">
        <f>wc!D12</f>
        <v>0</v>
      </c>
      <c r="E11" s="302">
        <f>wc!E12</f>
        <v>0</v>
      </c>
      <c r="F11" s="302">
        <f>wc!F12</f>
        <v>0</v>
      </c>
      <c r="G11" s="302">
        <f>wc!G12</f>
        <v>0</v>
      </c>
    </row>
    <row r="12" spans="1:7" s="3" customFormat="1" ht="40.5" customHeight="1" x14ac:dyDescent="0.5">
      <c r="A12" s="2" t="s">
        <v>169</v>
      </c>
      <c r="B12" s="2"/>
      <c r="C12" s="301" t="e">
        <f>wc!C17</f>
        <v>#DIV/0!</v>
      </c>
      <c r="D12" s="301" t="e">
        <f>wc!D17</f>
        <v>#DIV/0!</v>
      </c>
      <c r="E12" s="301" t="e">
        <f>wc!E17</f>
        <v>#DIV/0!</v>
      </c>
      <c r="F12" s="301" t="e">
        <f>wc!F17</f>
        <v>#DIV/0!</v>
      </c>
      <c r="G12" s="301" t="e">
        <f>wc!G17</f>
        <v>#DIV/0!</v>
      </c>
    </row>
    <row r="13" spans="1:7" s="3" customFormat="1" ht="40.5" customHeight="1" x14ac:dyDescent="0.5">
      <c r="A13" s="2" t="s">
        <v>152</v>
      </c>
      <c r="B13" s="2"/>
      <c r="C13" s="302">
        <f>wc!C64</f>
        <v>0</v>
      </c>
      <c r="D13" s="302">
        <f>wc!D64</f>
        <v>0</v>
      </c>
      <c r="E13" s="302">
        <f>wc!E64</f>
        <v>0</v>
      </c>
      <c r="F13" s="302">
        <f>wc!F64</f>
        <v>0</v>
      </c>
      <c r="G13" s="302">
        <f>wc!G64</f>
        <v>0</v>
      </c>
    </row>
    <row r="14" spans="1:7" ht="35.25" customHeight="1" x14ac:dyDescent="0.5">
      <c r="A14" s="2" t="s">
        <v>153</v>
      </c>
      <c r="C14" s="301">
        <f>wc!C65</f>
        <v>0</v>
      </c>
      <c r="D14" s="301">
        <f>wc!D65</f>
        <v>0</v>
      </c>
      <c r="E14" s="301">
        <f>wc!E65</f>
        <v>0</v>
      </c>
      <c r="F14" s="301">
        <f>wc!F65</f>
        <v>0</v>
      </c>
      <c r="G14" s="301">
        <f>wc!G65</f>
        <v>0</v>
      </c>
    </row>
    <row r="15" spans="1:7" ht="30" customHeight="1" x14ac:dyDescent="0.5">
      <c r="A15" s="2" t="s">
        <v>154</v>
      </c>
      <c r="C15" s="302">
        <f>wc!C66</f>
        <v>0</v>
      </c>
      <c r="D15" s="302">
        <f>wc!D66</f>
        <v>0</v>
      </c>
      <c r="E15" s="302">
        <f>wc!E66</f>
        <v>0</v>
      </c>
      <c r="F15" s="302">
        <f>wc!F66</f>
        <v>0</v>
      </c>
      <c r="G15" s="302">
        <f>wc!G66</f>
        <v>0</v>
      </c>
    </row>
    <row r="16" spans="1:7" ht="27.75" customHeight="1" x14ac:dyDescent="0.5">
      <c r="A16" s="2" t="s">
        <v>156</v>
      </c>
      <c r="C16" s="301" t="e">
        <f>wc!C68</f>
        <v>#DIV/0!</v>
      </c>
      <c r="D16" s="301" t="e">
        <f>wc!D68</f>
        <v>#DIV/0!</v>
      </c>
      <c r="E16" s="301" t="e">
        <f>wc!E68</f>
        <v>#DIV/0!</v>
      </c>
      <c r="F16" s="301" t="e">
        <f>wc!F68</f>
        <v>#DIV/0!</v>
      </c>
      <c r="G16" s="301" t="e">
        <f>wc!G68</f>
        <v>#DIV/0!</v>
      </c>
    </row>
    <row r="17" spans="1:9" ht="66.75" customHeight="1" x14ac:dyDescent="0.5">
      <c r="A17" s="107" t="s">
        <v>157</v>
      </c>
      <c r="B17" s="107"/>
      <c r="C17" s="301" t="e">
        <f>wc!C69</f>
        <v>#DIV/0!</v>
      </c>
      <c r="D17" s="301" t="e">
        <f>wc!D69</f>
        <v>#DIV/0!</v>
      </c>
      <c r="E17" s="301" t="e">
        <f>wc!E69</f>
        <v>#DIV/0!</v>
      </c>
      <c r="F17" s="301" t="e">
        <f>wc!F69</f>
        <v>#DIV/0!</v>
      </c>
      <c r="G17" s="301" t="e">
        <f>wc!G69</f>
        <v>#DIV/0!</v>
      </c>
    </row>
    <row r="18" spans="1:9" s="3" customFormat="1" ht="40.5" customHeight="1" x14ac:dyDescent="0.5">
      <c r="A18" s="2" t="s">
        <v>170</v>
      </c>
      <c r="B18" s="2"/>
      <c r="C18" s="301">
        <f>wc!C27</f>
        <v>0</v>
      </c>
      <c r="D18" s="301">
        <f>wc!D27</f>
        <v>0</v>
      </c>
      <c r="E18" s="301">
        <f>wc!E27</f>
        <v>0</v>
      </c>
      <c r="F18" s="301">
        <f>wc!F27</f>
        <v>0</v>
      </c>
      <c r="G18" s="301">
        <f>wc!G27</f>
        <v>0</v>
      </c>
    </row>
    <row r="19" spans="1:9" s="3" customFormat="1" ht="40.5" customHeight="1" x14ac:dyDescent="0.5">
      <c r="A19" s="2" t="s">
        <v>171</v>
      </c>
      <c r="B19" s="2"/>
      <c r="C19" s="301" t="e">
        <f>plbs!C35</f>
        <v>#DIV/0!</v>
      </c>
      <c r="D19" s="301" t="e">
        <f>plbs!D35</f>
        <v>#DIV/0!</v>
      </c>
      <c r="E19" s="301" t="e">
        <f>plbs!E35</f>
        <v>#DIV/0!</v>
      </c>
      <c r="F19" s="301" t="e">
        <f>plbs!F35</f>
        <v>#DIV/0!</v>
      </c>
      <c r="G19" s="301" t="e">
        <f>plbs!G35</f>
        <v>#DIV/0!</v>
      </c>
    </row>
    <row r="20" spans="1:9" s="3" customFormat="1" ht="40.5" customHeight="1" x14ac:dyDescent="0.5">
      <c r="A20" s="2"/>
      <c r="B20" s="2"/>
      <c r="C20" s="301"/>
      <c r="D20" s="301"/>
      <c r="E20" s="301"/>
      <c r="F20" s="301"/>
      <c r="G20" s="301"/>
    </row>
    <row r="21" spans="1:9" s="3" customFormat="1" ht="40.5" customHeight="1" x14ac:dyDescent="0.5">
      <c r="A21" s="147" t="s">
        <v>172</v>
      </c>
      <c r="B21" s="2"/>
      <c r="C21" s="6"/>
      <c r="D21" s="6"/>
      <c r="E21" s="6"/>
      <c r="F21" s="6"/>
      <c r="G21" s="6"/>
    </row>
    <row r="22" spans="1:9" ht="51" customHeight="1" x14ac:dyDescent="0.5">
      <c r="A22" s="2" t="s">
        <v>143</v>
      </c>
      <c r="C22" s="301">
        <f>wc!C40</f>
        <v>0</v>
      </c>
      <c r="D22" s="301">
        <f>wc!D40</f>
        <v>0</v>
      </c>
      <c r="E22" s="301">
        <f>wc!E40</f>
        <v>0</v>
      </c>
      <c r="F22" s="301">
        <f>wc!F40</f>
        <v>0</v>
      </c>
      <c r="G22" s="301">
        <f>wc!G40</f>
        <v>0</v>
      </c>
      <c r="I22" s="106"/>
    </row>
    <row r="23" spans="1:9" ht="44.25" customHeight="1" x14ac:dyDescent="0.5">
      <c r="A23" s="2" t="s">
        <v>148</v>
      </c>
      <c r="C23" s="301" t="e">
        <f>wc!C54</f>
        <v>#DIV/0!</v>
      </c>
      <c r="D23" s="301" t="e">
        <f>wc!D54</f>
        <v>#DIV/0!</v>
      </c>
      <c r="E23" s="301" t="e">
        <f>wc!E54</f>
        <v>#DIV/0!</v>
      </c>
      <c r="F23" s="301" t="e">
        <f>wc!F54</f>
        <v>#DIV/0!</v>
      </c>
      <c r="G23" s="301" t="e">
        <f>wc!G54</f>
        <v>#DIV/0!</v>
      </c>
      <c r="I23" s="6"/>
    </row>
    <row r="24" spans="1:9" ht="44.25" customHeight="1" x14ac:dyDescent="0.5">
      <c r="A24" s="2" t="s">
        <v>146</v>
      </c>
      <c r="C24" s="301">
        <f>SUM(Depsch!C18:I18)</f>
        <v>0</v>
      </c>
      <c r="D24" s="301">
        <f>SUM(Depsch!C25:I25)</f>
        <v>0</v>
      </c>
      <c r="E24" s="301">
        <f>SUM(Depsch!C32:I32)</f>
        <v>0</v>
      </c>
      <c r="F24" s="301">
        <f>SUM(Depsch!C39:I39)</f>
        <v>0</v>
      </c>
      <c r="G24" s="301">
        <f>SUM(Depsch!C46:I46)</f>
        <v>0</v>
      </c>
      <c r="I24" s="6"/>
    </row>
    <row r="25" spans="1:9" ht="44.25" customHeight="1" x14ac:dyDescent="0.5">
      <c r="A25" s="2" t="s">
        <v>149</v>
      </c>
      <c r="C25" s="301">
        <f>wc!C55</f>
        <v>0</v>
      </c>
      <c r="D25" s="301">
        <f>wc!D55</f>
        <v>0</v>
      </c>
      <c r="E25" s="301">
        <f>wc!E55</f>
        <v>0</v>
      </c>
      <c r="F25" s="301">
        <f>wc!F55</f>
        <v>0</v>
      </c>
      <c r="G25" s="301">
        <f>wc!G55</f>
        <v>0</v>
      </c>
      <c r="I25" s="106"/>
    </row>
    <row r="26" spans="1:9" ht="39" customHeight="1" x14ac:dyDescent="0.5">
      <c r="A26" s="2" t="s">
        <v>150</v>
      </c>
      <c r="C26" s="301" t="e">
        <f>wc!C56</f>
        <v>#DIV/0!</v>
      </c>
      <c r="D26" s="302" t="e">
        <f>wc!D56</f>
        <v>#DIV/0!</v>
      </c>
      <c r="E26" s="302" t="e">
        <f>wc!E56</f>
        <v>#DIV/0!</v>
      </c>
      <c r="F26" s="302" t="e">
        <f>wc!F56</f>
        <v>#DIV/0!</v>
      </c>
      <c r="G26" s="302" t="e">
        <f>wc!G56</f>
        <v>#DIV/0!</v>
      </c>
      <c r="I26" s="84"/>
    </row>
    <row r="28" spans="1:9" ht="44.25" customHeight="1" x14ac:dyDescent="0.5">
      <c r="A28" s="147" t="s">
        <v>173</v>
      </c>
      <c r="B28" s="3"/>
    </row>
    <row r="29" spans="1:9" ht="39.75" customHeight="1" x14ac:dyDescent="0.5">
      <c r="A29" s="2" t="s">
        <v>174</v>
      </c>
      <c r="C29" s="84" t="str">
        <f>IFERROR(RATIO!C36, "N/A")</f>
        <v>N/A</v>
      </c>
      <c r="D29" s="84" t="str">
        <f>IFERROR(RATIO!D36, "N/A")</f>
        <v>N/A</v>
      </c>
      <c r="E29" s="84" t="str">
        <f>IFERROR(RATIO!E36, "N/A")</f>
        <v>N/A</v>
      </c>
      <c r="F29" s="84" t="str">
        <f>IFERROR(RATIO!F36, "N/A")</f>
        <v>N/A</v>
      </c>
      <c r="G29" s="84" t="str">
        <f>IFERROR(RATIO!G36, "N/A")</f>
        <v>N/A</v>
      </c>
    </row>
    <row r="30" spans="1:9" ht="42.75" customHeight="1" x14ac:dyDescent="0.5">
      <c r="A30" s="2" t="s">
        <v>175</v>
      </c>
      <c r="C30" s="84" t="str">
        <f>IFERROR(RATIO!C44, "N/A")</f>
        <v>N/A</v>
      </c>
      <c r="D30" s="84" t="str">
        <f>IFERROR(RATIO!D44, "N/A")</f>
        <v>N/A</v>
      </c>
      <c r="E30" s="84" t="str">
        <f>IFERROR(RATIO!E44, "N/A")</f>
        <v>N/A</v>
      </c>
      <c r="F30" s="84" t="str">
        <f>IFERROR(RATIO!F44, "N/A")</f>
        <v>N/A</v>
      </c>
      <c r="G30" s="84" t="str">
        <f>IFERROR(RATIO!G44, "N/A")</f>
        <v>N/A</v>
      </c>
    </row>
    <row r="31" spans="1:9" ht="39.75" customHeight="1" x14ac:dyDescent="0.5">
      <c r="A31" s="2" t="s">
        <v>176</v>
      </c>
      <c r="C31" s="6" t="str">
        <f>IFERROR(RATIO!C27, "N/A")</f>
        <v>N/A</v>
      </c>
      <c r="D31" s="6" t="str">
        <f>IFERROR(RATIO!D27, "N/A")</f>
        <v>N/A</v>
      </c>
      <c r="E31" s="6" t="str">
        <f>IFERROR(RATIO!E27, "N/A")</f>
        <v>N/A</v>
      </c>
      <c r="F31" s="6" t="str">
        <f>IFERROR(RATIO!F27, "N/A")</f>
        <v>N/A</v>
      </c>
      <c r="G31" s="6" t="str">
        <f>IFERROR(RATIO!G27, "N/A")</f>
        <v>N/A</v>
      </c>
    </row>
    <row r="32" spans="1:9" ht="39" customHeight="1" x14ac:dyDescent="0.5">
      <c r="A32" s="2" t="s">
        <v>177</v>
      </c>
      <c r="C32" s="84" t="str">
        <f>IFERROR(RATIO!C11, "N/A")</f>
        <v>N/A</v>
      </c>
      <c r="D32" s="84" t="str">
        <f>IFERROR(RATIO!D11, "N/A")</f>
        <v>N/A</v>
      </c>
      <c r="E32" s="84" t="str">
        <f>IFERROR(RATIO!E11, "N/A")</f>
        <v>N/A</v>
      </c>
      <c r="F32" s="84" t="str">
        <f>IFERROR(RATIO!F11, "N/A")</f>
        <v>N/A</v>
      </c>
      <c r="G32" s="84" t="str">
        <f>IFERROR(RATIO!G11, "N/A")</f>
        <v>N/A</v>
      </c>
    </row>
    <row r="33" spans="1:7" ht="39" customHeight="1" x14ac:dyDescent="0.5">
      <c r="A33" s="2" t="s">
        <v>178</v>
      </c>
      <c r="C33" s="84" t="str">
        <f>IFERROR(RATIO!C87, "N/A")</f>
        <v>N/A</v>
      </c>
      <c r="D33" s="84" t="str">
        <f>IFERROR(RATIO!D87, "N/A")</f>
        <v>N/A</v>
      </c>
      <c r="E33" s="84" t="str">
        <f>IFERROR(RATIO!E87, "N/A")</f>
        <v>N/A</v>
      </c>
      <c r="F33" s="84" t="str">
        <f>IFERROR(RATIO!F87, "N/A")</f>
        <v>N/A</v>
      </c>
      <c r="G33" s="84" t="str">
        <f>IFERROR(RATIO!G87, "N/A")</f>
        <v>N/A</v>
      </c>
    </row>
    <row r="34" spans="1:7" x14ac:dyDescent="0.5">
      <c r="C34" s="84"/>
      <c r="D34" s="84"/>
      <c r="E34" s="84"/>
      <c r="F34" s="84"/>
      <c r="G34" s="84"/>
    </row>
    <row r="35" spans="1:7" x14ac:dyDescent="0.5">
      <c r="A35" s="147" t="s">
        <v>179</v>
      </c>
      <c r="C35" s="84"/>
      <c r="D35" s="84"/>
      <c r="E35" s="84"/>
      <c r="F35" s="84"/>
      <c r="G35" s="84"/>
    </row>
    <row r="36" spans="1:7" ht="39" customHeight="1" x14ac:dyDescent="0.5">
      <c r="A36" s="2" t="s">
        <v>180</v>
      </c>
      <c r="C36" s="301" t="e">
        <f>'MPBF '!B27</f>
        <v>#DIV/0!</v>
      </c>
      <c r="D36" s="301" t="e">
        <f>'MPBF '!C27</f>
        <v>#DIV/0!</v>
      </c>
      <c r="E36" s="301" t="e">
        <f>'MPBF '!D27</f>
        <v>#DIV/0!</v>
      </c>
      <c r="F36" s="301" t="e">
        <f>'MPBF '!E27</f>
        <v>#DIV/0!</v>
      </c>
      <c r="G36" s="301" t="e">
        <f>'MPBF '!F27</f>
        <v>#DIV/0!</v>
      </c>
    </row>
    <row r="37" spans="1:7" ht="42.75" customHeight="1" x14ac:dyDescent="0.5">
      <c r="A37" s="2" t="s">
        <v>181</v>
      </c>
      <c r="C37" s="301" t="e">
        <f>'MPBF '!B50</f>
        <v>#DIV/0!</v>
      </c>
      <c r="D37" s="301" t="e">
        <f>'MPBF '!C50</f>
        <v>#DIV/0!</v>
      </c>
      <c r="E37" s="301" t="e">
        <f>'MPBF '!D50</f>
        <v>#DIV/0!</v>
      </c>
      <c r="F37" s="301" t="e">
        <f>'MPBF '!E50</f>
        <v>#DIV/0!</v>
      </c>
      <c r="G37" s="301" t="e">
        <f>'MPBF '!F50</f>
        <v>#DIV/0!</v>
      </c>
    </row>
    <row r="38" spans="1:7" ht="39" customHeight="1" x14ac:dyDescent="0.5">
      <c r="A38" s="2" t="s">
        <v>182</v>
      </c>
      <c r="C38" s="301" t="e">
        <f>Nayak!C23</f>
        <v>#DIV/0!</v>
      </c>
      <c r="D38" s="301" t="e">
        <f>Nayak!D23</f>
        <v>#DIV/0!</v>
      </c>
      <c r="E38" s="301" t="e">
        <f>Nayak!E23</f>
        <v>#DIV/0!</v>
      </c>
      <c r="F38" s="301" t="e">
        <f>Nayak!F23</f>
        <v>#DIV/0!</v>
      </c>
      <c r="G38" s="301" t="e">
        <f>Nayak!G23</f>
        <v>#DIV/0!</v>
      </c>
    </row>
    <row r="39" spans="1:7" ht="25.95" customHeight="1" thickBot="1" x14ac:dyDescent="0.55000000000000004">
      <c r="A39" s="12"/>
      <c r="B39" s="12"/>
      <c r="C39" s="12"/>
      <c r="D39" s="12"/>
      <c r="E39" s="12"/>
      <c r="F39" s="12"/>
      <c r="G39" s="12"/>
    </row>
    <row r="40" spans="1:7" x14ac:dyDescent="0.5">
      <c r="C40" s="351"/>
      <c r="D40" s="352"/>
    </row>
    <row r="41" spans="1:7" ht="25.95" customHeight="1" thickBot="1" x14ac:dyDescent="0.55000000000000004">
      <c r="C41" s="307"/>
      <c r="D41" s="322"/>
    </row>
    <row r="43" spans="1:7" ht="31.05" customHeight="1" x14ac:dyDescent="0.55000000000000004">
      <c r="A43" s="346"/>
      <c r="B43" s="340"/>
      <c r="C43" s="340"/>
      <c r="D43" s="340"/>
      <c r="E43" s="340"/>
      <c r="F43" s="340"/>
      <c r="G43" s="340"/>
    </row>
  </sheetData>
  <mergeCells count="7">
    <mergeCell ref="A43:G43"/>
    <mergeCell ref="A5:A6"/>
    <mergeCell ref="A1:G1"/>
    <mergeCell ref="A3:G3"/>
    <mergeCell ref="C40:D41"/>
    <mergeCell ref="A4:G4"/>
    <mergeCell ref="A2:G2"/>
  </mergeCells>
  <pageMargins left="0.7" right="0.7" top="0.75" bottom="0.75" header="0.3" footer="0.3"/>
  <pageSetup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Y36"/>
  <sheetViews>
    <sheetView tabSelected="1" view="pageBreakPreview" zoomScale="60" zoomScaleNormal="55" workbookViewId="0">
      <selection activeCell="R7" sqref="R7"/>
    </sheetView>
  </sheetViews>
  <sheetFormatPr defaultColWidth="9.21875" defaultRowHeight="23.4" x14ac:dyDescent="0.45"/>
  <cols>
    <col min="1" max="3" width="5.44140625" style="66" customWidth="1"/>
    <col min="4" max="4" width="11" style="66" customWidth="1"/>
    <col min="5" max="5" width="10.5546875" style="66" customWidth="1"/>
    <col min="6" max="6" width="11.77734375" style="66" customWidth="1"/>
    <col min="7" max="7" width="12.5546875" style="66" customWidth="1"/>
    <col min="8" max="8" width="12.44140625" style="66" customWidth="1"/>
    <col min="9" max="11" width="9.21875" style="66" customWidth="1"/>
    <col min="12" max="12" width="6" style="66" customWidth="1"/>
    <col min="13" max="13" width="5.5546875" style="66" customWidth="1"/>
    <col min="14" max="19" width="9.21875" style="66" customWidth="1"/>
    <col min="20" max="20" width="73.21875" style="66" bestFit="1" customWidth="1"/>
    <col min="21" max="21" width="32.44140625" style="66" bestFit="1" customWidth="1"/>
    <col min="22" max="22" width="9.21875" style="66" customWidth="1"/>
    <col min="23" max="16384" width="9.21875" style="66"/>
  </cols>
  <sheetData>
    <row r="1" spans="2:25" ht="23.55" customHeight="1" thickBot="1" x14ac:dyDescent="0.5"/>
    <row r="2" spans="2:25" x14ac:dyDescent="0.45">
      <c r="B2" s="69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2:25" x14ac:dyDescent="0.45">
      <c r="B3" s="72"/>
      <c r="C3" s="73"/>
      <c r="D3" s="73"/>
      <c r="E3" s="73"/>
      <c r="F3" s="73"/>
      <c r="G3" s="73"/>
      <c r="H3" s="73"/>
      <c r="I3" s="73"/>
      <c r="J3" s="73"/>
      <c r="K3" s="73"/>
      <c r="L3" s="74"/>
    </row>
    <row r="4" spans="2:25" x14ac:dyDescent="0.45">
      <c r="B4" s="72"/>
      <c r="C4" s="73"/>
      <c r="K4" s="73"/>
      <c r="L4" s="74"/>
    </row>
    <row r="5" spans="2:25" x14ac:dyDescent="0.45">
      <c r="B5" s="72"/>
      <c r="C5" s="73"/>
      <c r="K5" s="73"/>
      <c r="L5" s="74"/>
      <c r="T5" s="378"/>
      <c r="U5" s="378"/>
      <c r="V5" s="378"/>
      <c r="W5" s="378"/>
    </row>
    <row r="6" spans="2:25" x14ac:dyDescent="0.45">
      <c r="B6" s="72"/>
      <c r="C6" s="73"/>
      <c r="D6" s="354" t="s">
        <v>183</v>
      </c>
      <c r="E6" s="355"/>
      <c r="F6" s="355"/>
      <c r="G6" s="355"/>
      <c r="H6" s="355"/>
      <c r="I6" s="355"/>
      <c r="J6" s="355"/>
      <c r="K6" s="246"/>
      <c r="L6" s="74"/>
      <c r="T6" s="379"/>
      <c r="U6" s="378"/>
      <c r="V6" s="378"/>
      <c r="W6" s="378"/>
    </row>
    <row r="7" spans="2:25" x14ac:dyDescent="0.45">
      <c r="B7" s="72"/>
      <c r="C7" s="73"/>
      <c r="K7" s="73"/>
      <c r="L7" s="74"/>
      <c r="T7" s="378"/>
      <c r="U7" s="378"/>
      <c r="V7" s="378"/>
      <c r="W7" s="378"/>
    </row>
    <row r="8" spans="2:25" x14ac:dyDescent="0.45">
      <c r="B8" s="72"/>
      <c r="C8" s="73"/>
      <c r="E8" s="354" t="s">
        <v>184</v>
      </c>
      <c r="F8" s="355"/>
      <c r="G8" s="355"/>
      <c r="H8" s="355"/>
      <c r="I8" s="355"/>
      <c r="J8" s="64"/>
      <c r="K8" s="246"/>
      <c r="L8" s="74"/>
      <c r="T8" s="379"/>
      <c r="U8" s="379"/>
      <c r="V8" s="379"/>
      <c r="W8" s="378"/>
      <c r="X8" s="65"/>
      <c r="Y8" s="65"/>
    </row>
    <row r="9" spans="2:25" ht="38.25" customHeight="1" x14ac:dyDescent="0.45">
      <c r="B9" s="72"/>
      <c r="C9" s="73"/>
      <c r="D9" s="354">
        <f>Assumptions.1!I4</f>
        <v>0</v>
      </c>
      <c r="E9" s="355"/>
      <c r="F9" s="355"/>
      <c r="G9" s="355"/>
      <c r="H9" s="355"/>
      <c r="I9" s="355"/>
      <c r="J9" s="355"/>
      <c r="K9" s="246"/>
      <c r="L9" s="74"/>
      <c r="T9" s="378"/>
      <c r="U9" s="378"/>
      <c r="V9" s="378"/>
      <c r="W9" s="378"/>
    </row>
    <row r="10" spans="2:25" ht="32.25" customHeight="1" x14ac:dyDescent="0.45">
      <c r="B10" s="72"/>
      <c r="C10" s="73"/>
      <c r="D10" s="64"/>
      <c r="E10" s="64"/>
      <c r="F10" s="64"/>
      <c r="G10" s="64"/>
      <c r="H10" s="64"/>
      <c r="I10" s="64"/>
      <c r="J10" s="64"/>
      <c r="K10" s="246"/>
      <c r="L10" s="74"/>
      <c r="T10" s="378"/>
      <c r="U10" s="378"/>
      <c r="V10" s="378"/>
      <c r="W10" s="378"/>
    </row>
    <row r="11" spans="2:25" ht="21.75" customHeight="1" x14ac:dyDescent="0.45">
      <c r="B11" s="72"/>
      <c r="C11" s="73"/>
      <c r="K11" s="73"/>
      <c r="L11" s="74"/>
      <c r="T11" s="378"/>
      <c r="U11" s="378"/>
      <c r="V11" s="378"/>
      <c r="W11" s="378"/>
    </row>
    <row r="12" spans="2:25" x14ac:dyDescent="0.45">
      <c r="B12" s="72"/>
      <c r="C12" s="73"/>
      <c r="D12" s="354">
        <f>Assumptions.1!I6</f>
        <v>0</v>
      </c>
      <c r="E12" s="355"/>
      <c r="F12" s="355"/>
      <c r="G12" s="355"/>
      <c r="H12" s="355"/>
      <c r="I12" s="355"/>
      <c r="J12" s="355"/>
      <c r="K12" s="246"/>
      <c r="L12" s="74"/>
      <c r="T12" s="378"/>
      <c r="U12" s="378"/>
      <c r="V12" s="378"/>
      <c r="W12" s="378"/>
    </row>
    <row r="13" spans="2:25" ht="23.55" customHeight="1" thickBot="1" x14ac:dyDescent="0.5">
      <c r="B13" s="72"/>
      <c r="C13" s="73"/>
      <c r="E13" s="67"/>
      <c r="F13" s="67"/>
      <c r="G13" s="67"/>
      <c r="H13" s="67"/>
      <c r="I13" s="67"/>
      <c r="K13" s="73"/>
      <c r="L13" s="74"/>
      <c r="T13" s="378"/>
      <c r="U13" s="378"/>
      <c r="V13" s="378"/>
      <c r="W13" s="378"/>
    </row>
    <row r="14" spans="2:25" x14ac:dyDescent="0.45">
      <c r="B14" s="72"/>
      <c r="C14" s="73"/>
      <c r="K14" s="73"/>
      <c r="L14" s="74"/>
      <c r="T14" s="378"/>
      <c r="U14" s="378"/>
      <c r="V14" s="378"/>
      <c r="W14" s="378"/>
    </row>
    <row r="15" spans="2:25" x14ac:dyDescent="0.45">
      <c r="B15" s="72"/>
      <c r="C15" s="73"/>
      <c r="K15" s="73"/>
      <c r="L15" s="74"/>
      <c r="T15" s="378"/>
      <c r="U15" s="378"/>
      <c r="V15" s="378"/>
      <c r="W15" s="378"/>
    </row>
    <row r="16" spans="2:25" ht="12.75" customHeight="1" x14ac:dyDescent="0.45">
      <c r="B16" s="72"/>
      <c r="C16" s="73"/>
      <c r="D16" s="359">
        <f>Assumptions.1!I9</f>
        <v>0</v>
      </c>
      <c r="E16" s="355"/>
      <c r="F16" s="355"/>
      <c r="G16" s="355"/>
      <c r="H16" s="355"/>
      <c r="I16" s="355"/>
      <c r="J16" s="355"/>
      <c r="K16" s="244"/>
      <c r="L16" s="76"/>
      <c r="T16" s="378"/>
      <c r="U16" s="378"/>
      <c r="V16" s="378"/>
      <c r="W16" s="378"/>
    </row>
    <row r="17" spans="2:23" ht="12.75" customHeight="1" x14ac:dyDescent="0.45">
      <c r="B17" s="72"/>
      <c r="C17" s="73"/>
      <c r="D17" s="355"/>
      <c r="E17" s="355"/>
      <c r="F17" s="355"/>
      <c r="G17" s="355"/>
      <c r="H17" s="355"/>
      <c r="I17" s="355"/>
      <c r="J17" s="355"/>
      <c r="K17" s="244"/>
      <c r="L17" s="76"/>
      <c r="T17" s="378"/>
      <c r="U17" s="378"/>
      <c r="V17" s="378"/>
      <c r="W17" s="378"/>
    </row>
    <row r="18" spans="2:23" ht="12.75" customHeight="1" x14ac:dyDescent="0.45">
      <c r="B18" s="72"/>
      <c r="C18" s="73"/>
      <c r="D18" s="355"/>
      <c r="E18" s="355"/>
      <c r="F18" s="355"/>
      <c r="G18" s="355"/>
      <c r="H18" s="355"/>
      <c r="I18" s="355"/>
      <c r="J18" s="355"/>
      <c r="K18" s="244"/>
      <c r="L18" s="76"/>
      <c r="T18" s="378"/>
      <c r="U18" s="378"/>
      <c r="V18" s="378"/>
      <c r="W18" s="378"/>
    </row>
    <row r="19" spans="2:23" ht="12.75" customHeight="1" x14ac:dyDescent="0.45">
      <c r="B19" s="72"/>
      <c r="C19" s="73"/>
      <c r="D19" s="355"/>
      <c r="E19" s="355"/>
      <c r="F19" s="355"/>
      <c r="G19" s="355"/>
      <c r="H19" s="355"/>
      <c r="I19" s="355"/>
      <c r="J19" s="355"/>
      <c r="K19" s="244"/>
      <c r="L19" s="76"/>
    </row>
    <row r="20" spans="2:23" x14ac:dyDescent="0.45">
      <c r="B20" s="72"/>
      <c r="C20" s="73"/>
      <c r="D20" s="358">
        <f>Assumptions.1!I7</f>
        <v>0</v>
      </c>
      <c r="E20" s="355"/>
      <c r="F20" s="355"/>
      <c r="G20" s="355"/>
      <c r="H20" s="355"/>
      <c r="I20" s="355"/>
      <c r="J20" s="355"/>
      <c r="K20" s="244"/>
      <c r="L20" s="74"/>
    </row>
    <row r="21" spans="2:23" x14ac:dyDescent="0.45">
      <c r="B21" s="72"/>
      <c r="C21" s="73"/>
      <c r="D21" s="355"/>
      <c r="E21" s="355"/>
      <c r="F21" s="355"/>
      <c r="G21" s="355"/>
      <c r="H21" s="355"/>
      <c r="I21" s="355"/>
      <c r="J21" s="355"/>
      <c r="K21" s="244"/>
      <c r="L21" s="74"/>
    </row>
    <row r="22" spans="2:23" x14ac:dyDescent="0.45">
      <c r="B22" s="72"/>
      <c r="C22" s="73"/>
      <c r="D22" s="355"/>
      <c r="E22" s="355"/>
      <c r="F22" s="355"/>
      <c r="G22" s="355"/>
      <c r="H22" s="355"/>
      <c r="I22" s="355"/>
      <c r="J22" s="355"/>
      <c r="K22" s="244"/>
      <c r="L22" s="74"/>
    </row>
    <row r="23" spans="2:23" x14ac:dyDescent="0.45">
      <c r="B23" s="72"/>
      <c r="C23" s="73"/>
      <c r="E23" s="357"/>
      <c r="F23" s="355"/>
      <c r="G23" s="65"/>
      <c r="H23" s="65"/>
      <c r="I23" s="65"/>
      <c r="J23" s="64"/>
      <c r="K23" s="246"/>
      <c r="L23" s="74"/>
    </row>
    <row r="24" spans="2:23" x14ac:dyDescent="0.45">
      <c r="B24" s="72"/>
      <c r="C24" s="73"/>
      <c r="D24" s="354" t="s">
        <v>185</v>
      </c>
      <c r="E24" s="355"/>
      <c r="F24" s="355"/>
      <c r="G24" s="355"/>
      <c r="H24" s="354">
        <f>Assumptions.1!I12</f>
        <v>0</v>
      </c>
      <c r="I24" s="355"/>
      <c r="J24" s="355"/>
      <c r="K24" s="246"/>
      <c r="L24" s="74"/>
    </row>
    <row r="25" spans="2:23" ht="18" customHeight="1" x14ac:dyDescent="0.45">
      <c r="B25" s="72"/>
      <c r="C25" s="73"/>
      <c r="E25" s="65"/>
      <c r="F25" s="65"/>
      <c r="G25" s="65"/>
      <c r="H25" s="65"/>
      <c r="K25" s="73"/>
      <c r="L25" s="76"/>
    </row>
    <row r="26" spans="2:23" ht="23.55" customHeight="1" thickBot="1" x14ac:dyDescent="0.5">
      <c r="B26" s="72"/>
      <c r="C26" s="73"/>
      <c r="E26" s="67"/>
      <c r="F26" s="67"/>
      <c r="G26" s="67"/>
      <c r="H26" s="67"/>
      <c r="I26" s="67"/>
      <c r="K26" s="73"/>
      <c r="L26" s="74"/>
    </row>
    <row r="27" spans="2:23" x14ac:dyDescent="0.45">
      <c r="B27" s="72"/>
      <c r="C27" s="73"/>
      <c r="K27" s="73"/>
      <c r="L27" s="74"/>
    </row>
    <row r="28" spans="2:23" x14ac:dyDescent="0.45">
      <c r="B28" s="72"/>
      <c r="C28" s="73"/>
      <c r="E28" s="356" t="s">
        <v>186</v>
      </c>
      <c r="F28" s="355"/>
      <c r="G28" s="355"/>
      <c r="H28" s="355"/>
      <c r="I28" s="355"/>
      <c r="J28" s="68"/>
      <c r="K28" s="247"/>
      <c r="L28" s="74"/>
    </row>
    <row r="29" spans="2:23" x14ac:dyDescent="0.45">
      <c r="B29" s="72"/>
      <c r="C29" s="73"/>
      <c r="E29" s="65"/>
      <c r="F29" s="65"/>
      <c r="G29" s="65"/>
      <c r="H29" s="65"/>
      <c r="I29" s="65"/>
      <c r="J29" s="65"/>
      <c r="K29" s="248"/>
      <c r="L29" s="74"/>
    </row>
    <row r="30" spans="2:23" x14ac:dyDescent="0.45">
      <c r="B30" s="72"/>
      <c r="C30" s="73"/>
      <c r="D30" s="354" t="s">
        <v>187</v>
      </c>
      <c r="E30" s="355"/>
      <c r="F30" s="355"/>
      <c r="G30" s="355"/>
      <c r="H30" s="355"/>
      <c r="I30" s="355"/>
      <c r="J30" s="355"/>
      <c r="K30" s="246"/>
      <c r="L30" s="74"/>
    </row>
    <row r="31" spans="2:23" x14ac:dyDescent="0.45">
      <c r="B31" s="72"/>
      <c r="C31" s="73"/>
      <c r="D31" s="354" t="s">
        <v>188</v>
      </c>
      <c r="E31" s="355"/>
      <c r="F31" s="355"/>
      <c r="G31" s="355"/>
      <c r="H31" s="355"/>
      <c r="I31" s="355"/>
      <c r="J31" s="355"/>
      <c r="K31" s="246"/>
      <c r="L31" s="74"/>
    </row>
    <row r="32" spans="2:23" x14ac:dyDescent="0.45">
      <c r="B32" s="72"/>
      <c r="C32" s="73"/>
      <c r="D32" s="354" t="s">
        <v>189</v>
      </c>
      <c r="E32" s="355"/>
      <c r="F32" s="355"/>
      <c r="G32" s="355"/>
      <c r="H32" s="355"/>
      <c r="I32" s="355"/>
      <c r="J32" s="355"/>
      <c r="K32" s="246"/>
      <c r="L32" s="74"/>
    </row>
    <row r="33" spans="2:12" x14ac:dyDescent="0.45">
      <c r="B33" s="72"/>
      <c r="C33" s="73"/>
      <c r="D33" s="64"/>
      <c r="E33" s="64"/>
      <c r="F33" s="64"/>
      <c r="G33" s="64"/>
      <c r="H33" s="64"/>
      <c r="I33" s="64"/>
      <c r="J33" s="64"/>
      <c r="K33" s="246"/>
      <c r="L33" s="74"/>
    </row>
    <row r="34" spans="2:12" x14ac:dyDescent="0.45">
      <c r="B34" s="72"/>
      <c r="C34" s="73"/>
      <c r="K34" s="73"/>
      <c r="L34" s="74"/>
    </row>
    <row r="35" spans="2:12" x14ac:dyDescent="0.45"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2:12" ht="23.55" customHeight="1" thickBot="1" x14ac:dyDescent="0.5">
      <c r="B36" s="75"/>
      <c r="C36" s="78"/>
      <c r="D36" s="78"/>
      <c r="E36" s="78"/>
      <c r="F36" s="78"/>
      <c r="G36" s="78"/>
      <c r="H36" s="78"/>
      <c r="I36" s="78"/>
      <c r="J36" s="78"/>
      <c r="K36" s="78"/>
      <c r="L36" s="77"/>
    </row>
  </sheetData>
  <mergeCells count="13">
    <mergeCell ref="D6:J6"/>
    <mergeCell ref="D24:G24"/>
    <mergeCell ref="E23:F23"/>
    <mergeCell ref="D20:J22"/>
    <mergeCell ref="D30:J30"/>
    <mergeCell ref="E8:I8"/>
    <mergeCell ref="D16:J19"/>
    <mergeCell ref="D31:J31"/>
    <mergeCell ref="D32:J32"/>
    <mergeCell ref="H24:J24"/>
    <mergeCell ref="D9:J9"/>
    <mergeCell ref="D12:J12"/>
    <mergeCell ref="E28:I28"/>
  </mergeCells>
  <pageMargins left="0.21" right="0.24" top="0.35433070866141742" bottom="0.31496062992125978" header="0.19685039370078741" footer="0.15748031496062989"/>
  <pageSetup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4"/>
  <sheetViews>
    <sheetView view="pageBreakPreview" topLeftCell="A40" zoomScale="60" zoomScaleNormal="55" workbookViewId="0">
      <selection activeCell="A47" sqref="A47"/>
    </sheetView>
  </sheetViews>
  <sheetFormatPr defaultColWidth="21.77734375" defaultRowHeight="25.8" x14ac:dyDescent="0.5"/>
  <cols>
    <col min="1" max="1" width="65.77734375" style="2" customWidth="1"/>
    <col min="2" max="2" width="20.77734375" style="2" customWidth="1"/>
    <col min="3" max="3" width="22.77734375" style="2" customWidth="1"/>
    <col min="4" max="7" width="20.44140625" style="2" bestFit="1" customWidth="1"/>
    <col min="8" max="8" width="21.77734375" style="2" customWidth="1"/>
    <col min="9" max="16384" width="21.77734375" style="2"/>
  </cols>
  <sheetData>
    <row r="1" spans="1:7" x14ac:dyDescent="0.5">
      <c r="A1" s="339">
        <f>Assumptions.1!I4</f>
        <v>0</v>
      </c>
      <c r="B1" s="340"/>
      <c r="C1" s="340"/>
      <c r="D1" s="340"/>
      <c r="E1" s="340"/>
      <c r="F1" s="340"/>
      <c r="G1" s="340"/>
    </row>
    <row r="2" spans="1:7" x14ac:dyDescent="0.5">
      <c r="A2" s="339">
        <f>Assumptions.1!I6</f>
        <v>0</v>
      </c>
      <c r="B2" s="340"/>
      <c r="C2" s="340"/>
      <c r="D2" s="340"/>
      <c r="E2" s="340"/>
      <c r="F2" s="340"/>
      <c r="G2" s="340"/>
    </row>
    <row r="3" spans="1:7" ht="29.25" customHeight="1" x14ac:dyDescent="0.5">
      <c r="A3" s="339">
        <f>Assumptions.1!I7</f>
        <v>0</v>
      </c>
      <c r="B3" s="340"/>
      <c r="C3" s="340"/>
      <c r="D3" s="340"/>
      <c r="E3" s="340"/>
      <c r="F3" s="340"/>
      <c r="G3" s="340"/>
    </row>
    <row r="4" spans="1:7" ht="57" customHeight="1" x14ac:dyDescent="0.5">
      <c r="A4" s="360" t="s">
        <v>190</v>
      </c>
      <c r="B4" s="335"/>
      <c r="C4" s="335"/>
      <c r="D4" s="335"/>
      <c r="E4" s="335"/>
      <c r="F4" s="335"/>
      <c r="G4" s="335"/>
    </row>
    <row r="5" spans="1:7" ht="37.5" customHeight="1" x14ac:dyDescent="0.5">
      <c r="A5" s="350" t="s">
        <v>121</v>
      </c>
      <c r="B5" s="341" t="s">
        <v>122</v>
      </c>
      <c r="C5" s="100" t="str">
        <f>Assumptions.1!J17</f>
        <v>Estimated</v>
      </c>
      <c r="D5" s="100" t="str">
        <f>Assumptions.1!J18</f>
        <v>Projected</v>
      </c>
      <c r="E5" s="100" t="str">
        <f>Assumptions.1!J19</f>
        <v>Projected</v>
      </c>
      <c r="F5" s="100" t="str">
        <f>Assumptions.1!J20</f>
        <v>Projected</v>
      </c>
      <c r="G5" s="100" t="str">
        <f>Assumptions.1!J21</f>
        <v>Projected</v>
      </c>
    </row>
    <row r="6" spans="1:7" s="3" customFormat="1" ht="75.75" customHeight="1" thickBot="1" x14ac:dyDescent="0.55000000000000004">
      <c r="A6" s="342"/>
      <c r="B6" s="342"/>
      <c r="C6" s="149">
        <f>Assumptions.1!I17</f>
        <v>0</v>
      </c>
      <c r="D6" s="101">
        <f>Assumptions.1!I18</f>
        <v>0</v>
      </c>
      <c r="E6" s="101">
        <f>Assumptions.1!I19</f>
        <v>0</v>
      </c>
      <c r="F6" s="101">
        <f>Assumptions.1!I20</f>
        <v>0</v>
      </c>
      <c r="G6" s="101">
        <f>Assumptions.1!I21</f>
        <v>0</v>
      </c>
    </row>
    <row r="7" spans="1:7" s="3" customFormat="1" ht="25.95" customHeight="1" thickTop="1" x14ac:dyDescent="0.5">
      <c r="A7" s="2"/>
      <c r="C7" s="4"/>
      <c r="D7" s="4"/>
    </row>
    <row r="8" spans="1:7" s="3" customFormat="1" x14ac:dyDescent="0.5">
      <c r="A8" s="5" t="s">
        <v>191</v>
      </c>
      <c r="C8" s="4"/>
      <c r="D8" s="4"/>
    </row>
    <row r="9" spans="1:7" s="3" customFormat="1" x14ac:dyDescent="0.5">
      <c r="A9" s="5"/>
      <c r="C9" s="4"/>
      <c r="D9" s="4"/>
    </row>
    <row r="10" spans="1:7" s="3" customFormat="1" ht="33" customHeight="1" x14ac:dyDescent="0.5">
      <c r="A10" s="2" t="s">
        <v>192</v>
      </c>
      <c r="B10" s="108"/>
      <c r="C10" s="6" t="e">
        <f>ROUND(FinalWorkings!C9,-4)</f>
        <v>#DIV/0!</v>
      </c>
      <c r="D10" s="6" t="e">
        <f>ROUND(FinalWorkings!D9,-4)</f>
        <v>#DIV/0!</v>
      </c>
      <c r="E10" s="6" t="e">
        <f>ROUND(FinalWorkings!E9,-4)</f>
        <v>#DIV/0!</v>
      </c>
      <c r="F10" s="6" t="e">
        <f>ROUND(FinalWorkings!F9,-4)</f>
        <v>#DIV/0!</v>
      </c>
      <c r="G10" s="6" t="e">
        <f>ROUND(FinalWorkings!G9,-4)</f>
        <v>#DIV/0!</v>
      </c>
    </row>
    <row r="11" spans="1:7" s="3" customFormat="1" ht="33" customHeight="1" x14ac:dyDescent="0.5">
      <c r="A11" s="2"/>
      <c r="B11" s="2"/>
      <c r="C11" s="6"/>
      <c r="D11" s="6"/>
      <c r="E11" s="6"/>
      <c r="F11" s="6"/>
      <c r="G11" s="6"/>
    </row>
    <row r="12" spans="1:7" ht="38.25" customHeight="1" x14ac:dyDescent="0.5">
      <c r="C12" s="7" t="e">
        <f>SUM(C10:C11)</f>
        <v>#DIV/0!</v>
      </c>
      <c r="D12" s="7" t="e">
        <f>SUM(D10:D11)</f>
        <v>#DIV/0!</v>
      </c>
      <c r="E12" s="7" t="e">
        <f>SUM(E10:E11)</f>
        <v>#DIV/0!</v>
      </c>
      <c r="F12" s="7" t="e">
        <f>SUM(F10:F11)</f>
        <v>#DIV/0!</v>
      </c>
      <c r="G12" s="7" t="e">
        <f>SUM(G10:G11)</f>
        <v>#DIV/0!</v>
      </c>
    </row>
    <row r="13" spans="1:7" ht="30.75" customHeight="1" x14ac:dyDescent="0.5"/>
    <row r="14" spans="1:7" x14ac:dyDescent="0.5">
      <c r="A14" s="5" t="s">
        <v>193</v>
      </c>
    </row>
    <row r="15" spans="1:7" x14ac:dyDescent="0.5">
      <c r="A15" s="5"/>
    </row>
    <row r="16" spans="1:7" ht="35.25" customHeight="1" x14ac:dyDescent="0.5">
      <c r="A16" s="2" t="s">
        <v>123</v>
      </c>
      <c r="C16" s="6">
        <f>Assumptions.1!F77</f>
        <v>0</v>
      </c>
      <c r="D16" s="6">
        <f>wc!D10</f>
        <v>0</v>
      </c>
      <c r="E16" s="6">
        <f>wc!E10</f>
        <v>0</v>
      </c>
      <c r="F16" s="6">
        <f>wc!F10</f>
        <v>0</v>
      </c>
      <c r="G16" s="6">
        <f>wc!G10</f>
        <v>0</v>
      </c>
    </row>
    <row r="17" spans="1:13" ht="37.5" customHeight="1" x14ac:dyDescent="0.5">
      <c r="A17" s="2" t="s">
        <v>124</v>
      </c>
      <c r="B17" s="108"/>
      <c r="C17" s="6" t="e">
        <f>ROUND(FinalWorkings!C10,-4)</f>
        <v>#DIV/0!</v>
      </c>
      <c r="D17" s="6" t="e">
        <f>ROUND(FinalWorkings!D10,-4)</f>
        <v>#DIV/0!</v>
      </c>
      <c r="E17" s="6" t="e">
        <f>ROUND(FinalWorkings!E10,-4)</f>
        <v>#DIV/0!</v>
      </c>
      <c r="F17" s="6" t="e">
        <f>ROUND(FinalWorkings!F10,-4)</f>
        <v>#DIV/0!</v>
      </c>
      <c r="G17" s="6" t="e">
        <f>ROUND(FinalWorkings!G10,-4)</f>
        <v>#DIV/0!</v>
      </c>
    </row>
    <row r="18" spans="1:13" ht="36" customHeight="1" x14ac:dyDescent="0.5">
      <c r="A18" s="2" t="s">
        <v>168</v>
      </c>
      <c r="C18" s="6">
        <f>ROUND(FinalWorkings!C11,-3)</f>
        <v>0</v>
      </c>
      <c r="D18" s="6">
        <f>ROUND(FinalWorkings!D11,-3)</f>
        <v>0</v>
      </c>
      <c r="E18" s="6">
        <f>ROUND(FinalWorkings!E11,-3)</f>
        <v>0</v>
      </c>
      <c r="F18" s="6">
        <f>ROUND(FinalWorkings!F11,-3)</f>
        <v>0</v>
      </c>
      <c r="G18" s="6">
        <f>ROUND(FinalWorkings!G11,-3)</f>
        <v>0</v>
      </c>
      <c r="I18" s="6"/>
      <c r="J18" s="6"/>
    </row>
    <row r="19" spans="1:13" ht="39.75" customHeight="1" x14ac:dyDescent="0.5">
      <c r="A19" s="3" t="s">
        <v>126</v>
      </c>
      <c r="C19" s="7" t="e">
        <f>C16+C17-C18</f>
        <v>#DIV/0!</v>
      </c>
      <c r="D19" s="7" t="e">
        <f>D16+D17-D18</f>
        <v>#DIV/0!</v>
      </c>
      <c r="E19" s="7" t="e">
        <f>E16+E17-E18</f>
        <v>#DIV/0!</v>
      </c>
      <c r="F19" s="7" t="e">
        <f>F16+F17-F18</f>
        <v>#DIV/0!</v>
      </c>
      <c r="G19" s="7" t="e">
        <f>G16+G17-G18</f>
        <v>#DIV/0!</v>
      </c>
    </row>
    <row r="20" spans="1:13" ht="46.5" customHeight="1" x14ac:dyDescent="0.5">
      <c r="A20" s="5"/>
    </row>
    <row r="21" spans="1:13" s="3" customFormat="1" ht="34.5" customHeight="1" x14ac:dyDescent="0.5">
      <c r="A21" s="5" t="s">
        <v>194</v>
      </c>
      <c r="C21" s="7" t="e">
        <f>C12-C19</f>
        <v>#DIV/0!</v>
      </c>
      <c r="D21" s="7" t="e">
        <f>D12-D19</f>
        <v>#DIV/0!</v>
      </c>
      <c r="E21" s="7" t="e">
        <f>E12-E19</f>
        <v>#DIV/0!</v>
      </c>
      <c r="F21" s="7" t="e">
        <f>F12-F19</f>
        <v>#DIV/0!</v>
      </c>
      <c r="G21" s="7" t="e">
        <f>G12-G19</f>
        <v>#DIV/0!</v>
      </c>
      <c r="I21" s="79"/>
      <c r="J21" s="79"/>
      <c r="K21" s="79"/>
      <c r="L21" s="79"/>
      <c r="M21" s="79"/>
    </row>
    <row r="22" spans="1:13" s="3" customFormat="1" ht="40.5" customHeight="1" x14ac:dyDescent="0.5">
      <c r="A22" s="5"/>
    </row>
    <row r="23" spans="1:13" s="3" customFormat="1" ht="40.5" customHeight="1" x14ac:dyDescent="0.5">
      <c r="A23" s="2" t="s">
        <v>195</v>
      </c>
      <c r="B23" s="108"/>
      <c r="C23" s="7" t="e">
        <f>ROUND(FinalWorkings!C12,-3)</f>
        <v>#DIV/0!</v>
      </c>
      <c r="D23" s="7" t="e">
        <f>ROUND(FinalWorkings!D12,-3)</f>
        <v>#DIV/0!</v>
      </c>
      <c r="E23" s="7" t="e">
        <f>ROUND(FinalWorkings!E12,-3)</f>
        <v>#DIV/0!</v>
      </c>
      <c r="F23" s="7" t="e">
        <f>ROUND(FinalWorkings!F12,-3)</f>
        <v>#DIV/0!</v>
      </c>
      <c r="G23" s="7" t="e">
        <f>ROUND(FinalWorkings!G12,-3)</f>
        <v>#DIV/0!</v>
      </c>
    </row>
    <row r="24" spans="1:13" s="3" customFormat="1" ht="27" customHeight="1" x14ac:dyDescent="0.5">
      <c r="A24" s="2"/>
      <c r="C24" s="7"/>
      <c r="D24" s="7"/>
      <c r="E24" s="7"/>
      <c r="F24" s="7"/>
      <c r="G24" s="7"/>
    </row>
    <row r="25" spans="1:13" ht="38.25" customHeight="1" x14ac:dyDescent="0.5">
      <c r="A25" s="2" t="s">
        <v>196</v>
      </c>
      <c r="B25" s="108" t="s">
        <v>197</v>
      </c>
      <c r="C25" s="6" t="e">
        <f>C86</f>
        <v>#DIV/0!</v>
      </c>
      <c r="D25" s="6" t="e">
        <f>D86</f>
        <v>#DIV/0!</v>
      </c>
      <c r="E25" s="6" t="e">
        <f>E86</f>
        <v>#DIV/0!</v>
      </c>
      <c r="F25" s="6" t="e">
        <f>F86</f>
        <v>#DIV/0!</v>
      </c>
      <c r="G25" s="6" t="e">
        <f>G86</f>
        <v>#DIV/0!</v>
      </c>
      <c r="I25" s="83"/>
      <c r="J25" s="83"/>
      <c r="K25" s="83"/>
      <c r="L25" s="83"/>
      <c r="M25" s="83"/>
    </row>
    <row r="26" spans="1:13" ht="43.5" customHeight="1" x14ac:dyDescent="0.5">
      <c r="B26" s="11"/>
      <c r="I26" s="80"/>
      <c r="J26" s="80"/>
      <c r="K26" s="80"/>
      <c r="L26" s="80"/>
      <c r="M26" s="80"/>
    </row>
    <row r="27" spans="1:13" ht="39.75" customHeight="1" x14ac:dyDescent="0.5">
      <c r="A27" s="5" t="s">
        <v>198</v>
      </c>
      <c r="B27" s="11"/>
      <c r="C27" s="15" t="e">
        <f>C21+C23-C25</f>
        <v>#DIV/0!</v>
      </c>
      <c r="D27" s="15" t="e">
        <f>D21+D23-D25</f>
        <v>#DIV/0!</v>
      </c>
      <c r="E27" s="15" t="e">
        <f>E21+E23-E25</f>
        <v>#DIV/0!</v>
      </c>
      <c r="F27" s="15" t="e">
        <f>F21+F23-F25</f>
        <v>#DIV/0!</v>
      </c>
      <c r="G27" s="15" t="e">
        <f>G21+G23-G25</f>
        <v>#DIV/0!</v>
      </c>
      <c r="I27" s="80"/>
      <c r="J27" s="80"/>
      <c r="K27" s="80"/>
      <c r="L27" s="80"/>
      <c r="M27" s="80"/>
    </row>
    <row r="28" spans="1:13" ht="31.5" customHeight="1" x14ac:dyDescent="0.5">
      <c r="A28" s="3"/>
      <c r="B28" s="11"/>
      <c r="I28" s="83"/>
      <c r="J28" s="83"/>
      <c r="K28" s="83"/>
      <c r="L28" s="83"/>
      <c r="M28" s="83"/>
    </row>
    <row r="29" spans="1:13" ht="37.5" customHeight="1" x14ac:dyDescent="0.5">
      <c r="A29" s="2" t="s">
        <v>199</v>
      </c>
      <c r="B29" s="11"/>
      <c r="C29" s="6">
        <f>Depsch!N17</f>
        <v>0</v>
      </c>
      <c r="D29" s="6">
        <f>Depsch!N24</f>
        <v>0</v>
      </c>
      <c r="E29" s="6">
        <f>Depsch!N31</f>
        <v>0</v>
      </c>
      <c r="F29" s="6">
        <f>Depsch!N38</f>
        <v>0</v>
      </c>
      <c r="G29" s="6">
        <f>Depsch!N45</f>
        <v>0</v>
      </c>
      <c r="I29" s="80"/>
      <c r="J29" s="80"/>
      <c r="K29" s="80"/>
      <c r="L29" s="80"/>
      <c r="M29" s="80"/>
    </row>
    <row r="30" spans="1:13" ht="43.5" customHeight="1" x14ac:dyDescent="0.5">
      <c r="B30" s="11"/>
      <c r="C30" s="6"/>
      <c r="D30" s="6"/>
      <c r="E30" s="6"/>
      <c r="F30" s="6"/>
      <c r="G30" s="6"/>
      <c r="I30" s="80"/>
      <c r="J30" s="80"/>
      <c r="K30" s="80"/>
      <c r="L30" s="80"/>
      <c r="M30" s="80"/>
    </row>
    <row r="31" spans="1:13" s="16" customFormat="1" ht="40.5" customHeight="1" x14ac:dyDescent="0.5">
      <c r="A31" s="5" t="s">
        <v>200</v>
      </c>
      <c r="C31" s="15" t="e">
        <f>C27-C29</f>
        <v>#DIV/0!</v>
      </c>
      <c r="D31" s="15" t="e">
        <f>D27-D29</f>
        <v>#DIV/0!</v>
      </c>
      <c r="E31" s="15" t="e">
        <f>E27-E29</f>
        <v>#DIV/0!</v>
      </c>
      <c r="F31" s="15" t="e">
        <f>F27-F29</f>
        <v>#DIV/0!</v>
      </c>
      <c r="G31" s="15" t="e">
        <f>G27-G29</f>
        <v>#DIV/0!</v>
      </c>
      <c r="I31" s="81"/>
      <c r="J31" s="81"/>
      <c r="K31" s="81"/>
      <c r="L31" s="81"/>
      <c r="M31" s="81"/>
    </row>
    <row r="32" spans="1:13" ht="31.5" customHeight="1" x14ac:dyDescent="0.5">
      <c r="A32" s="3"/>
      <c r="C32" s="6"/>
      <c r="D32" s="6"/>
      <c r="E32" s="6"/>
      <c r="F32" s="6"/>
      <c r="G32" s="6"/>
      <c r="I32" s="80"/>
      <c r="J32" s="80"/>
      <c r="K32" s="80"/>
      <c r="L32" s="80"/>
      <c r="M32" s="80"/>
    </row>
    <row r="33" spans="1:13" ht="40.5" customHeight="1" x14ac:dyDescent="0.5">
      <c r="A33" s="2" t="s">
        <v>201</v>
      </c>
      <c r="B33" s="11"/>
      <c r="C33" s="6">
        <f>ROUND(wc!C27,-3)</f>
        <v>0</v>
      </c>
      <c r="D33" s="6">
        <f>ROUND(wc!D27,-3)</f>
        <v>0</v>
      </c>
      <c r="E33" s="6">
        <f>ROUND(wc!E27,-3)</f>
        <v>0</v>
      </c>
      <c r="F33" s="6">
        <f>ROUND(wc!F27,-3)</f>
        <v>0</v>
      </c>
      <c r="G33" s="6">
        <f>ROUND(wc!G27,-3)</f>
        <v>0</v>
      </c>
      <c r="I33" s="80"/>
      <c r="J33" s="80"/>
      <c r="K33" s="80"/>
      <c r="L33" s="80"/>
      <c r="M33" s="80"/>
    </row>
    <row r="34" spans="1:13" x14ac:dyDescent="0.5">
      <c r="I34" s="80"/>
      <c r="J34" s="80"/>
      <c r="K34" s="80"/>
      <c r="L34" s="80"/>
      <c r="M34" s="80"/>
    </row>
    <row r="35" spans="1:13" s="3" customFormat="1" ht="48" customHeight="1" x14ac:dyDescent="0.5">
      <c r="A35" s="8" t="s">
        <v>202</v>
      </c>
      <c r="B35" s="9"/>
      <c r="C35" s="14" t="e">
        <f>C31-C33</f>
        <v>#DIV/0!</v>
      </c>
      <c r="D35" s="14" t="e">
        <f>D31-D33</f>
        <v>#DIV/0!</v>
      </c>
      <c r="E35" s="14" t="e">
        <f>E31-E33</f>
        <v>#DIV/0!</v>
      </c>
      <c r="F35" s="14" t="e">
        <f>F31-F33</f>
        <v>#DIV/0!</v>
      </c>
      <c r="G35" s="14" t="e">
        <f>G31-G33</f>
        <v>#DIV/0!</v>
      </c>
      <c r="I35" s="82"/>
      <c r="J35" s="82"/>
      <c r="K35" s="82"/>
      <c r="L35" s="82"/>
      <c r="M35" s="82"/>
    </row>
    <row r="36" spans="1:13" s="3" customFormat="1" ht="35.25" customHeight="1" x14ac:dyDescent="0.5">
      <c r="A36" s="8"/>
      <c r="B36" s="9"/>
    </row>
    <row r="37" spans="1:13" ht="25.95" customHeight="1" thickBot="1" x14ac:dyDescent="0.55000000000000004">
      <c r="A37" s="12"/>
      <c r="B37" s="12"/>
      <c r="C37" s="12"/>
      <c r="D37" s="12"/>
      <c r="E37" s="12"/>
      <c r="F37" s="12"/>
      <c r="G37" s="12"/>
    </row>
    <row r="38" spans="1:13" ht="35.25" customHeight="1" x14ac:dyDescent="0.5">
      <c r="A38" s="361">
        <f>A1</f>
        <v>0</v>
      </c>
      <c r="B38" s="362"/>
      <c r="C38" s="362"/>
      <c r="D38" s="362"/>
      <c r="E38" s="362"/>
      <c r="F38" s="362"/>
      <c r="G38" s="362"/>
    </row>
    <row r="39" spans="1:13" ht="39" customHeight="1" x14ac:dyDescent="0.5">
      <c r="A39" s="339">
        <f>A2</f>
        <v>0</v>
      </c>
      <c r="B39" s="340"/>
      <c r="C39" s="340"/>
      <c r="D39" s="340"/>
      <c r="E39" s="340"/>
      <c r="F39" s="340"/>
      <c r="G39" s="340"/>
    </row>
    <row r="40" spans="1:13" ht="44.25" customHeight="1" x14ac:dyDescent="0.5">
      <c r="A40" s="339">
        <f>A3</f>
        <v>0</v>
      </c>
      <c r="B40" s="340"/>
      <c r="C40" s="340"/>
      <c r="D40" s="340"/>
      <c r="E40" s="340"/>
      <c r="F40" s="340"/>
      <c r="G40" s="340"/>
    </row>
    <row r="41" spans="1:13" ht="44.25" customHeight="1" x14ac:dyDescent="0.5">
      <c r="A41" s="1"/>
      <c r="B41" s="1"/>
      <c r="C41" s="1"/>
      <c r="D41" s="1"/>
      <c r="E41" s="1"/>
      <c r="F41" s="1"/>
      <c r="G41" s="1"/>
    </row>
    <row r="42" spans="1:13" ht="48.75" customHeight="1" x14ac:dyDescent="0.5">
      <c r="A42" s="360" t="s">
        <v>203</v>
      </c>
      <c r="B42" s="335"/>
      <c r="C42" s="335"/>
      <c r="D42" s="335"/>
      <c r="E42" s="335"/>
      <c r="F42" s="335"/>
      <c r="G42" s="335"/>
    </row>
    <row r="43" spans="1:13" ht="30.75" customHeight="1" x14ac:dyDescent="0.5">
      <c r="A43" s="341" t="s">
        <v>137</v>
      </c>
      <c r="B43" s="341" t="s">
        <v>122</v>
      </c>
      <c r="C43" s="102" t="str">
        <f>C5</f>
        <v>Estimated</v>
      </c>
      <c r="D43" s="102" t="str">
        <f>D5</f>
        <v>Projected</v>
      </c>
      <c r="E43" s="102" t="str">
        <f>D43</f>
        <v>Projected</v>
      </c>
      <c r="F43" s="102" t="str">
        <f>E43</f>
        <v>Projected</v>
      </c>
      <c r="G43" s="102" t="str">
        <f>F43</f>
        <v>Projected</v>
      </c>
    </row>
    <row r="44" spans="1:13" ht="95.25" customHeight="1" thickBot="1" x14ac:dyDescent="0.55000000000000004">
      <c r="A44" s="342"/>
      <c r="B44" s="342"/>
      <c r="C44" s="118">
        <f>C6</f>
        <v>0</v>
      </c>
      <c r="D44" s="101">
        <f>D6</f>
        <v>0</v>
      </c>
      <c r="E44" s="101">
        <f>E6</f>
        <v>0</v>
      </c>
      <c r="F44" s="101">
        <f>F6</f>
        <v>0</v>
      </c>
      <c r="G44" s="101">
        <f>G6</f>
        <v>0</v>
      </c>
    </row>
    <row r="45" spans="1:13" ht="33.75" customHeight="1" thickTop="1" x14ac:dyDescent="0.5">
      <c r="A45" s="41" t="s">
        <v>138</v>
      </c>
    </row>
    <row r="46" spans="1:13" x14ac:dyDescent="0.5">
      <c r="A46" s="5"/>
    </row>
    <row r="47" spans="1:13" ht="42.75" customHeight="1" x14ac:dyDescent="0.5">
      <c r="A47" s="2" t="s">
        <v>204</v>
      </c>
      <c r="B47" s="108"/>
      <c r="C47" s="48" t="e">
        <f>C55-SUM(C49:C54)</f>
        <v>#DIV/0!</v>
      </c>
      <c r="D47" s="48" t="e">
        <f>D55-SUM(D49:D54)</f>
        <v>#DIV/0!</v>
      </c>
      <c r="E47" s="48" t="e">
        <f>E55-SUM(E49:E54)</f>
        <v>#DIV/0!</v>
      </c>
      <c r="F47" s="48" t="e">
        <f>F55-SUM(F49:F54)</f>
        <v>#DIV/0!</v>
      </c>
      <c r="G47" s="48" t="e">
        <f>G55-SUM(G49:G54)</f>
        <v>#DIV/0!</v>
      </c>
      <c r="H47" s="6"/>
      <c r="I47" s="6"/>
      <c r="J47" s="6"/>
    </row>
    <row r="48" spans="1:13" ht="42.75" customHeight="1" x14ac:dyDescent="0.5">
      <c r="A48" s="50" t="s">
        <v>140</v>
      </c>
      <c r="B48" s="10"/>
    </row>
    <row r="49" spans="1:9" ht="36" customHeight="1" x14ac:dyDescent="0.5"/>
    <row r="50" spans="1:9" ht="42.75" customHeight="1" x14ac:dyDescent="0.5">
      <c r="A50" s="3" t="s">
        <v>141</v>
      </c>
      <c r="B50" s="1"/>
      <c r="I50" s="106"/>
    </row>
    <row r="51" spans="1:9" ht="42.75" customHeight="1" x14ac:dyDescent="0.5">
      <c r="A51" s="2" t="s">
        <v>142</v>
      </c>
      <c r="B51" s="10"/>
      <c r="C51" s="46" t="e">
        <f>ROUND(wc!C39,-5)</f>
        <v>#DIV/0!</v>
      </c>
      <c r="D51" s="46" t="e">
        <f>wc!D39</f>
        <v>#DIV/0!</v>
      </c>
      <c r="E51" s="46" t="e">
        <f>wc!E39</f>
        <v>#DIV/0!</v>
      </c>
      <c r="F51" s="46" t="e">
        <f>wc!F39</f>
        <v>#DIV/0!</v>
      </c>
      <c r="G51" s="46" t="e">
        <f>wc!G39</f>
        <v>#DIV/0!</v>
      </c>
      <c r="H51" s="46"/>
    </row>
    <row r="52" spans="1:9" ht="51" customHeight="1" x14ac:dyDescent="0.5">
      <c r="A52" s="2" t="str">
        <f>FinalWorkings!A22</f>
        <v>Other Current Liabilities</v>
      </c>
      <c r="B52" s="108"/>
      <c r="C52" s="6">
        <f>ROUND(FinalWorkings!C22,-4)</f>
        <v>0</v>
      </c>
      <c r="D52" s="6">
        <f>ROUND(FinalWorkings!D22,-4)</f>
        <v>0</v>
      </c>
      <c r="E52" s="6">
        <f>ROUND(FinalWorkings!E22,-4)</f>
        <v>0</v>
      </c>
      <c r="F52" s="6">
        <f>ROUND(FinalWorkings!F22,-4)</f>
        <v>0</v>
      </c>
      <c r="G52" s="6">
        <f>ROUND(FinalWorkings!G22,-4)</f>
        <v>0</v>
      </c>
    </row>
    <row r="53" spans="1:9" ht="32.25" customHeight="1" x14ac:dyDescent="0.5">
      <c r="B53" s="10"/>
      <c r="C53" s="6"/>
      <c r="D53" s="6"/>
      <c r="E53" s="6"/>
      <c r="F53" s="6"/>
      <c r="G53" s="6"/>
    </row>
    <row r="54" spans="1:9" ht="48.75" customHeight="1" x14ac:dyDescent="0.5">
      <c r="A54" s="3"/>
      <c r="B54" s="10"/>
    </row>
    <row r="55" spans="1:9" ht="47.25" customHeight="1" thickBot="1" x14ac:dyDescent="0.55000000000000004">
      <c r="C55" s="13" t="e">
        <f>C71</f>
        <v>#DIV/0!</v>
      </c>
      <c r="D55" s="13" t="e">
        <f>D71</f>
        <v>#DIV/0!</v>
      </c>
      <c r="E55" s="13" t="e">
        <f>E71</f>
        <v>#DIV/0!</v>
      </c>
      <c r="F55" s="13" t="e">
        <f>F71</f>
        <v>#DIV/0!</v>
      </c>
      <c r="G55" s="13" t="e">
        <f>G71</f>
        <v>#DIV/0!</v>
      </c>
    </row>
    <row r="56" spans="1:9" ht="25.95" customHeight="1" thickTop="1" x14ac:dyDescent="0.5"/>
    <row r="59" spans="1:9" ht="36.75" customHeight="1" x14ac:dyDescent="0.5">
      <c r="A59" s="41" t="s">
        <v>144</v>
      </c>
    </row>
    <row r="60" spans="1:9" ht="36.75" customHeight="1" x14ac:dyDescent="0.5">
      <c r="A60" s="5"/>
    </row>
    <row r="61" spans="1:9" ht="36.75" customHeight="1" x14ac:dyDescent="0.5">
      <c r="A61" s="3" t="s">
        <v>145</v>
      </c>
      <c r="C61" s="6">
        <f>Depsch!N18</f>
        <v>0</v>
      </c>
      <c r="D61" s="6">
        <f>Depsch!N25</f>
        <v>0</v>
      </c>
      <c r="E61" s="6">
        <f>Depsch!N32</f>
        <v>0</v>
      </c>
      <c r="F61" s="6">
        <f>Depsch!N39</f>
        <v>0</v>
      </c>
      <c r="G61" s="6">
        <f>Depsch!N46</f>
        <v>0</v>
      </c>
      <c r="H61" s="6"/>
    </row>
    <row r="62" spans="1:9" ht="31.5" customHeight="1" x14ac:dyDescent="0.5">
      <c r="C62" s="6"/>
      <c r="D62" s="6"/>
      <c r="E62" s="6"/>
      <c r="F62" s="6"/>
      <c r="G62" s="6"/>
    </row>
    <row r="63" spans="1:9" ht="31.5" customHeight="1" x14ac:dyDescent="0.5">
      <c r="A63" s="3" t="str">
        <f>IF(FinalWorkings!C24=0,"",FinalWorkings!A24)</f>
        <v/>
      </c>
      <c r="C63" s="6" t="str">
        <f>IF(FinalWorkings!C24=0,"",FinalWorkings!C24)</f>
        <v/>
      </c>
      <c r="D63" s="6" t="str">
        <f>IF(FinalWorkings!D24=0,"",FinalWorkings!D24)</f>
        <v/>
      </c>
      <c r="E63" s="6" t="str">
        <f>IF(FinalWorkings!E24=0,"",FinalWorkings!E24)</f>
        <v/>
      </c>
      <c r="F63" s="6" t="str">
        <f>IF(FinalWorkings!F24=0,"",FinalWorkings!F24)</f>
        <v/>
      </c>
      <c r="G63" s="6" t="str">
        <f>IF(FinalWorkings!G24=0,"",FinalWorkings!G24)</f>
        <v/>
      </c>
    </row>
    <row r="64" spans="1:9" ht="31.5" customHeight="1" x14ac:dyDescent="0.5">
      <c r="C64" s="6"/>
      <c r="D64" s="6"/>
      <c r="E64" s="6"/>
      <c r="F64" s="6"/>
      <c r="G64" s="6"/>
    </row>
    <row r="65" spans="1:15" ht="42.75" customHeight="1" x14ac:dyDescent="0.5">
      <c r="A65" s="3" t="s">
        <v>147</v>
      </c>
      <c r="B65" s="10"/>
      <c r="I65" s="106"/>
      <c r="J65" s="106"/>
      <c r="K65" s="106"/>
      <c r="L65" s="106"/>
      <c r="M65" s="106"/>
      <c r="N65" s="106"/>
      <c r="O65" s="106"/>
    </row>
    <row r="66" spans="1:15" ht="42.75" customHeight="1" x14ac:dyDescent="0.5">
      <c r="A66" s="2" t="str">
        <f>A18</f>
        <v>Closing Stock / WIP</v>
      </c>
      <c r="B66" s="10"/>
      <c r="C66" s="2">
        <f>C18</f>
        <v>0</v>
      </c>
      <c r="D66" s="2">
        <f>D18</f>
        <v>0</v>
      </c>
      <c r="E66" s="2">
        <f>E18</f>
        <v>0</v>
      </c>
      <c r="F66" s="2">
        <f>F18</f>
        <v>0</v>
      </c>
      <c r="G66" s="6">
        <f>G18</f>
        <v>0</v>
      </c>
      <c r="N66" s="6"/>
    </row>
    <row r="67" spans="1:15" ht="44.25" customHeight="1" x14ac:dyDescent="0.5">
      <c r="A67" s="2" t="s">
        <v>148</v>
      </c>
      <c r="B67" s="108"/>
      <c r="C67" s="6" t="e">
        <f>ROUND(FinalWorkings!C23,-4)</f>
        <v>#DIV/0!</v>
      </c>
      <c r="D67" s="6" t="e">
        <f>ROUND(FinalWorkings!D23,-4)</f>
        <v>#DIV/0!</v>
      </c>
      <c r="E67" s="6" t="e">
        <f>ROUND(FinalWorkings!E23,-4)</f>
        <v>#DIV/0!</v>
      </c>
      <c r="F67" s="6" t="e">
        <f>ROUND(FinalWorkings!F23,-4)</f>
        <v>#DIV/0!</v>
      </c>
      <c r="G67" s="6" t="e">
        <f>ROUND(FinalWorkings!G23,-4)</f>
        <v>#DIV/0!</v>
      </c>
      <c r="H67" s="6"/>
      <c r="N67" s="6"/>
    </row>
    <row r="68" spans="1:15" ht="44.25" customHeight="1" x14ac:dyDescent="0.5">
      <c r="A68" s="2" t="s">
        <v>149</v>
      </c>
      <c r="B68" s="108"/>
      <c r="C68" s="6">
        <f>ROUND(FinalWorkings!C25,-3)</f>
        <v>0</v>
      </c>
      <c r="D68" s="6">
        <f>ROUND(FinalWorkings!D25,-3)</f>
        <v>0</v>
      </c>
      <c r="E68" s="6">
        <f>ROUND(FinalWorkings!E25,-3)</f>
        <v>0</v>
      </c>
      <c r="F68" s="6">
        <f>ROUND(FinalWorkings!F25,-3)</f>
        <v>0</v>
      </c>
      <c r="G68" s="6">
        <f>ROUND(FinalWorkings!G25,-3)</f>
        <v>0</v>
      </c>
      <c r="H68" s="6"/>
      <c r="N68" s="6"/>
    </row>
    <row r="69" spans="1:15" ht="39" customHeight="1" x14ac:dyDescent="0.5">
      <c r="A69" s="2" t="s">
        <v>150</v>
      </c>
      <c r="B69" s="108"/>
      <c r="C69" s="6" t="e">
        <f>ROUND(FinalWorkings!C26,-4)</f>
        <v>#DIV/0!</v>
      </c>
      <c r="D69" s="6" t="e">
        <f>ROUND(FinalWorkings!D26,-4)</f>
        <v>#DIV/0!</v>
      </c>
      <c r="E69" s="6" t="e">
        <f>ROUND(FinalWorkings!E26,-4)</f>
        <v>#DIV/0!</v>
      </c>
      <c r="F69" s="6" t="e">
        <f>ROUND(FinalWorkings!F26,-4)</f>
        <v>#DIV/0!</v>
      </c>
      <c r="G69" s="6" t="e">
        <f>ROUND(FinalWorkings!G26,-4)</f>
        <v>#DIV/0!</v>
      </c>
      <c r="N69" s="84"/>
    </row>
    <row r="70" spans="1:15" ht="39" customHeight="1" x14ac:dyDescent="0.5"/>
    <row r="71" spans="1:15" ht="53.25" customHeight="1" thickBot="1" x14ac:dyDescent="0.55000000000000004">
      <c r="C71" s="13" t="e">
        <f>SUM(C61:C69)</f>
        <v>#DIV/0!</v>
      </c>
      <c r="D71" s="13" t="e">
        <f>SUM(D61:D69)</f>
        <v>#DIV/0!</v>
      </c>
      <c r="E71" s="13" t="e">
        <f>SUM(E60:E70)</f>
        <v>#DIV/0!</v>
      </c>
      <c r="F71" s="13" t="e">
        <f>SUM(F60:F70)</f>
        <v>#DIV/0!</v>
      </c>
      <c r="G71" s="13" t="e">
        <f>SUM(G60:G70)</f>
        <v>#DIV/0!</v>
      </c>
      <c r="I71" s="6"/>
      <c r="J71" s="6"/>
      <c r="K71" s="6"/>
      <c r="L71" s="6"/>
      <c r="M71" s="6"/>
      <c r="N71" s="6"/>
    </row>
    <row r="72" spans="1:15" ht="19.5" customHeight="1" thickTop="1" thickBot="1" x14ac:dyDescent="0.55000000000000004">
      <c r="A72" s="12"/>
      <c r="B72" s="12"/>
      <c r="C72" s="12"/>
      <c r="D72" s="12"/>
      <c r="E72" s="12"/>
      <c r="F72" s="12"/>
      <c r="G72" s="12"/>
      <c r="I72" s="6"/>
      <c r="J72" s="6"/>
      <c r="K72" s="6"/>
      <c r="L72" s="6"/>
      <c r="M72" s="6"/>
    </row>
    <row r="73" spans="1:15" ht="30.75" customHeight="1" x14ac:dyDescent="0.5">
      <c r="C73" s="7"/>
      <c r="D73" s="7"/>
      <c r="E73" s="7"/>
      <c r="F73" s="7"/>
      <c r="G73" s="7"/>
      <c r="I73" s="84"/>
      <c r="J73" s="84"/>
      <c r="K73" s="84"/>
      <c r="L73" s="84"/>
      <c r="M73" s="84"/>
    </row>
    <row r="74" spans="1:15" ht="30" customHeight="1" x14ac:dyDescent="0.5">
      <c r="A74" s="360" t="s">
        <v>205</v>
      </c>
      <c r="B74" s="335"/>
      <c r="C74" s="335"/>
      <c r="D74" s="335"/>
      <c r="E74" s="335"/>
      <c r="F74" s="335"/>
      <c r="G74" s="335"/>
    </row>
    <row r="75" spans="1:15" ht="95.25" customHeight="1" thickBot="1" x14ac:dyDescent="0.55000000000000004">
      <c r="A75" s="51"/>
      <c r="B75" s="51"/>
      <c r="C75" s="119">
        <f>C6</f>
        <v>0</v>
      </c>
      <c r="D75" s="52">
        <f>D6</f>
        <v>0</v>
      </c>
      <c r="E75" s="52">
        <f>E6</f>
        <v>0</v>
      </c>
      <c r="F75" s="52">
        <f>F6</f>
        <v>0</v>
      </c>
      <c r="G75" s="52">
        <f>G6</f>
        <v>0</v>
      </c>
    </row>
    <row r="76" spans="1:15" ht="25.95" customHeight="1" thickTop="1" x14ac:dyDescent="0.5"/>
    <row r="77" spans="1:15" x14ac:dyDescent="0.5">
      <c r="A77" s="2" t="s">
        <v>152</v>
      </c>
      <c r="B77" s="108"/>
      <c r="C77" s="6">
        <f>ROUND(FinalWorkings!C13,-3)</f>
        <v>0</v>
      </c>
      <c r="D77" s="6">
        <f>ROUND(FinalWorkings!D13,-3)</f>
        <v>0</v>
      </c>
      <c r="E77" s="6">
        <f>ROUND(FinalWorkings!E13,-3)</f>
        <v>0</v>
      </c>
      <c r="F77" s="6">
        <f>ROUND(FinalWorkings!F13,-3)</f>
        <v>0</v>
      </c>
      <c r="G77" s="6">
        <f>ROUND(FinalWorkings!G13,-3)</f>
        <v>0</v>
      </c>
      <c r="H77" s="6"/>
    </row>
    <row r="78" spans="1:15" ht="35.25" customHeight="1" x14ac:dyDescent="0.5">
      <c r="A78" s="2" t="s">
        <v>153</v>
      </c>
      <c r="B78" s="108"/>
      <c r="C78" s="6">
        <f>ROUND(FinalWorkings!C14,-4)</f>
        <v>0</v>
      </c>
      <c r="D78" s="6">
        <f>ROUND(FinalWorkings!D14,-4)</f>
        <v>0</v>
      </c>
      <c r="E78" s="6">
        <f>ROUND(FinalWorkings!E14,-4)</f>
        <v>0</v>
      </c>
      <c r="F78" s="6">
        <f>ROUND(FinalWorkings!F14,-4)</f>
        <v>0</v>
      </c>
      <c r="G78" s="6">
        <f>ROUND(FinalWorkings!G14,-4)</f>
        <v>0</v>
      </c>
    </row>
    <row r="79" spans="1:15" ht="30" customHeight="1" x14ac:dyDescent="0.5">
      <c r="A79" s="2" t="s">
        <v>154</v>
      </c>
      <c r="B79" s="108"/>
      <c r="C79" s="6">
        <f>ROUND(FinalWorkings!C15,-3)</f>
        <v>0</v>
      </c>
      <c r="D79" s="6">
        <f>ROUND(FinalWorkings!D15,-3)</f>
        <v>0</v>
      </c>
      <c r="E79" s="6">
        <f>ROUND(FinalWorkings!E15,-3)</f>
        <v>0</v>
      </c>
      <c r="F79" s="6">
        <f>ROUND(FinalWorkings!F15,-3)</f>
        <v>0</v>
      </c>
      <c r="G79" s="6">
        <f>ROUND(FinalWorkings!G15,-3)</f>
        <v>0</v>
      </c>
    </row>
    <row r="80" spans="1:15" ht="27.75" customHeight="1" x14ac:dyDescent="0.5">
      <c r="A80" s="2" t="s">
        <v>155</v>
      </c>
      <c r="B80" s="108"/>
      <c r="C80" s="6">
        <f>wc!C67</f>
        <v>0</v>
      </c>
      <c r="D80" s="6">
        <f>wc!D67</f>
        <v>0</v>
      </c>
      <c r="E80" s="6">
        <f>wc!E67</f>
        <v>0</v>
      </c>
      <c r="F80" s="6">
        <f>wc!F67</f>
        <v>0</v>
      </c>
      <c r="G80" s="6">
        <f>wc!G67</f>
        <v>0</v>
      </c>
    </row>
    <row r="81" spans="1:10" ht="27.75" customHeight="1" x14ac:dyDescent="0.5">
      <c r="A81" s="2" t="s">
        <v>156</v>
      </c>
      <c r="B81" s="108"/>
      <c r="C81" s="6" t="e">
        <f>ROUND(FinalWorkings!C16,-3)</f>
        <v>#DIV/0!</v>
      </c>
      <c r="D81" s="6" t="e">
        <f>ROUND(FinalWorkings!D16,-3)</f>
        <v>#DIV/0!</v>
      </c>
      <c r="E81" s="6" t="e">
        <f>ROUND(FinalWorkings!E16,-3)</f>
        <v>#DIV/0!</v>
      </c>
      <c r="F81" s="6" t="e">
        <f>ROUND(FinalWorkings!F16,-3)</f>
        <v>#DIV/0!</v>
      </c>
      <c r="G81" s="6" t="e">
        <f>ROUND(FinalWorkings!G16,-3)</f>
        <v>#DIV/0!</v>
      </c>
    </row>
    <row r="82" spans="1:10" ht="34.5" customHeight="1" x14ac:dyDescent="0.5">
      <c r="A82" s="2" t="s">
        <v>206</v>
      </c>
      <c r="B82" s="108"/>
      <c r="C82" s="6" t="e">
        <f>ROUND(FinalWorkings!C17,-4)</f>
        <v>#DIV/0!</v>
      </c>
      <c r="D82" s="6" t="e">
        <f>ROUND(FinalWorkings!D17,-4)</f>
        <v>#DIV/0!</v>
      </c>
      <c r="E82" s="6" t="e">
        <f>ROUND(FinalWorkings!E17,-4)</f>
        <v>#DIV/0!</v>
      </c>
      <c r="F82" s="6" t="e">
        <f>ROUND(FinalWorkings!F17,-4)</f>
        <v>#DIV/0!</v>
      </c>
      <c r="G82" s="6" t="e">
        <f>ROUND(FinalWorkings!G17,-4)</f>
        <v>#DIV/0!</v>
      </c>
    </row>
    <row r="83" spans="1:10" ht="27.75" customHeight="1" x14ac:dyDescent="0.5"/>
    <row r="84" spans="1:10" ht="27.75" customHeight="1" x14ac:dyDescent="0.5"/>
    <row r="86" spans="1:10" ht="50.25" customHeight="1" x14ac:dyDescent="0.5">
      <c r="C86" s="47" t="e">
        <f>SUM(C76:C85)</f>
        <v>#DIV/0!</v>
      </c>
      <c r="D86" s="47" t="e">
        <f>SUM(D76:D85)</f>
        <v>#DIV/0!</v>
      </c>
      <c r="E86" s="47" t="e">
        <f>SUM(E76:E85)</f>
        <v>#DIV/0!</v>
      </c>
      <c r="F86" s="47" t="e">
        <f>SUM(F76:F85)</f>
        <v>#DIV/0!</v>
      </c>
      <c r="G86" s="47" t="e">
        <f>SUM(G76:G85)</f>
        <v>#DIV/0!</v>
      </c>
    </row>
    <row r="87" spans="1:10" ht="34.5" customHeight="1" thickBot="1" x14ac:dyDescent="0.55000000000000004">
      <c r="A87" s="12"/>
      <c r="B87" s="12"/>
      <c r="C87" s="116"/>
      <c r="D87" s="117"/>
      <c r="E87" s="12"/>
      <c r="F87" s="12"/>
      <c r="G87" s="12"/>
      <c r="J87" s="6"/>
    </row>
    <row r="88" spans="1:10" ht="25.5" customHeight="1" x14ac:dyDescent="0.5">
      <c r="C88" s="3"/>
      <c r="D88" s="3"/>
    </row>
    <row r="89" spans="1:10" ht="25.5" customHeight="1" x14ac:dyDescent="0.5">
      <c r="C89" s="3"/>
      <c r="D89" s="3"/>
    </row>
    <row r="93" spans="1:10" x14ac:dyDescent="0.5">
      <c r="C93" s="6"/>
      <c r="D93" s="6"/>
      <c r="E93" s="6"/>
      <c r="F93" s="6"/>
      <c r="G93" s="6"/>
    </row>
    <row r="94" spans="1:10" x14ac:dyDescent="0.5">
      <c r="C94" s="6"/>
      <c r="D94" s="6"/>
      <c r="E94" s="6"/>
      <c r="F94" s="6"/>
      <c r="G94" s="6"/>
    </row>
  </sheetData>
  <mergeCells count="13">
    <mergeCell ref="A5:A6"/>
    <mergeCell ref="A43:A44"/>
    <mergeCell ref="A74:G74"/>
    <mergeCell ref="A1:G1"/>
    <mergeCell ref="A40:G40"/>
    <mergeCell ref="B43:B44"/>
    <mergeCell ref="A3:G3"/>
    <mergeCell ref="A39:G39"/>
    <mergeCell ref="A4:G4"/>
    <mergeCell ref="A38:G38"/>
    <mergeCell ref="A2:G2"/>
    <mergeCell ref="B5:B6"/>
    <mergeCell ref="A42:G42"/>
  </mergeCells>
  <pageMargins left="0.19685039370078741" right="0.23622047244094491" top="0.32" bottom="0.24" header="0.18" footer="0.16"/>
  <pageSetup scale="54" orientation="portrait" r:id="rId1"/>
  <rowBreaks count="2" manualBreakCount="2">
    <brk id="37" max="6" man="1"/>
    <brk id="72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8"/>
  <sheetViews>
    <sheetView view="pageBreakPreview" zoomScale="70" zoomScaleSheetLayoutView="70" workbookViewId="0">
      <selection activeCell="O21" sqref="O21"/>
    </sheetView>
  </sheetViews>
  <sheetFormatPr defaultColWidth="9.21875" defaultRowHeight="14.4" x14ac:dyDescent="0.35"/>
  <cols>
    <col min="1" max="1" width="27.5546875" style="18" customWidth="1"/>
    <col min="2" max="2" width="7.77734375" style="18" customWidth="1"/>
    <col min="3" max="4" width="12.44140625" style="18" bestFit="1" customWidth="1"/>
    <col min="5" max="5" width="13.21875" style="18" bestFit="1" customWidth="1"/>
    <col min="6" max="6" width="15.21875" style="18" bestFit="1" customWidth="1"/>
    <col min="7" max="7" width="14" style="18" customWidth="1"/>
    <col min="8" max="8" width="9.21875" style="18" customWidth="1"/>
    <col min="9" max="16384" width="9.21875" style="18"/>
  </cols>
  <sheetData>
    <row r="1" spans="1:7" x14ac:dyDescent="0.35">
      <c r="A1" s="364">
        <f>Assumptions.1!I4</f>
        <v>0</v>
      </c>
      <c r="B1" s="365"/>
      <c r="C1" s="365"/>
      <c r="D1" s="365"/>
      <c r="E1" s="365"/>
      <c r="F1" s="365"/>
      <c r="G1" s="365"/>
    </row>
    <row r="2" spans="1:7" x14ac:dyDescent="0.35">
      <c r="A2" s="364">
        <f>Assumptions.1!I6</f>
        <v>0</v>
      </c>
      <c r="B2" s="365"/>
      <c r="C2" s="365"/>
      <c r="D2" s="365"/>
      <c r="E2" s="365"/>
      <c r="F2" s="365"/>
      <c r="G2" s="365"/>
    </row>
    <row r="3" spans="1:7" x14ac:dyDescent="0.35">
      <c r="A3" s="364">
        <f>Assumptions.1!I7</f>
        <v>0</v>
      </c>
      <c r="B3" s="365"/>
      <c r="C3" s="365"/>
      <c r="D3" s="365"/>
      <c r="E3" s="365"/>
      <c r="F3" s="365"/>
      <c r="G3" s="365"/>
    </row>
    <row r="5" spans="1:7" x14ac:dyDescent="0.35">
      <c r="A5" s="371" t="s">
        <v>207</v>
      </c>
      <c r="B5" s="365"/>
      <c r="C5" s="365"/>
      <c r="D5" s="365"/>
      <c r="E5" s="365"/>
      <c r="F5" s="365"/>
      <c r="G5" s="365"/>
    </row>
    <row r="6" spans="1:7" x14ac:dyDescent="0.35">
      <c r="A6" s="17"/>
      <c r="B6" s="17"/>
      <c r="C6" s="17"/>
      <c r="D6" s="17"/>
      <c r="E6" s="17"/>
      <c r="F6" s="17"/>
    </row>
    <row r="7" spans="1:7" x14ac:dyDescent="0.35">
      <c r="A7" s="250" t="s">
        <v>208</v>
      </c>
      <c r="B7" s="17"/>
      <c r="C7" s="17"/>
      <c r="D7" s="17"/>
    </row>
    <row r="8" spans="1:7" x14ac:dyDescent="0.35">
      <c r="A8" s="30"/>
      <c r="C8" s="369" t="s">
        <v>209</v>
      </c>
      <c r="D8" s="335"/>
      <c r="E8" s="335"/>
      <c r="F8" s="335"/>
      <c r="G8" s="335"/>
    </row>
    <row r="9" spans="1:7" ht="27.45" customHeight="1" thickBot="1" x14ac:dyDescent="0.4">
      <c r="A9" s="56" t="s">
        <v>137</v>
      </c>
      <c r="B9" s="54"/>
      <c r="C9" s="120">
        <f>wc!C6</f>
        <v>0</v>
      </c>
      <c r="D9" s="55">
        <f>wc!D6</f>
        <v>0</v>
      </c>
      <c r="E9" s="55">
        <f>wc!E6</f>
        <v>0</v>
      </c>
      <c r="F9" s="55">
        <f>wc!F6</f>
        <v>0</v>
      </c>
      <c r="G9" s="55">
        <f>wc!G6</f>
        <v>0</v>
      </c>
    </row>
    <row r="10" spans="1:7" ht="15.45" customHeight="1" x14ac:dyDescent="0.35">
      <c r="D10" s="33"/>
    </row>
    <row r="11" spans="1:7" x14ac:dyDescent="0.35">
      <c r="A11" s="18" t="s">
        <v>210</v>
      </c>
      <c r="C11" s="26" t="str">
        <f>IFERROR(C13/C14, "N/A")</f>
        <v>N/A</v>
      </c>
      <c r="D11" s="26" t="str">
        <f>IFERROR(D13/D14, "N/A")</f>
        <v>N/A</v>
      </c>
      <c r="E11" s="26" t="str">
        <f>IFERROR(E13/E14, "N/A")</f>
        <v>N/A</v>
      </c>
      <c r="F11" s="26" t="str">
        <f>IFERROR(F13/F14, "N/A")</f>
        <v>N/A</v>
      </c>
      <c r="G11" s="26" t="str">
        <f>IFERROR(G13/G14, "N/A")</f>
        <v>N/A</v>
      </c>
    </row>
    <row r="12" spans="1:7" x14ac:dyDescent="0.35">
      <c r="C12" s="26"/>
      <c r="D12" s="26"/>
    </row>
    <row r="13" spans="1:7" x14ac:dyDescent="0.35">
      <c r="A13" s="18" t="s">
        <v>211</v>
      </c>
      <c r="C13" s="31" t="e">
        <f>SUM(plbs!C66:C70)</f>
        <v>#DIV/0!</v>
      </c>
      <c r="D13" s="31" t="e">
        <f>SUM(plbs!D66:D70)</f>
        <v>#DIV/0!</v>
      </c>
      <c r="E13" s="31" t="e">
        <f>SUM(plbs!E66:E70)</f>
        <v>#DIV/0!</v>
      </c>
      <c r="F13" s="31" t="e">
        <f>SUM(plbs!F66:F70)</f>
        <v>#DIV/0!</v>
      </c>
      <c r="G13" s="31" t="e">
        <f>SUM(plbs!G66:G70)</f>
        <v>#DIV/0!</v>
      </c>
    </row>
    <row r="14" spans="1:7" x14ac:dyDescent="0.35">
      <c r="A14" s="18" t="s">
        <v>212</v>
      </c>
      <c r="C14" s="31" t="e">
        <f>SUM(plbs!C51:C54)</f>
        <v>#DIV/0!</v>
      </c>
      <c r="D14" s="31" t="e">
        <f>SUM(plbs!D51:D54)</f>
        <v>#DIV/0!</v>
      </c>
      <c r="E14" s="31" t="e">
        <f>SUM(plbs!E51:E54)</f>
        <v>#DIV/0!</v>
      </c>
      <c r="F14" s="31" t="e">
        <f>SUM(plbs!F51:F54)</f>
        <v>#DIV/0!</v>
      </c>
      <c r="G14" s="31" t="e">
        <f>SUM(plbs!G51:G54)</f>
        <v>#DIV/0!</v>
      </c>
    </row>
    <row r="15" spans="1:7" x14ac:dyDescent="0.35">
      <c r="C15" s="31" t="e">
        <f>C13-C14</f>
        <v>#DIV/0!</v>
      </c>
      <c r="D15" s="31" t="e">
        <f>D13-D14</f>
        <v>#DIV/0!</v>
      </c>
      <c r="E15" s="31" t="e">
        <f>E13-E14</f>
        <v>#DIV/0!</v>
      </c>
      <c r="F15" s="31" t="e">
        <f>F13-F14</f>
        <v>#DIV/0!</v>
      </c>
      <c r="G15" s="31" t="e">
        <f>G13-G14</f>
        <v>#DIV/0!</v>
      </c>
    </row>
    <row r="16" spans="1:7" ht="16.05" customHeight="1" thickBot="1" x14ac:dyDescent="0.4">
      <c r="A16" s="21" t="s">
        <v>213</v>
      </c>
      <c r="B16" s="21"/>
      <c r="C16" s="21"/>
      <c r="D16" s="34"/>
      <c r="E16" s="21"/>
      <c r="F16" s="21"/>
      <c r="G16" s="21"/>
    </row>
    <row r="17" spans="1:8" x14ac:dyDescent="0.35">
      <c r="A17" s="17"/>
      <c r="B17" s="17"/>
      <c r="C17" s="17"/>
      <c r="D17" s="17"/>
      <c r="E17" s="17"/>
      <c r="F17" s="17"/>
    </row>
    <row r="18" spans="1:8" x14ac:dyDescent="0.35">
      <c r="A18" s="251" t="s">
        <v>214</v>
      </c>
    </row>
    <row r="19" spans="1:8" ht="27.45" customHeight="1" thickBot="1" x14ac:dyDescent="0.4">
      <c r="A19" s="56" t="s">
        <v>137</v>
      </c>
      <c r="B19" s="54"/>
      <c r="C19" s="120">
        <f>wc!C6</f>
        <v>0</v>
      </c>
      <c r="D19" s="55">
        <f>wc!D6</f>
        <v>0</v>
      </c>
      <c r="E19" s="55">
        <f>wc!E6</f>
        <v>0</v>
      </c>
      <c r="F19" s="55">
        <f>wc!F6</f>
        <v>0</v>
      </c>
      <c r="G19" s="55">
        <f>wc!G6</f>
        <v>0</v>
      </c>
    </row>
    <row r="20" spans="1:8" ht="14.55" customHeight="1" x14ac:dyDescent="0.35">
      <c r="A20" s="24"/>
      <c r="B20" s="27"/>
      <c r="C20" s="25"/>
      <c r="D20" s="25"/>
    </row>
    <row r="21" spans="1:8" x14ac:dyDescent="0.35">
      <c r="A21" s="18" t="s">
        <v>215</v>
      </c>
      <c r="C21" s="26" t="str">
        <f>IFERROR(plbs!C10/plbs!C67, "N/A")</f>
        <v>N/A</v>
      </c>
      <c r="D21" s="26" t="str">
        <f>IFERROR(plbs!D10/plbs!D67, "N/A")</f>
        <v>N/A</v>
      </c>
      <c r="E21" s="26" t="str">
        <f>IFERROR(plbs!E10/plbs!E67, "N/A")</f>
        <v>N/A</v>
      </c>
      <c r="F21" s="26" t="str">
        <f>IFERROR(plbs!F10/plbs!F67, "N/A")</f>
        <v>N/A</v>
      </c>
      <c r="G21" s="26" t="str">
        <f>IFERROR(plbs!G10/plbs!G67, "N/A")</f>
        <v>N/A</v>
      </c>
    </row>
    <row r="22" spans="1:8" x14ac:dyDescent="0.35">
      <c r="A22" s="370" t="s">
        <v>216</v>
      </c>
      <c r="B22" s="365"/>
    </row>
    <row r="24" spans="1:8" x14ac:dyDescent="0.35">
      <c r="A24" s="366" t="s">
        <v>217</v>
      </c>
      <c r="B24" s="365"/>
      <c r="C24" s="365"/>
      <c r="D24" s="365"/>
      <c r="E24" s="365"/>
      <c r="F24" s="365"/>
      <c r="G24" s="365"/>
      <c r="H24" s="365"/>
    </row>
    <row r="25" spans="1:8" x14ac:dyDescent="0.35">
      <c r="A25" s="18" t="s">
        <v>218</v>
      </c>
    </row>
    <row r="27" spans="1:8" x14ac:dyDescent="0.35">
      <c r="A27" s="292" t="s">
        <v>219</v>
      </c>
      <c r="B27" s="27"/>
      <c r="C27" s="293" t="str">
        <f>IFERROR(B30/C21, "N/A")</f>
        <v>N/A</v>
      </c>
      <c r="D27" s="293" t="str">
        <f>IFERROR(B30/D21, "N/A")</f>
        <v>N/A</v>
      </c>
      <c r="E27" s="293" t="str">
        <f>IFERROR(B30/E21, "N/A")</f>
        <v>N/A</v>
      </c>
      <c r="F27" s="293" t="str">
        <f>IFERROR(B30/F21, "N/A")</f>
        <v>N/A</v>
      </c>
      <c r="G27" s="293" t="str">
        <f>IFERROR(B30/G21, "N/A")</f>
        <v>N/A</v>
      </c>
    </row>
    <row r="28" spans="1:8" x14ac:dyDescent="0.35">
      <c r="A28" s="366" t="s">
        <v>220</v>
      </c>
      <c r="B28" s="365"/>
    </row>
    <row r="30" spans="1:8" ht="13.95" customHeight="1" thickBot="1" x14ac:dyDescent="0.4">
      <c r="A30" s="28" t="s">
        <v>221</v>
      </c>
      <c r="B30" s="29">
        <v>365</v>
      </c>
      <c r="C30" s="21"/>
      <c r="D30" s="21"/>
      <c r="E30" s="21"/>
      <c r="F30" s="21"/>
      <c r="G30" s="21"/>
    </row>
    <row r="31" spans="1:8" x14ac:dyDescent="0.35">
      <c r="A31" s="17"/>
      <c r="B31" s="17"/>
      <c r="C31" s="17"/>
      <c r="D31" s="17"/>
      <c r="E31" s="17"/>
      <c r="F31" s="17"/>
    </row>
    <row r="32" spans="1:8" x14ac:dyDescent="0.35">
      <c r="A32" s="250" t="s">
        <v>222</v>
      </c>
    </row>
    <row r="33" spans="1:7" x14ac:dyDescent="0.35">
      <c r="A33" s="35"/>
    </row>
    <row r="34" spans="1:7" ht="27.45" customHeight="1" thickBot="1" x14ac:dyDescent="0.4">
      <c r="A34" s="56" t="s">
        <v>137</v>
      </c>
      <c r="B34" s="54"/>
      <c r="C34" s="120">
        <f>wc!C6</f>
        <v>0</v>
      </c>
      <c r="D34" s="55">
        <f>wc!D6</f>
        <v>0</v>
      </c>
      <c r="E34" s="55">
        <f>wc!E6</f>
        <v>0</v>
      </c>
      <c r="F34" s="55">
        <f>wc!F6</f>
        <v>0</v>
      </c>
      <c r="G34" s="55">
        <f>wc!G6</f>
        <v>0</v>
      </c>
    </row>
    <row r="36" spans="1:7" x14ac:dyDescent="0.35">
      <c r="A36" s="18" t="s">
        <v>223</v>
      </c>
      <c r="C36" s="26" t="str">
        <f>IFERROR(plbs!C21/plbs!C12*100, "N/A")</f>
        <v>N/A</v>
      </c>
      <c r="D36" s="26" t="str">
        <f>IFERROR(plbs!D21/plbs!D12*100, "N/A")</f>
        <v>N/A</v>
      </c>
      <c r="E36" s="26" t="str">
        <f>IFERROR(plbs!E21/plbs!E12*100, "N/A")</f>
        <v>N/A</v>
      </c>
      <c r="F36" s="26" t="str">
        <f>IFERROR(plbs!F21/plbs!F12*100, "N/A")</f>
        <v>N/A</v>
      </c>
      <c r="G36" s="26" t="str">
        <f>IFERROR(plbs!G21/plbs!G12*100, "N/A")</f>
        <v>N/A</v>
      </c>
    </row>
    <row r="37" spans="1:7" x14ac:dyDescent="0.35">
      <c r="C37" s="26"/>
      <c r="D37" s="26"/>
    </row>
    <row r="38" spans="1:7" ht="13.95" customHeight="1" thickBot="1" x14ac:dyDescent="0.4">
      <c r="A38" s="32" t="s">
        <v>224</v>
      </c>
      <c r="B38" s="21"/>
      <c r="C38" s="21"/>
      <c r="D38" s="21"/>
      <c r="E38" s="21"/>
      <c r="F38" s="21"/>
      <c r="G38" s="21"/>
    </row>
    <row r="39" spans="1:7" ht="15.45" customHeight="1" x14ac:dyDescent="0.35">
      <c r="D39" s="33"/>
    </row>
    <row r="40" spans="1:7" ht="15.45" customHeight="1" x14ac:dyDescent="0.35">
      <c r="A40" s="250" t="s">
        <v>225</v>
      </c>
      <c r="D40" s="33"/>
    </row>
    <row r="41" spans="1:7" ht="15.45" customHeight="1" x14ac:dyDescent="0.35">
      <c r="A41" s="35"/>
      <c r="D41" s="33"/>
    </row>
    <row r="42" spans="1:7" ht="27.45" customHeight="1" thickBot="1" x14ac:dyDescent="0.4">
      <c r="A42" s="56" t="s">
        <v>137</v>
      </c>
      <c r="B42" s="54"/>
      <c r="C42" s="120">
        <f>wc!C6</f>
        <v>0</v>
      </c>
      <c r="D42" s="55">
        <f>wc!D6</f>
        <v>0</v>
      </c>
      <c r="E42" s="55">
        <f>wc!E6</f>
        <v>0</v>
      </c>
      <c r="F42" s="55">
        <f>wc!F6</f>
        <v>0</v>
      </c>
      <c r="G42" s="55">
        <f>wc!G6</f>
        <v>0</v>
      </c>
    </row>
    <row r="43" spans="1:7" ht="15.45" customHeight="1" x14ac:dyDescent="0.35">
      <c r="D43" s="33"/>
    </row>
    <row r="44" spans="1:7" x14ac:dyDescent="0.35">
      <c r="A44" s="18" t="s">
        <v>226</v>
      </c>
      <c r="C44" s="26" t="str">
        <f>IFERROR(plbs!C35/plbs!C12*100, "N/A")</f>
        <v>N/A</v>
      </c>
      <c r="D44" s="26" t="str">
        <f>IFERROR(plbs!D35/plbs!D12*100, "N/A")</f>
        <v>N/A</v>
      </c>
      <c r="E44" s="26" t="str">
        <f>IFERROR(plbs!E35/plbs!E12*100, "N/A")</f>
        <v>N/A</v>
      </c>
      <c r="F44" s="26" t="str">
        <f>IFERROR(plbs!F35/plbs!F12*100, "N/A")</f>
        <v>N/A</v>
      </c>
      <c r="G44" s="26" t="str">
        <f>IFERROR(plbs!G35/plbs!G12*100, "N/A")</f>
        <v>N/A</v>
      </c>
    </row>
    <row r="45" spans="1:7" x14ac:dyDescent="0.35">
      <c r="C45" s="26"/>
      <c r="D45" s="26"/>
    </row>
    <row r="46" spans="1:7" ht="16.05" customHeight="1" thickBot="1" x14ac:dyDescent="0.4">
      <c r="A46" s="32" t="s">
        <v>227</v>
      </c>
      <c r="B46" s="21"/>
      <c r="C46" s="21"/>
      <c r="D46" s="34"/>
      <c r="E46" s="21"/>
      <c r="F46" s="21"/>
      <c r="G46" s="21"/>
    </row>
    <row r="47" spans="1:7" x14ac:dyDescent="0.35">
      <c r="A47" s="17"/>
      <c r="B47" s="17"/>
      <c r="C47" s="17"/>
      <c r="D47" s="17"/>
      <c r="E47" s="17"/>
      <c r="F47" s="17"/>
    </row>
    <row r="48" spans="1:7" x14ac:dyDescent="0.35">
      <c r="A48" s="250" t="s">
        <v>228</v>
      </c>
    </row>
    <row r="49" spans="1:7" x14ac:dyDescent="0.35">
      <c r="D49" s="368" t="s">
        <v>229</v>
      </c>
      <c r="E49" s="335"/>
      <c r="F49" s="335"/>
      <c r="G49" s="335"/>
    </row>
    <row r="50" spans="1:7" ht="48" customHeight="1" thickBot="1" x14ac:dyDescent="0.4">
      <c r="A50" s="53" t="s">
        <v>230</v>
      </c>
      <c r="B50" s="54"/>
      <c r="C50" s="120">
        <f>wc!C6</f>
        <v>0</v>
      </c>
      <c r="D50" s="55">
        <f>wc!D6</f>
        <v>0</v>
      </c>
      <c r="E50" s="55">
        <f>wc!E6</f>
        <v>0</v>
      </c>
      <c r="F50" s="55">
        <f>wc!F6</f>
        <v>0</v>
      </c>
      <c r="G50" s="55">
        <f>wc!G6</f>
        <v>0</v>
      </c>
    </row>
    <row r="52" spans="1:7" x14ac:dyDescent="0.35">
      <c r="A52" s="18" t="s">
        <v>231</v>
      </c>
      <c r="C52" s="26" t="str">
        <f>IFERROR(C54/C55, "N/A")</f>
        <v>N/A</v>
      </c>
      <c r="D52" s="26" t="str">
        <f>IFERROR(D54/D55, "N/A")</f>
        <v>N/A</v>
      </c>
      <c r="E52" s="26" t="str">
        <f>IFERROR(E54/E55, "N/A")</f>
        <v>N/A</v>
      </c>
      <c r="F52" s="26" t="str">
        <f>IFERROR(F54/F55, "N/A")</f>
        <v>N/A</v>
      </c>
      <c r="G52" s="26" t="str">
        <f>IFERROR(G54/G55, "N/A")</f>
        <v>N/A</v>
      </c>
    </row>
    <row r="53" spans="1:7" x14ac:dyDescent="0.35">
      <c r="C53" s="26"/>
      <c r="D53" s="26"/>
      <c r="E53" s="26"/>
      <c r="F53" s="26"/>
      <c r="G53" s="26"/>
    </row>
    <row r="54" spans="1:7" x14ac:dyDescent="0.35">
      <c r="A54" s="18" t="s">
        <v>232</v>
      </c>
      <c r="C54" s="31" t="e">
        <f>plbs!C31</f>
        <v>#DIV/0!</v>
      </c>
      <c r="D54" s="31" t="e">
        <f>plbs!D31</f>
        <v>#DIV/0!</v>
      </c>
      <c r="E54" s="31" t="e">
        <f>plbs!E31</f>
        <v>#DIV/0!</v>
      </c>
      <c r="F54" s="31" t="e">
        <f>plbs!F31</f>
        <v>#DIV/0!</v>
      </c>
      <c r="G54" s="31" t="e">
        <f>plbs!G31</f>
        <v>#DIV/0!</v>
      </c>
    </row>
    <row r="55" spans="1:7" x14ac:dyDescent="0.35">
      <c r="A55" s="18" t="s">
        <v>233</v>
      </c>
      <c r="C55" s="31">
        <f>plbs!C33</f>
        <v>0</v>
      </c>
      <c r="D55" s="31">
        <f>plbs!D33</f>
        <v>0</v>
      </c>
      <c r="E55" s="31">
        <f>plbs!E33</f>
        <v>0</v>
      </c>
      <c r="F55" s="31">
        <f>plbs!F33</f>
        <v>0</v>
      </c>
      <c r="G55" s="31">
        <f>plbs!G33</f>
        <v>0</v>
      </c>
    </row>
    <row r="56" spans="1:7" x14ac:dyDescent="0.35">
      <c r="C56" s="26"/>
      <c r="D56" s="26"/>
    </row>
    <row r="57" spans="1:7" ht="13.95" customHeight="1" thickBot="1" x14ac:dyDescent="0.4">
      <c r="A57" s="21" t="s">
        <v>234</v>
      </c>
      <c r="B57" s="21"/>
      <c r="C57" s="21"/>
      <c r="D57" s="21"/>
      <c r="E57" s="21"/>
      <c r="F57" s="21"/>
      <c r="G57" s="21"/>
    </row>
    <row r="58" spans="1:7" x14ac:dyDescent="0.35">
      <c r="A58" s="17"/>
      <c r="B58" s="17"/>
      <c r="C58" s="17"/>
      <c r="D58" s="17"/>
      <c r="E58" s="17"/>
      <c r="F58" s="17"/>
      <c r="G58" s="17"/>
    </row>
    <row r="59" spans="1:7" x14ac:dyDescent="0.35">
      <c r="A59" s="17"/>
      <c r="B59" s="17"/>
      <c r="C59" s="17"/>
      <c r="D59" s="17"/>
      <c r="E59" s="17"/>
      <c r="F59" s="17"/>
      <c r="G59" s="17"/>
    </row>
    <row r="60" spans="1:7" x14ac:dyDescent="0.35">
      <c r="A60" s="251" t="s">
        <v>235</v>
      </c>
      <c r="B60" s="43"/>
      <c r="C60" s="17"/>
      <c r="D60" s="17"/>
    </row>
    <row r="61" spans="1:7" x14ac:dyDescent="0.35">
      <c r="A61" s="17"/>
      <c r="B61" s="17"/>
      <c r="C61" s="17"/>
      <c r="D61" s="17"/>
    </row>
    <row r="62" spans="1:7" ht="45.75" customHeight="1" thickBot="1" x14ac:dyDescent="0.4">
      <c r="A62" s="53" t="s">
        <v>137</v>
      </c>
      <c r="B62" s="57"/>
      <c r="C62" s="120">
        <f>wc!C6</f>
        <v>0</v>
      </c>
      <c r="D62" s="53">
        <f>wc!D6</f>
        <v>0</v>
      </c>
      <c r="E62" s="53">
        <f>wc!E6</f>
        <v>0</v>
      </c>
      <c r="F62" s="53">
        <f>wc!F6</f>
        <v>0</v>
      </c>
      <c r="G62" s="53">
        <f>wc!G6</f>
        <v>0</v>
      </c>
    </row>
    <row r="63" spans="1:7" x14ac:dyDescent="0.35">
      <c r="A63" s="17"/>
      <c r="B63" s="17"/>
      <c r="C63" s="17"/>
      <c r="D63" s="17"/>
    </row>
    <row r="64" spans="1:7" x14ac:dyDescent="0.35">
      <c r="A64" s="18" t="s">
        <v>236</v>
      </c>
      <c r="B64" s="17"/>
      <c r="C64" s="45" t="e">
        <f>C13-C14</f>
        <v>#DIV/0!</v>
      </c>
      <c r="D64" s="45" t="e">
        <f>D13-D14</f>
        <v>#DIV/0!</v>
      </c>
      <c r="E64" s="45" t="e">
        <f>E13-E14</f>
        <v>#DIV/0!</v>
      </c>
      <c r="F64" s="45" t="e">
        <f>F13-F14</f>
        <v>#DIV/0!</v>
      </c>
      <c r="G64" s="45" t="e">
        <f>G13-G14</f>
        <v>#DIV/0!</v>
      </c>
    </row>
    <row r="65" spans="1:7" x14ac:dyDescent="0.35">
      <c r="B65" s="17"/>
      <c r="C65" s="22"/>
      <c r="D65" s="22"/>
    </row>
    <row r="66" spans="1:7" x14ac:dyDescent="0.35">
      <c r="A66" s="23" t="s">
        <v>237</v>
      </c>
      <c r="B66" s="17"/>
      <c r="C66" s="19" t="e">
        <f>plbs!C10/RATIO!C64</f>
        <v>#DIV/0!</v>
      </c>
      <c r="D66" s="19" t="e">
        <f>plbs!D10/RATIO!D64</f>
        <v>#DIV/0!</v>
      </c>
      <c r="E66" s="19" t="e">
        <f>plbs!E10/RATIO!E64</f>
        <v>#DIV/0!</v>
      </c>
      <c r="F66" s="19" t="e">
        <f>plbs!F10/RATIO!F64</f>
        <v>#DIV/0!</v>
      </c>
      <c r="G66" s="19" t="e">
        <f>plbs!G10/RATIO!G64</f>
        <v>#DIV/0!</v>
      </c>
    </row>
    <row r="67" spans="1:7" x14ac:dyDescent="0.35">
      <c r="A67" s="17"/>
      <c r="B67" s="17"/>
      <c r="C67" s="17"/>
      <c r="D67" s="17"/>
    </row>
    <row r="68" spans="1:7" ht="13.95" customHeight="1" thickBot="1" x14ac:dyDescent="0.4">
      <c r="A68" s="367" t="s">
        <v>238</v>
      </c>
      <c r="B68" s="344"/>
      <c r="C68" s="20"/>
      <c r="D68" s="20"/>
      <c r="E68" s="21"/>
      <c r="F68" s="21"/>
      <c r="G68" s="21"/>
    </row>
    <row r="69" spans="1:7" x14ac:dyDescent="0.35">
      <c r="A69" s="17"/>
      <c r="B69" s="17"/>
      <c r="C69" s="17"/>
      <c r="D69" s="17"/>
    </row>
    <row r="70" spans="1:7" x14ac:dyDescent="0.35">
      <c r="A70" s="251" t="s">
        <v>239</v>
      </c>
      <c r="B70" s="17"/>
      <c r="C70" s="17"/>
      <c r="D70" s="17"/>
      <c r="E70" s="17"/>
      <c r="F70" s="17"/>
      <c r="G70" s="17"/>
    </row>
    <row r="71" spans="1:7" x14ac:dyDescent="0.35">
      <c r="A71" s="42"/>
    </row>
    <row r="72" spans="1:7" ht="48" customHeight="1" thickBot="1" x14ac:dyDescent="0.4">
      <c r="A72" s="56" t="s">
        <v>137</v>
      </c>
      <c r="B72" s="58"/>
      <c r="C72" s="120">
        <f>wc!C6</f>
        <v>0</v>
      </c>
      <c r="D72" s="55">
        <f>wc!D6</f>
        <v>0</v>
      </c>
      <c r="E72" s="55">
        <f>wc!E6</f>
        <v>0</v>
      </c>
      <c r="F72" s="55">
        <f>wc!F6</f>
        <v>0</v>
      </c>
      <c r="G72" s="55">
        <f>wc!G6</f>
        <v>0</v>
      </c>
    </row>
    <row r="73" spans="1:7" ht="14.55" customHeight="1" x14ac:dyDescent="0.35">
      <c r="A73" s="24"/>
      <c r="C73" s="25"/>
      <c r="D73" s="25"/>
    </row>
    <row r="74" spans="1:7" x14ac:dyDescent="0.35">
      <c r="A74" s="44" t="s">
        <v>240</v>
      </c>
      <c r="C74" s="31" t="e">
        <f>plbs!C19</f>
        <v>#DIV/0!</v>
      </c>
      <c r="D74" s="31" t="e">
        <f>plbs!D19</f>
        <v>#DIV/0!</v>
      </c>
      <c r="E74" s="31" t="e">
        <f>plbs!E19</f>
        <v>#DIV/0!</v>
      </c>
      <c r="F74" s="31" t="e">
        <f>plbs!F19</f>
        <v>#DIV/0!</v>
      </c>
      <c r="G74" s="31" t="e">
        <f>plbs!G19</f>
        <v>#DIV/0!</v>
      </c>
    </row>
    <row r="75" spans="1:7" x14ac:dyDescent="0.35">
      <c r="A75" s="18" t="s">
        <v>241</v>
      </c>
      <c r="C75" s="18">
        <f>(plbs!C16+plbs!C18)/2</f>
        <v>0</v>
      </c>
      <c r="D75" s="18">
        <f>(plbs!D16+plbs!D18)/2</f>
        <v>0</v>
      </c>
      <c r="E75" s="18">
        <f>(plbs!E16+plbs!E18)/2</f>
        <v>0</v>
      </c>
      <c r="F75" s="18">
        <f>(plbs!F16+plbs!F18)/2</f>
        <v>0</v>
      </c>
      <c r="G75" s="18">
        <f>(plbs!G16+plbs!G18)/2</f>
        <v>0</v>
      </c>
    </row>
    <row r="76" spans="1:7" x14ac:dyDescent="0.35">
      <c r="A76" s="18" t="s">
        <v>242</v>
      </c>
      <c r="C76" s="26" t="e">
        <f>C74/C75</f>
        <v>#DIV/0!</v>
      </c>
      <c r="D76" s="26" t="e">
        <f>D74/D75</f>
        <v>#DIV/0!</v>
      </c>
      <c r="E76" s="26" t="e">
        <f>E74/E75</f>
        <v>#DIV/0!</v>
      </c>
      <c r="F76" s="26" t="e">
        <f>F74/F75</f>
        <v>#DIV/0!</v>
      </c>
      <c r="G76" s="26" t="e">
        <f>G74/G75</f>
        <v>#DIV/0!</v>
      </c>
    </row>
    <row r="77" spans="1:7" ht="6.75" customHeight="1" x14ac:dyDescent="0.35"/>
    <row r="78" spans="1:7" ht="14.25" customHeight="1" x14ac:dyDescent="0.35">
      <c r="A78" s="18" t="s">
        <v>243</v>
      </c>
    </row>
    <row r="79" spans="1:7" x14ac:dyDescent="0.35">
      <c r="A79" s="18" t="s">
        <v>244</v>
      </c>
    </row>
    <row r="80" spans="1:7" ht="13.95" customHeight="1" thickBot="1" x14ac:dyDescent="0.4">
      <c r="A80" s="363" t="s">
        <v>245</v>
      </c>
      <c r="B80" s="344"/>
      <c r="C80" s="344"/>
      <c r="D80" s="344"/>
      <c r="E80" s="21"/>
      <c r="F80" s="21"/>
      <c r="G80" s="21"/>
    </row>
    <row r="81" spans="1:7" x14ac:dyDescent="0.35">
      <c r="A81" s="23"/>
      <c r="B81" s="23"/>
      <c r="C81" s="23"/>
      <c r="D81" s="23"/>
    </row>
    <row r="83" spans="1:7" ht="15.45" customHeight="1" x14ac:dyDescent="0.35">
      <c r="A83" s="250" t="s">
        <v>246</v>
      </c>
      <c r="D83" s="33"/>
    </row>
    <row r="84" spans="1:7" ht="15.45" customHeight="1" x14ac:dyDescent="0.35">
      <c r="A84" s="35"/>
      <c r="D84" s="33"/>
    </row>
    <row r="85" spans="1:7" ht="50.25" customHeight="1" thickBot="1" x14ac:dyDescent="0.4">
      <c r="A85" s="56" t="s">
        <v>137</v>
      </c>
      <c r="B85" s="54"/>
      <c r="C85" s="120">
        <f>wc!C6</f>
        <v>0</v>
      </c>
      <c r="D85" s="55">
        <f>wc!D6</f>
        <v>0</v>
      </c>
      <c r="E85" s="55">
        <f>wc!E6</f>
        <v>0</v>
      </c>
      <c r="F85" s="55">
        <f>wc!F6</f>
        <v>0</v>
      </c>
      <c r="G85" s="55">
        <f>wc!G6</f>
        <v>0</v>
      </c>
    </row>
    <row r="86" spans="1:7" ht="15.45" customHeight="1" x14ac:dyDescent="0.35">
      <c r="D86" s="33"/>
    </row>
    <row r="87" spans="1:7" x14ac:dyDescent="0.35">
      <c r="A87" s="18" t="s">
        <v>247</v>
      </c>
      <c r="C87" s="26" t="e">
        <f>SUM(plbs!C49:C54)/plbs!C47</f>
        <v>#DIV/0!</v>
      </c>
      <c r="D87" s="26" t="e">
        <f>SUM(plbs!D49:D54)/plbs!D47</f>
        <v>#DIV/0!</v>
      </c>
      <c r="E87" s="26" t="e">
        <f>SUM(plbs!E49:E54)/plbs!E47</f>
        <v>#DIV/0!</v>
      </c>
      <c r="F87" s="26" t="e">
        <f>SUM(plbs!F49:F54)/plbs!F47</f>
        <v>#DIV/0!</v>
      </c>
      <c r="G87" s="26" t="e">
        <f>SUM(plbs!G49:G54)/plbs!G47</f>
        <v>#DIV/0!</v>
      </c>
    </row>
    <row r="88" spans="1:7" x14ac:dyDescent="0.35">
      <c r="C88" s="26"/>
      <c r="D88" s="26"/>
    </row>
    <row r="89" spans="1:7" ht="16.05" customHeight="1" thickBot="1" x14ac:dyDescent="0.4">
      <c r="A89" s="21" t="s">
        <v>248</v>
      </c>
      <c r="B89" s="21"/>
      <c r="C89" s="21"/>
      <c r="D89" s="34"/>
      <c r="E89" s="21"/>
      <c r="F89" s="21"/>
      <c r="G89" s="21"/>
    </row>
    <row r="90" spans="1:7" ht="15.45" customHeight="1" x14ac:dyDescent="0.35">
      <c r="D90" s="33"/>
    </row>
    <row r="91" spans="1:7" x14ac:dyDescent="0.35">
      <c r="A91" s="250" t="s">
        <v>249</v>
      </c>
    </row>
    <row r="93" spans="1:7" ht="51" customHeight="1" thickBot="1" x14ac:dyDescent="0.4">
      <c r="A93" s="53" t="s">
        <v>137</v>
      </c>
      <c r="B93" s="54"/>
      <c r="C93" s="120">
        <f>wc!C6</f>
        <v>0</v>
      </c>
      <c r="D93" s="55">
        <f>wc!D6</f>
        <v>0</v>
      </c>
      <c r="E93" s="55">
        <f>wc!E6</f>
        <v>0</v>
      </c>
      <c r="F93" s="55">
        <f>wc!F6</f>
        <v>0</v>
      </c>
      <c r="G93" s="55">
        <f>wc!G6</f>
        <v>0</v>
      </c>
    </row>
    <row r="95" spans="1:7" x14ac:dyDescent="0.35">
      <c r="A95" s="18" t="s">
        <v>250</v>
      </c>
      <c r="C95" s="26" t="e">
        <f>plbs!C35/(plbs!C47+plbs!C48+plbs!C49)</f>
        <v>#DIV/0!</v>
      </c>
      <c r="D95" s="26" t="e">
        <f>plbs!D35/(plbs!D47+plbs!D48+plbs!D49)</f>
        <v>#DIV/0!</v>
      </c>
      <c r="E95" s="26" t="e">
        <f>plbs!E35/(plbs!E47+plbs!E48+plbs!E49)</f>
        <v>#DIV/0!</v>
      </c>
      <c r="F95" s="26" t="e">
        <f>plbs!F35/(plbs!F47+plbs!F48+plbs!F49)</f>
        <v>#DIV/0!</v>
      </c>
      <c r="G95" s="26" t="e">
        <f>plbs!G35/(plbs!G47+plbs!G48+plbs!G49)</f>
        <v>#DIV/0!</v>
      </c>
    </row>
    <row r="97" spans="1:7" ht="13.95" customHeight="1" thickBot="1" x14ac:dyDescent="0.4">
      <c r="A97" s="21" t="s">
        <v>251</v>
      </c>
      <c r="B97" s="21"/>
      <c r="C97" s="21"/>
      <c r="D97" s="21"/>
      <c r="E97" s="21"/>
      <c r="F97" s="21"/>
      <c r="G97" s="21"/>
    </row>
    <row r="98" spans="1:7" ht="15.45" customHeight="1" x14ac:dyDescent="0.35">
      <c r="D98" s="33"/>
    </row>
  </sheetData>
  <mergeCells count="11">
    <mergeCell ref="A80:D80"/>
    <mergeCell ref="A1:G1"/>
    <mergeCell ref="A3:G3"/>
    <mergeCell ref="A24:H24"/>
    <mergeCell ref="A68:B68"/>
    <mergeCell ref="A28:B28"/>
    <mergeCell ref="A2:G2"/>
    <mergeCell ref="D49:G49"/>
    <mergeCell ref="C8:G8"/>
    <mergeCell ref="A22:B22"/>
    <mergeCell ref="A5:G5"/>
  </mergeCells>
  <pageMargins left="0.19685039370078741" right="0.23622047244094491" top="0.62992125984251968" bottom="0.31496062992125978" header="0.51181102362204722" footer="0.19685039370078741"/>
  <pageSetup scale="99" orientation="portrait" r:id="rId1"/>
  <rowBreaks count="2" manualBreakCount="2">
    <brk id="39" max="6" man="1"/>
    <brk id="81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3"/>
  <sheetViews>
    <sheetView view="pageBreakPreview" topLeftCell="A22" zoomScale="93" zoomScaleSheetLayoutView="93" workbookViewId="0">
      <selection activeCell="I27" sqref="I27"/>
    </sheetView>
  </sheetViews>
  <sheetFormatPr defaultColWidth="9.21875" defaultRowHeight="14.4" x14ac:dyDescent="0.3"/>
  <cols>
    <col min="1" max="1" width="44.44140625" style="36" customWidth="1"/>
    <col min="2" max="2" width="12.21875" style="36" customWidth="1"/>
    <col min="3" max="3" width="11.77734375" style="36" bestFit="1" customWidth="1"/>
    <col min="4" max="6" width="12.44140625" style="36" bestFit="1" customWidth="1"/>
    <col min="7" max="7" width="9.21875" style="36" customWidth="1"/>
    <col min="8" max="16384" width="9.21875" style="36"/>
  </cols>
  <sheetData>
    <row r="1" spans="1:6" x14ac:dyDescent="0.3">
      <c r="A1" s="372">
        <f>Assumptions.1!I4</f>
        <v>0</v>
      </c>
      <c r="B1" s="373"/>
      <c r="C1" s="373"/>
      <c r="D1" s="373"/>
      <c r="E1" s="373"/>
      <c r="F1" s="373"/>
    </row>
    <row r="2" spans="1:6" x14ac:dyDescent="0.3">
      <c r="A2" s="372">
        <f>Assumptions.1!I6</f>
        <v>0</v>
      </c>
      <c r="B2" s="373"/>
      <c r="C2" s="373"/>
      <c r="D2" s="373"/>
      <c r="E2" s="373"/>
      <c r="F2" s="373"/>
    </row>
    <row r="3" spans="1:6" x14ac:dyDescent="0.3">
      <c r="A3" s="372">
        <f>Assumptions.1!I7</f>
        <v>0</v>
      </c>
      <c r="B3" s="373"/>
      <c r="C3" s="373"/>
      <c r="D3" s="373"/>
      <c r="E3" s="373"/>
      <c r="F3" s="373"/>
    </row>
    <row r="5" spans="1:6" x14ac:dyDescent="0.3">
      <c r="A5" s="374" t="s">
        <v>252</v>
      </c>
      <c r="B5" s="373"/>
      <c r="C5" s="373"/>
      <c r="D5" s="373"/>
      <c r="E5" s="373"/>
      <c r="F5" s="373"/>
    </row>
    <row r="7" spans="1:6" x14ac:dyDescent="0.3">
      <c r="A7" s="38" t="s">
        <v>253</v>
      </c>
    </row>
    <row r="8" spans="1:6" ht="35.25" customHeight="1" thickBot="1" x14ac:dyDescent="0.35">
      <c r="A8" s="59" t="s">
        <v>121</v>
      </c>
      <c r="B8" s="121">
        <f>wc!C6</f>
        <v>0</v>
      </c>
      <c r="C8" s="60">
        <f>wc!D6</f>
        <v>0</v>
      </c>
      <c r="D8" s="60">
        <f>wc!E6</f>
        <v>0</v>
      </c>
      <c r="E8" s="60">
        <f>wc!F6</f>
        <v>0</v>
      </c>
      <c r="F8" s="60">
        <f>wc!G6</f>
        <v>0</v>
      </c>
    </row>
    <row r="9" spans="1:6" ht="22.5" customHeight="1" thickTop="1" x14ac:dyDescent="0.3">
      <c r="B9" s="39"/>
      <c r="C9" s="39"/>
      <c r="D9" s="39"/>
      <c r="E9" s="39"/>
      <c r="F9" s="39"/>
    </row>
    <row r="10" spans="1:6" ht="21" customHeight="1" x14ac:dyDescent="0.3">
      <c r="A10" s="36" t="s">
        <v>254</v>
      </c>
      <c r="B10" s="40" t="e">
        <f>SUM(plbs!C65:C70)</f>
        <v>#DIV/0!</v>
      </c>
      <c r="C10" s="40" t="e">
        <f>SUM(plbs!D65:D70)</f>
        <v>#DIV/0!</v>
      </c>
      <c r="D10" s="40" t="e">
        <f>SUM(plbs!E65:E70)</f>
        <v>#DIV/0!</v>
      </c>
      <c r="E10" s="40" t="e">
        <f>SUM(plbs!F65:F70)</f>
        <v>#DIV/0!</v>
      </c>
      <c r="F10" s="40" t="e">
        <f>SUM(plbs!G65:G70)</f>
        <v>#DIV/0!</v>
      </c>
    </row>
    <row r="11" spans="1:6" ht="21" customHeight="1" x14ac:dyDescent="0.3">
      <c r="B11" s="40"/>
      <c r="C11" s="40"/>
      <c r="D11" s="40"/>
      <c r="E11" s="40"/>
      <c r="F11" s="40"/>
    </row>
    <row r="12" spans="1:6" ht="19.5" customHeight="1" x14ac:dyDescent="0.3">
      <c r="A12" s="36" t="s">
        <v>255</v>
      </c>
      <c r="B12" s="40">
        <f>plbs!C52+plbs!C53+plbs!C54</f>
        <v>0</v>
      </c>
      <c r="C12" s="40">
        <f>plbs!D52+plbs!D53+plbs!D54</f>
        <v>0</v>
      </c>
      <c r="D12" s="40">
        <f>plbs!E52+plbs!E53+plbs!E54</f>
        <v>0</v>
      </c>
      <c r="E12" s="40">
        <f>plbs!F52+plbs!F53+plbs!F54</f>
        <v>0</v>
      </c>
      <c r="F12" s="40">
        <f>plbs!G52+plbs!G53+plbs!G54</f>
        <v>0</v>
      </c>
    </row>
    <row r="13" spans="1:6" ht="17.25" customHeight="1" x14ac:dyDescent="0.3">
      <c r="A13" s="36" t="s">
        <v>256</v>
      </c>
    </row>
    <row r="14" spans="1:6" ht="17.25" customHeight="1" x14ac:dyDescent="0.3"/>
    <row r="15" spans="1:6" ht="19.5" customHeight="1" x14ac:dyDescent="0.3">
      <c r="A15" s="36" t="s">
        <v>257</v>
      </c>
      <c r="B15" s="40" t="e">
        <f>+B10-B12</f>
        <v>#DIV/0!</v>
      </c>
      <c r="C15" s="40" t="e">
        <f>+C10-C12</f>
        <v>#DIV/0!</v>
      </c>
      <c r="D15" s="40" t="e">
        <f>+D10-D12</f>
        <v>#DIV/0!</v>
      </c>
      <c r="E15" s="40" t="e">
        <f>+E10-E12</f>
        <v>#DIV/0!</v>
      </c>
      <c r="F15" s="40" t="e">
        <f>+F10-F12</f>
        <v>#DIV/0!</v>
      </c>
    </row>
    <row r="16" spans="1:6" ht="19.5" customHeight="1" x14ac:dyDescent="0.3">
      <c r="B16" s="40"/>
      <c r="C16" s="40"/>
      <c r="D16" s="40"/>
      <c r="E16" s="40"/>
      <c r="F16" s="40"/>
    </row>
    <row r="17" spans="1:6" ht="19.5" customHeight="1" x14ac:dyDescent="0.3">
      <c r="A17" s="36" t="s">
        <v>258</v>
      </c>
    </row>
    <row r="18" spans="1:6" ht="16.5" customHeight="1" x14ac:dyDescent="0.3">
      <c r="A18" s="36" t="s">
        <v>259</v>
      </c>
      <c r="B18" s="40" t="e">
        <f>+B15*0.25</f>
        <v>#DIV/0!</v>
      </c>
      <c r="C18" s="40" t="e">
        <f>+C15*0.25</f>
        <v>#DIV/0!</v>
      </c>
      <c r="D18" s="40" t="e">
        <f>+D15*0.25</f>
        <v>#DIV/0!</v>
      </c>
      <c r="E18" s="40" t="e">
        <f>+E15*0.25</f>
        <v>#DIV/0!</v>
      </c>
      <c r="F18" s="40" t="e">
        <f>+F15*0.25</f>
        <v>#DIV/0!</v>
      </c>
    </row>
    <row r="19" spans="1:6" ht="18.75" customHeight="1" x14ac:dyDescent="0.3">
      <c r="A19" s="36" t="s">
        <v>260</v>
      </c>
    </row>
    <row r="21" spans="1:6" x14ac:dyDescent="0.3">
      <c r="A21" s="36" t="s">
        <v>261</v>
      </c>
      <c r="B21" s="40" t="e">
        <f>RATIO!C15</f>
        <v>#DIV/0!</v>
      </c>
      <c r="C21" s="40" t="e">
        <f>RATIO!D15</f>
        <v>#DIV/0!</v>
      </c>
      <c r="D21" s="40" t="e">
        <f>RATIO!E15</f>
        <v>#DIV/0!</v>
      </c>
      <c r="E21" s="40" t="e">
        <f>RATIO!F15</f>
        <v>#DIV/0!</v>
      </c>
      <c r="F21" s="40" t="e">
        <f>RATIO!G15</f>
        <v>#DIV/0!</v>
      </c>
    </row>
    <row r="22" spans="1:6" x14ac:dyDescent="0.3">
      <c r="B22" s="40"/>
      <c r="C22" s="40"/>
      <c r="D22" s="40"/>
      <c r="E22" s="40"/>
      <c r="F22" s="40"/>
    </row>
    <row r="23" spans="1:6" x14ac:dyDescent="0.3">
      <c r="A23" s="36" t="s">
        <v>262</v>
      </c>
      <c r="B23" s="40" t="e">
        <f>+B15-B18</f>
        <v>#DIV/0!</v>
      </c>
      <c r="C23" s="40" t="e">
        <f>+C15-C18</f>
        <v>#DIV/0!</v>
      </c>
      <c r="D23" s="40" t="e">
        <f>+D15-D18</f>
        <v>#DIV/0!</v>
      </c>
      <c r="E23" s="40" t="e">
        <f>+E15-E18</f>
        <v>#DIV/0!</v>
      </c>
      <c r="F23" s="40" t="e">
        <f>+F15-F18</f>
        <v>#DIV/0!</v>
      </c>
    </row>
    <row r="24" spans="1:6" x14ac:dyDescent="0.3">
      <c r="B24" s="40"/>
      <c r="C24" s="40"/>
      <c r="D24" s="40"/>
      <c r="E24" s="40"/>
      <c r="F24" s="40"/>
    </row>
    <row r="25" spans="1:6" x14ac:dyDescent="0.3">
      <c r="A25" s="36" t="s">
        <v>263</v>
      </c>
      <c r="B25" s="40" t="e">
        <f>B15-B21</f>
        <v>#DIV/0!</v>
      </c>
      <c r="C25" s="40" t="e">
        <f>C15-C21</f>
        <v>#DIV/0!</v>
      </c>
      <c r="D25" s="40" t="e">
        <f>D15-D21</f>
        <v>#DIV/0!</v>
      </c>
      <c r="E25" s="40" t="e">
        <f>E15-E21</f>
        <v>#DIV/0!</v>
      </c>
      <c r="F25" s="40" t="e">
        <f>F15-F21</f>
        <v>#DIV/0!</v>
      </c>
    </row>
    <row r="26" spans="1:6" x14ac:dyDescent="0.3">
      <c r="B26" s="40"/>
      <c r="C26" s="40"/>
      <c r="D26" s="40"/>
      <c r="E26" s="40"/>
      <c r="F26" s="40"/>
    </row>
    <row r="27" spans="1:6" x14ac:dyDescent="0.3">
      <c r="A27" s="37" t="s">
        <v>264</v>
      </c>
      <c r="B27" s="61" t="e">
        <f>IF(B23&lt;B25,B23,B25)</f>
        <v>#DIV/0!</v>
      </c>
      <c r="C27" s="61" t="e">
        <f>IF(C23&lt;C25,C23,C25)</f>
        <v>#DIV/0!</v>
      </c>
      <c r="D27" s="61" t="e">
        <f>IF(D23&lt;D25,D23,D25)</f>
        <v>#DIV/0!</v>
      </c>
      <c r="E27" s="61" t="e">
        <f>IF(E23&lt;E25,E23,E25)</f>
        <v>#DIV/0!</v>
      </c>
      <c r="F27" s="61" t="e">
        <f>IF(F23&lt;F25,F23,F25)</f>
        <v>#DIV/0!</v>
      </c>
    </row>
    <row r="28" spans="1:6" x14ac:dyDescent="0.3">
      <c r="A28" s="37" t="s">
        <v>265</v>
      </c>
      <c r="B28" s="37"/>
      <c r="C28" s="37"/>
      <c r="D28" s="37"/>
      <c r="E28" s="37"/>
      <c r="F28" s="37"/>
    </row>
    <row r="29" spans="1:6" ht="15" customHeight="1" thickBot="1" x14ac:dyDescent="0.35">
      <c r="A29" s="49"/>
      <c r="B29" s="49"/>
      <c r="C29" s="49"/>
      <c r="D29" s="49"/>
      <c r="E29" s="49"/>
      <c r="F29" s="49"/>
    </row>
    <row r="31" spans="1:6" x14ac:dyDescent="0.3">
      <c r="A31" s="38" t="s">
        <v>266</v>
      </c>
    </row>
    <row r="32" spans="1:6" ht="29.55" customHeight="1" thickBot="1" x14ac:dyDescent="0.35">
      <c r="A32" s="59" t="s">
        <v>121</v>
      </c>
      <c r="B32" s="121">
        <f>B8</f>
        <v>0</v>
      </c>
      <c r="C32" s="60">
        <f>C8</f>
        <v>0</v>
      </c>
      <c r="D32" s="60">
        <f>D8</f>
        <v>0</v>
      </c>
      <c r="E32" s="60">
        <f>E8</f>
        <v>0</v>
      </c>
      <c r="F32" s="60">
        <f>F8</f>
        <v>0</v>
      </c>
    </row>
    <row r="33" spans="1:6" ht="15" customHeight="1" thickTop="1" x14ac:dyDescent="0.3">
      <c r="B33" s="39"/>
      <c r="C33" s="39"/>
      <c r="D33" s="39"/>
      <c r="E33" s="39"/>
      <c r="F33" s="39"/>
    </row>
    <row r="34" spans="1:6" x14ac:dyDescent="0.3">
      <c r="A34" s="36" t="s">
        <v>254</v>
      </c>
      <c r="B34" s="40" t="e">
        <f>B10</f>
        <v>#DIV/0!</v>
      </c>
      <c r="C34" s="40" t="e">
        <f>C10</f>
        <v>#DIV/0!</v>
      </c>
      <c r="D34" s="40" t="e">
        <f>D10</f>
        <v>#DIV/0!</v>
      </c>
      <c r="E34" s="40" t="e">
        <f>E10</f>
        <v>#DIV/0!</v>
      </c>
      <c r="F34" s="40" t="e">
        <f>F10</f>
        <v>#DIV/0!</v>
      </c>
    </row>
    <row r="35" spans="1:6" x14ac:dyDescent="0.3">
      <c r="B35" s="40"/>
      <c r="C35" s="40"/>
      <c r="D35" s="40"/>
      <c r="E35" s="40"/>
      <c r="F35" s="40"/>
    </row>
    <row r="36" spans="1:6" x14ac:dyDescent="0.3">
      <c r="A36" s="36" t="s">
        <v>255</v>
      </c>
      <c r="B36" s="40">
        <f>B12</f>
        <v>0</v>
      </c>
      <c r="C36" s="40">
        <f>C12</f>
        <v>0</v>
      </c>
      <c r="D36" s="40">
        <f>D12</f>
        <v>0</v>
      </c>
      <c r="E36" s="40">
        <f>E12</f>
        <v>0</v>
      </c>
      <c r="F36" s="40">
        <f>F12</f>
        <v>0</v>
      </c>
    </row>
    <row r="37" spans="1:6" x14ac:dyDescent="0.3">
      <c r="A37" s="36" t="s">
        <v>256</v>
      </c>
    </row>
    <row r="39" spans="1:6" x14ac:dyDescent="0.3">
      <c r="A39" s="36" t="s">
        <v>257</v>
      </c>
      <c r="B39" s="40" t="e">
        <f>+B34-B36</f>
        <v>#DIV/0!</v>
      </c>
      <c r="C39" s="40" t="e">
        <f>+C34-C36</f>
        <v>#DIV/0!</v>
      </c>
      <c r="D39" s="40" t="e">
        <f>+D34-D36</f>
        <v>#DIV/0!</v>
      </c>
      <c r="E39" s="40" t="e">
        <f>+E34-E36</f>
        <v>#DIV/0!</v>
      </c>
      <c r="F39" s="40" t="e">
        <f>+F34-F36</f>
        <v>#DIV/0!</v>
      </c>
    </row>
    <row r="40" spans="1:6" x14ac:dyDescent="0.3">
      <c r="B40" s="40"/>
      <c r="C40" s="40"/>
      <c r="D40" s="40"/>
      <c r="E40" s="40"/>
      <c r="F40" s="40"/>
    </row>
    <row r="41" spans="1:6" x14ac:dyDescent="0.3">
      <c r="A41" s="36" t="s">
        <v>258</v>
      </c>
    </row>
    <row r="42" spans="1:6" x14ac:dyDescent="0.3">
      <c r="A42" s="36" t="s">
        <v>267</v>
      </c>
      <c r="B42" s="40" t="e">
        <f>25/100*B34</f>
        <v>#DIV/0!</v>
      </c>
      <c r="C42" s="40" t="e">
        <f>25/100*C34</f>
        <v>#DIV/0!</v>
      </c>
      <c r="D42" s="40" t="e">
        <f>25/100*D34</f>
        <v>#DIV/0!</v>
      </c>
      <c r="E42" s="40" t="e">
        <f>25/100*E34</f>
        <v>#DIV/0!</v>
      </c>
      <c r="F42" s="40" t="e">
        <f>25/100*F34</f>
        <v>#DIV/0!</v>
      </c>
    </row>
    <row r="44" spans="1:6" x14ac:dyDescent="0.3">
      <c r="A44" s="36" t="s">
        <v>261</v>
      </c>
      <c r="B44" s="40" t="e">
        <f>B21</f>
        <v>#DIV/0!</v>
      </c>
      <c r="C44" s="40" t="e">
        <f>C21</f>
        <v>#DIV/0!</v>
      </c>
      <c r="D44" s="40" t="e">
        <f>D21</f>
        <v>#DIV/0!</v>
      </c>
      <c r="E44" s="40" t="e">
        <f>E21</f>
        <v>#DIV/0!</v>
      </c>
      <c r="F44" s="40" t="e">
        <f>F21</f>
        <v>#DIV/0!</v>
      </c>
    </row>
    <row r="45" spans="1:6" x14ac:dyDescent="0.3">
      <c r="B45" s="40"/>
      <c r="C45" s="40"/>
      <c r="D45" s="40"/>
      <c r="E45" s="40"/>
      <c r="F45" s="40"/>
    </row>
    <row r="46" spans="1:6" x14ac:dyDescent="0.3">
      <c r="A46" s="36" t="s">
        <v>262</v>
      </c>
      <c r="B46" s="40" t="e">
        <f>+B39-B42</f>
        <v>#DIV/0!</v>
      </c>
      <c r="C46" s="40" t="e">
        <f>+C39-C42</f>
        <v>#DIV/0!</v>
      </c>
      <c r="D46" s="40" t="e">
        <f>+D39-D42</f>
        <v>#DIV/0!</v>
      </c>
      <c r="E46" s="40" t="e">
        <f>+E39-E42</f>
        <v>#DIV/0!</v>
      </c>
      <c r="F46" s="40" t="e">
        <f>+F39-F42</f>
        <v>#DIV/0!</v>
      </c>
    </row>
    <row r="47" spans="1:6" x14ac:dyDescent="0.3">
      <c r="B47" s="40"/>
      <c r="C47" s="40"/>
      <c r="D47" s="40"/>
      <c r="E47" s="40"/>
      <c r="F47" s="40"/>
    </row>
    <row r="48" spans="1:6" x14ac:dyDescent="0.3">
      <c r="A48" s="36" t="s">
        <v>263</v>
      </c>
      <c r="B48" s="40" t="e">
        <f>B39-B44</f>
        <v>#DIV/0!</v>
      </c>
      <c r="C48" s="40" t="e">
        <f>C39-C44</f>
        <v>#DIV/0!</v>
      </c>
      <c r="D48" s="40" t="e">
        <f>D39-D44</f>
        <v>#DIV/0!</v>
      </c>
      <c r="E48" s="40" t="e">
        <f>E39-E44</f>
        <v>#DIV/0!</v>
      </c>
      <c r="F48" s="40" t="e">
        <f>F39-F44</f>
        <v>#DIV/0!</v>
      </c>
    </row>
    <row r="49" spans="1:6" x14ac:dyDescent="0.3">
      <c r="B49" s="40"/>
      <c r="C49" s="40"/>
      <c r="D49" s="40"/>
      <c r="E49" s="40"/>
      <c r="F49" s="40"/>
    </row>
    <row r="50" spans="1:6" x14ac:dyDescent="0.3">
      <c r="A50" s="37" t="s">
        <v>264</v>
      </c>
      <c r="B50" s="61" t="e">
        <f>IF(B46&lt;B48,B46,B48)</f>
        <v>#DIV/0!</v>
      </c>
      <c r="C50" s="61" t="e">
        <f>IF(C46&lt;C48,C46,C48)</f>
        <v>#DIV/0!</v>
      </c>
      <c r="D50" s="61" t="e">
        <f>IF(D46&lt;D48,D46,D48)</f>
        <v>#DIV/0!</v>
      </c>
      <c r="E50" s="61" t="e">
        <f>IF(E46&lt;E48,E46,E48)</f>
        <v>#DIV/0!</v>
      </c>
      <c r="F50" s="61" t="e">
        <f>IF(F46&lt;F48,F46,F48)</f>
        <v>#DIV/0!</v>
      </c>
    </row>
    <row r="51" spans="1:6" x14ac:dyDescent="0.3">
      <c r="A51" s="37" t="s">
        <v>265</v>
      </c>
      <c r="B51" s="37"/>
      <c r="C51" s="37"/>
      <c r="D51" s="37"/>
    </row>
    <row r="53" spans="1:6" ht="15" customHeight="1" thickBot="1" x14ac:dyDescent="0.35">
      <c r="A53" s="49"/>
      <c r="B53" s="49"/>
      <c r="C53" s="49"/>
      <c r="D53" s="49"/>
      <c r="E53" s="49"/>
      <c r="F53" s="49"/>
    </row>
  </sheetData>
  <mergeCells count="4">
    <mergeCell ref="A3:F3"/>
    <mergeCell ref="A2:F2"/>
    <mergeCell ref="A1:F1"/>
    <mergeCell ref="A5:F5"/>
  </mergeCells>
  <pageMargins left="0.9" right="0.15748031496062989" top="0.28000000000000003" bottom="0.26" header="0.21" footer="0.15748031496062989"/>
  <pageSetup scale="8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9"/>
  <sheetViews>
    <sheetView workbookViewId="0">
      <selection activeCell="H20" sqref="H20"/>
    </sheetView>
  </sheetViews>
  <sheetFormatPr defaultColWidth="9.21875" defaultRowHeight="14.4" x14ac:dyDescent="0.3"/>
  <cols>
    <col min="1" max="1" width="30.77734375" style="36" customWidth="1"/>
    <col min="2" max="2" width="2.5546875" style="36" customWidth="1"/>
    <col min="3" max="3" width="13.5546875" style="36" customWidth="1"/>
    <col min="4" max="4" width="10.77734375" style="36" customWidth="1"/>
    <col min="5" max="5" width="10.5546875" style="36" customWidth="1"/>
    <col min="6" max="6" width="11" style="36" bestFit="1" customWidth="1"/>
    <col min="7" max="7" width="13.21875" style="36" bestFit="1" customWidth="1"/>
    <col min="8" max="8" width="9.21875" style="36" customWidth="1"/>
    <col min="9" max="16384" width="9.21875" style="36"/>
  </cols>
  <sheetData>
    <row r="1" spans="1:7" ht="7.5" customHeight="1" x14ac:dyDescent="0.3"/>
    <row r="2" spans="1:7" ht="20.25" customHeight="1" x14ac:dyDescent="0.3">
      <c r="A2" s="372">
        <f>Assumptions.1!I4</f>
        <v>0</v>
      </c>
      <c r="B2" s="373"/>
      <c r="C2" s="373"/>
      <c r="D2" s="373"/>
      <c r="E2" s="373"/>
      <c r="F2" s="373"/>
      <c r="G2" s="373"/>
    </row>
    <row r="3" spans="1:7" ht="18.75" customHeight="1" x14ac:dyDescent="0.3">
      <c r="A3" s="372">
        <f>Assumptions.1!I6</f>
        <v>0</v>
      </c>
      <c r="B3" s="373"/>
      <c r="C3" s="373"/>
      <c r="D3" s="373"/>
      <c r="E3" s="373"/>
      <c r="F3" s="373"/>
      <c r="G3" s="373"/>
    </row>
    <row r="4" spans="1:7" ht="21.75" customHeight="1" x14ac:dyDescent="0.3">
      <c r="A4" s="372">
        <f>Assumptions.1!I7</f>
        <v>0</v>
      </c>
      <c r="B4" s="373"/>
      <c r="C4" s="373"/>
      <c r="D4" s="373"/>
      <c r="E4" s="373"/>
      <c r="F4" s="373"/>
      <c r="G4" s="373"/>
    </row>
    <row r="6" spans="1:7" ht="18.75" customHeight="1" x14ac:dyDescent="0.3">
      <c r="A6" s="374" t="s">
        <v>268</v>
      </c>
      <c r="B6" s="373"/>
      <c r="C6" s="373"/>
      <c r="D6" s="373"/>
      <c r="E6" s="373"/>
      <c r="F6" s="373"/>
      <c r="G6" s="373"/>
    </row>
    <row r="7" spans="1:7" x14ac:dyDescent="0.3">
      <c r="A7" s="37"/>
      <c r="B7" s="37"/>
    </row>
    <row r="8" spans="1:7" x14ac:dyDescent="0.3">
      <c r="A8" s="372" t="s">
        <v>269</v>
      </c>
      <c r="B8" s="373"/>
      <c r="C8" s="373"/>
      <c r="D8" s="373"/>
      <c r="E8" s="373"/>
      <c r="F8" s="373"/>
      <c r="G8" s="373"/>
    </row>
    <row r="10" spans="1:7" ht="42.75" customHeight="1" thickBot="1" x14ac:dyDescent="0.35">
      <c r="A10" s="62" t="s">
        <v>121</v>
      </c>
      <c r="B10" s="63"/>
      <c r="C10" s="122">
        <f>wc!C6</f>
        <v>0</v>
      </c>
      <c r="D10" s="63">
        <f>wc!D6</f>
        <v>0</v>
      </c>
      <c r="E10" s="63">
        <f>wc!E6</f>
        <v>0</v>
      </c>
      <c r="F10" s="63">
        <f>wc!F6</f>
        <v>0</v>
      </c>
      <c r="G10" s="63">
        <f>wc!G6</f>
        <v>0</v>
      </c>
    </row>
    <row r="12" spans="1:7" x14ac:dyDescent="0.3">
      <c r="A12" s="36" t="s">
        <v>270</v>
      </c>
      <c r="B12" s="40"/>
      <c r="C12" s="40" t="e">
        <f>plbs!C12</f>
        <v>#DIV/0!</v>
      </c>
      <c r="D12" s="40" t="e">
        <f>plbs!D12</f>
        <v>#DIV/0!</v>
      </c>
      <c r="E12" s="40" t="e">
        <f>plbs!E12</f>
        <v>#DIV/0!</v>
      </c>
      <c r="F12" s="40" t="e">
        <f>plbs!F12</f>
        <v>#DIV/0!</v>
      </c>
      <c r="G12" s="40" t="e">
        <f>plbs!G12</f>
        <v>#DIV/0!</v>
      </c>
    </row>
    <row r="13" spans="1:7" x14ac:dyDescent="0.3">
      <c r="B13" s="40"/>
    </row>
    <row r="14" spans="1:7" x14ac:dyDescent="0.3">
      <c r="A14" s="36" t="s">
        <v>271</v>
      </c>
      <c r="B14" s="40"/>
      <c r="C14" s="40" t="e">
        <f>C12*25/100</f>
        <v>#DIV/0!</v>
      </c>
      <c r="D14" s="40" t="e">
        <f>D12*25/100</f>
        <v>#DIV/0!</v>
      </c>
      <c r="E14" s="40" t="e">
        <f>E12*25/100</f>
        <v>#DIV/0!</v>
      </c>
      <c r="F14" s="40" t="e">
        <f>F12*25/100</f>
        <v>#DIV/0!</v>
      </c>
      <c r="G14" s="40" t="e">
        <f>G12*25/100</f>
        <v>#DIV/0!</v>
      </c>
    </row>
    <row r="15" spans="1:7" x14ac:dyDescent="0.3">
      <c r="A15" s="36" t="s">
        <v>272</v>
      </c>
      <c r="B15" s="40"/>
    </row>
    <row r="16" spans="1:7" x14ac:dyDescent="0.3">
      <c r="B16" s="40"/>
    </row>
    <row r="17" spans="1:7" x14ac:dyDescent="0.3">
      <c r="A17" s="36" t="s">
        <v>273</v>
      </c>
      <c r="B17" s="40"/>
      <c r="C17" s="40" t="e">
        <f>C14*80/100</f>
        <v>#DIV/0!</v>
      </c>
      <c r="D17" s="40" t="e">
        <f>D14*80/100</f>
        <v>#DIV/0!</v>
      </c>
      <c r="E17" s="40" t="e">
        <f>E14*80/100</f>
        <v>#DIV/0!</v>
      </c>
      <c r="F17" s="40" t="e">
        <f>F14*80/100</f>
        <v>#DIV/0!</v>
      </c>
      <c r="G17" s="40" t="e">
        <f>G14*80/100</f>
        <v>#DIV/0!</v>
      </c>
    </row>
    <row r="18" spans="1:7" x14ac:dyDescent="0.3">
      <c r="A18" s="36" t="s">
        <v>274</v>
      </c>
      <c r="B18" s="40"/>
    </row>
    <row r="19" spans="1:7" x14ac:dyDescent="0.3">
      <c r="B19" s="40"/>
    </row>
    <row r="20" spans="1:7" x14ac:dyDescent="0.3">
      <c r="A20" s="36" t="s">
        <v>275</v>
      </c>
      <c r="B20" s="40"/>
      <c r="C20" s="40">
        <f>Assumptions.1!I12</f>
        <v>0</v>
      </c>
      <c r="D20" s="40">
        <f>Assumptions.1!I12</f>
        <v>0</v>
      </c>
      <c r="E20" s="40">
        <f>D20</f>
        <v>0</v>
      </c>
      <c r="F20" s="40">
        <f>E20</f>
        <v>0</v>
      </c>
      <c r="G20" s="40">
        <f>F20</f>
        <v>0</v>
      </c>
    </row>
    <row r="21" spans="1:7" x14ac:dyDescent="0.3">
      <c r="B21" s="40"/>
    </row>
    <row r="22" spans="1:7" x14ac:dyDescent="0.3">
      <c r="A22" s="375" t="s">
        <v>276</v>
      </c>
      <c r="B22" s="40"/>
    </row>
    <row r="23" spans="1:7" x14ac:dyDescent="0.3">
      <c r="A23" s="373"/>
      <c r="B23" s="40"/>
      <c r="C23" s="40" t="e">
        <f>IF(C17&lt;C20,C17,C20)</f>
        <v>#DIV/0!</v>
      </c>
      <c r="D23" s="40" t="e">
        <f>IF(D17&lt;D20,D17,D20)</f>
        <v>#DIV/0!</v>
      </c>
      <c r="E23" s="40" t="e">
        <f>IF(E17&lt;E20,E17,E20)</f>
        <v>#DIV/0!</v>
      </c>
      <c r="F23" s="40" t="e">
        <f>IF(F17&lt;F20,F17,F20)</f>
        <v>#DIV/0!</v>
      </c>
      <c r="G23" s="40" t="e">
        <f>IF(G17&lt;G20,G17,G20)</f>
        <v>#DIV/0!</v>
      </c>
    </row>
    <row r="24" spans="1:7" ht="15" customHeight="1" thickBot="1" x14ac:dyDescent="0.35">
      <c r="A24" s="49"/>
      <c r="B24" s="49"/>
      <c r="C24" s="49"/>
      <c r="D24" s="49"/>
      <c r="E24" s="49"/>
      <c r="F24" s="49"/>
      <c r="G24" s="49"/>
    </row>
    <row r="27" spans="1:7" x14ac:dyDescent="0.3">
      <c r="A27" s="37" t="s">
        <v>277</v>
      </c>
    </row>
    <row r="28" spans="1:7" x14ac:dyDescent="0.3">
      <c r="A28" s="36" t="s">
        <v>278</v>
      </c>
    </row>
    <row r="29" spans="1:7" x14ac:dyDescent="0.3">
      <c r="A29" s="36" t="s">
        <v>279</v>
      </c>
    </row>
  </sheetData>
  <mergeCells count="6">
    <mergeCell ref="A2:G2"/>
    <mergeCell ref="A22:A23"/>
    <mergeCell ref="A8:G8"/>
    <mergeCell ref="A3:G3"/>
    <mergeCell ref="A6:G6"/>
    <mergeCell ref="A4:G4"/>
  </mergeCells>
  <pageMargins left="0.15748031496062989" right="0.19685039370078741" top="0.47244094488188981" bottom="0.74803149606299213" header="0.31496062992125978" footer="0.31496062992125978"/>
  <pageSetup scale="11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7"/>
  <sheetViews>
    <sheetView workbookViewId="0">
      <selection activeCell="G59" sqref="G59"/>
    </sheetView>
  </sheetViews>
  <sheetFormatPr defaultColWidth="9.21875" defaultRowHeight="14.4" x14ac:dyDescent="0.35"/>
  <cols>
    <col min="1" max="1" width="26.77734375" style="18" customWidth="1"/>
    <col min="2" max="2" width="4.21875" style="18" customWidth="1"/>
    <col min="3" max="3" width="20.77734375" style="18" bestFit="1" customWidth="1"/>
    <col min="4" max="12" width="10.21875" style="18" customWidth="1"/>
    <col min="13" max="13" width="13" style="18" customWidth="1"/>
    <col min="14" max="14" width="17.77734375" style="18" bestFit="1" customWidth="1"/>
    <col min="15" max="15" width="9.21875" style="18" customWidth="1"/>
    <col min="16" max="16384" width="9.21875" style="18"/>
  </cols>
  <sheetData>
    <row r="1" spans="1:16" x14ac:dyDescent="0.35">
      <c r="A1" s="364">
        <f>Assumptions.1!I4</f>
        <v>0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</row>
    <row r="2" spans="1:16" x14ac:dyDescent="0.35">
      <c r="A2" s="364">
        <f>Assumptions.1!I6</f>
        <v>0</v>
      </c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</row>
    <row r="3" spans="1:16" x14ac:dyDescent="0.35">
      <c r="A3" s="364">
        <f>Assumptions.1!I7</f>
        <v>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5"/>
    </row>
    <row r="5" spans="1:16" x14ac:dyDescent="0.35">
      <c r="A5" s="364" t="s">
        <v>280</v>
      </c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</row>
    <row r="6" spans="1:16" x14ac:dyDescent="0.35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</row>
    <row r="7" spans="1:16" x14ac:dyDescent="0.35">
      <c r="N7" s="25" t="s">
        <v>281</v>
      </c>
    </row>
    <row r="8" spans="1:16" x14ac:dyDescent="0.35">
      <c r="A8" s="92"/>
      <c r="B8" s="93"/>
      <c r="C8" s="377" t="str">
        <f>Assumptions.1!B99</f>
        <v>Plant and Machinery</v>
      </c>
      <c r="D8" s="376" t="str">
        <f>Assumptions.1!B109</f>
        <v>Service Equipment</v>
      </c>
      <c r="E8" s="376" t="str">
        <f>Assumptions.1!B119</f>
        <v>Shed and Civil works</v>
      </c>
      <c r="F8" s="376" t="str">
        <f>Assumptions.1!B129</f>
        <v>Land</v>
      </c>
      <c r="G8" s="376" t="str">
        <f>Assumptions.1!B132</f>
        <v>Electrical Items</v>
      </c>
      <c r="H8" s="376" t="str">
        <f>Assumptions.1!B141</f>
        <v>Electronic items</v>
      </c>
      <c r="I8" s="376" t="str">
        <f>Assumptions.1!B151</f>
        <v xml:space="preserve">Furniture and Fittings </v>
      </c>
      <c r="J8" s="376" t="str">
        <f>Assumptions.1!B161</f>
        <v>Vehicles</v>
      </c>
      <c r="K8" s="376" t="str">
        <f>Assumptions.1!B171</f>
        <v>Live stock</v>
      </c>
      <c r="L8" s="376" t="str">
        <f>Assumptions.1!B180</f>
        <v>Other Assets</v>
      </c>
      <c r="M8" s="376" t="str">
        <f>Assumptions.1!B190</f>
        <v>Other Assets (Nil Depreciation)</v>
      </c>
      <c r="N8" s="93"/>
    </row>
    <row r="9" spans="1:16" ht="33" customHeight="1" x14ac:dyDescent="0.35">
      <c r="A9" s="94"/>
      <c r="B9" s="95"/>
      <c r="C9" s="365"/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95" t="s">
        <v>282</v>
      </c>
    </row>
    <row r="10" spans="1:16" ht="13.95" customHeight="1" thickBot="1" x14ac:dyDescent="0.4">
      <c r="A10" s="96"/>
      <c r="B10" s="97"/>
      <c r="C10" s="97">
        <f>Assumptions.1!F82</f>
        <v>0.15</v>
      </c>
      <c r="D10" s="97">
        <f>Assumptions.1!F83</f>
        <v>0.15</v>
      </c>
      <c r="E10" s="97">
        <f>Assumptions.1!F84</f>
        <v>0.1</v>
      </c>
      <c r="F10" s="97">
        <f>Assumptions.1!F85</f>
        <v>0</v>
      </c>
      <c r="G10" s="97">
        <f>Assumptions.1!F86</f>
        <v>0.15</v>
      </c>
      <c r="H10" s="97">
        <f>Assumptions.1!F87</f>
        <v>0.15</v>
      </c>
      <c r="I10" s="97">
        <f>Assumptions.1!F88</f>
        <v>0.1</v>
      </c>
      <c r="J10" s="97">
        <f>Assumptions.1!F89</f>
        <v>0.15</v>
      </c>
      <c r="K10" s="97">
        <f>Assumptions.1!F90</f>
        <v>0</v>
      </c>
      <c r="L10" s="97">
        <f>Assumptions.1!F91</f>
        <v>0.1</v>
      </c>
      <c r="M10" s="98">
        <f>Assumptions.1!F92</f>
        <v>0</v>
      </c>
      <c r="N10" s="99"/>
    </row>
    <row r="11" spans="1:16" ht="13.95" customHeight="1" thickTop="1" x14ac:dyDescent="0.35"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N11" s="26"/>
    </row>
    <row r="12" spans="1:16" x14ac:dyDescent="0.35">
      <c r="A12" s="23"/>
      <c r="B12" s="87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31"/>
      <c r="N12" s="31"/>
      <c r="O12" s="31"/>
      <c r="P12" s="31"/>
    </row>
    <row r="13" spans="1:16" x14ac:dyDescent="0.35">
      <c r="A13" s="30">
        <f>wc!C33</f>
        <v>0</v>
      </c>
      <c r="B13" s="87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31"/>
      <c r="N13" s="31"/>
      <c r="O13" s="31"/>
      <c r="P13" s="31"/>
    </row>
    <row r="14" spans="1:16" x14ac:dyDescent="0.35">
      <c r="A14" s="18" t="s">
        <v>283</v>
      </c>
      <c r="B14" s="87"/>
      <c r="C14" s="88">
        <f>Assumptions.1!F99</f>
        <v>0</v>
      </c>
      <c r="D14" s="88">
        <f>Assumptions.1!F109</f>
        <v>0</v>
      </c>
      <c r="E14" s="88">
        <f>Assumptions.1!F119</f>
        <v>0</v>
      </c>
      <c r="F14" s="88">
        <f>Assumptions.1!F129</f>
        <v>0</v>
      </c>
      <c r="G14" s="88">
        <f>Assumptions.1!F132</f>
        <v>0</v>
      </c>
      <c r="H14" s="88">
        <f>Assumptions.1!F141</f>
        <v>0</v>
      </c>
      <c r="I14" s="88">
        <f>Assumptions.1!F151</f>
        <v>0</v>
      </c>
      <c r="J14" s="88">
        <f>Assumptions.1!F161</f>
        <v>0</v>
      </c>
      <c r="K14" s="88">
        <f>Assumptions.1!F171</f>
        <v>0</v>
      </c>
      <c r="L14" s="88">
        <f>Assumptions.1!F180</f>
        <v>0</v>
      </c>
      <c r="M14" s="88">
        <f>Assumptions.1!F190</f>
        <v>0</v>
      </c>
      <c r="N14" s="31">
        <f>C14+D14+E14+F14+G14+H14+I14+J14+K14+L14+M14</f>
        <v>0</v>
      </c>
      <c r="O14" s="31"/>
      <c r="P14" s="31"/>
    </row>
    <row r="15" spans="1:16" x14ac:dyDescent="0.35">
      <c r="A15" s="18" t="s">
        <v>284</v>
      </c>
      <c r="B15" s="87"/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N15" s="31">
        <f>C15+D15+E15+F15+G15+H15+I15+J15+K15+L15+M15</f>
        <v>0</v>
      </c>
      <c r="O15" s="31"/>
      <c r="P15" s="31"/>
    </row>
    <row r="16" spans="1:16" x14ac:dyDescent="0.35">
      <c r="A16" s="18" t="s">
        <v>282</v>
      </c>
      <c r="B16" s="87"/>
      <c r="C16" s="88">
        <f t="shared" ref="C16:M16" si="0">C14+C15</f>
        <v>0</v>
      </c>
      <c r="D16" s="88">
        <f t="shared" si="0"/>
        <v>0</v>
      </c>
      <c r="E16" s="88">
        <f t="shared" si="0"/>
        <v>0</v>
      </c>
      <c r="F16" s="88">
        <f t="shared" si="0"/>
        <v>0</v>
      </c>
      <c r="G16" s="88">
        <f t="shared" si="0"/>
        <v>0</v>
      </c>
      <c r="H16" s="88">
        <f t="shared" si="0"/>
        <v>0</v>
      </c>
      <c r="I16" s="88">
        <f t="shared" si="0"/>
        <v>0</v>
      </c>
      <c r="J16" s="88">
        <f t="shared" si="0"/>
        <v>0</v>
      </c>
      <c r="K16" s="88">
        <f t="shared" si="0"/>
        <v>0</v>
      </c>
      <c r="L16" s="88">
        <f t="shared" si="0"/>
        <v>0</v>
      </c>
      <c r="M16" s="88">
        <f t="shared" si="0"/>
        <v>0</v>
      </c>
      <c r="N16" s="31">
        <f>C16+D16+E16+F16+G16+H16+I16+J16+K16+L16+M16</f>
        <v>0</v>
      </c>
      <c r="O16" s="31"/>
      <c r="P16" s="31"/>
    </row>
    <row r="17" spans="1:16" x14ac:dyDescent="0.35">
      <c r="A17" s="18" t="s">
        <v>105</v>
      </c>
      <c r="B17" s="87"/>
      <c r="C17" s="88">
        <f>C16*C10*Assumptions.1!I35/Assumptions.1!F69</f>
        <v>0</v>
      </c>
      <c r="D17" s="88">
        <f>D16*D10*Assumptions.1!I35/Assumptions.1!F69</f>
        <v>0</v>
      </c>
      <c r="E17" s="88">
        <f>E16*E10*Assumptions.1!I35/Assumptions.1!F69</f>
        <v>0</v>
      </c>
      <c r="F17" s="88">
        <f>F16*F10*Assumptions.1!I35/Assumptions.1!F69</f>
        <v>0</v>
      </c>
      <c r="G17" s="88">
        <f>G16*G10*Assumptions.1!I35/Assumptions.1!F69</f>
        <v>0</v>
      </c>
      <c r="H17" s="88">
        <f>H16*H10*Assumptions.1!I35/Assumptions.1!F69</f>
        <v>0</v>
      </c>
      <c r="I17" s="88">
        <f>I16*I10*Assumptions.1!I35/Assumptions.1!F69</f>
        <v>0</v>
      </c>
      <c r="J17" s="88">
        <f>J16*J10*Assumptions.1!I35/Assumptions.1!F69</f>
        <v>0</v>
      </c>
      <c r="K17" s="88">
        <f>K16*K10*Assumptions.1!I35/Assumptions.1!F69</f>
        <v>0</v>
      </c>
      <c r="L17" s="88">
        <f>L16*L10*Assumptions.1!I35/Assumptions.1!F69</f>
        <v>0</v>
      </c>
      <c r="M17" s="88">
        <f>M16*M10*Assumptions.1!I35/Assumptions.1!F69</f>
        <v>0</v>
      </c>
      <c r="N17" s="31">
        <f>C17+D17+E17+F17+G17+H17+I17+J17+K17+L17+M17</f>
        <v>0</v>
      </c>
      <c r="O17" s="31"/>
      <c r="P17" s="31"/>
    </row>
    <row r="18" spans="1:16" x14ac:dyDescent="0.35">
      <c r="A18" s="18" t="s">
        <v>285</v>
      </c>
      <c r="B18" s="87"/>
      <c r="C18" s="88">
        <f t="shared" ref="C18:M18" si="1">C16-C17</f>
        <v>0</v>
      </c>
      <c r="D18" s="88">
        <f t="shared" si="1"/>
        <v>0</v>
      </c>
      <c r="E18" s="88">
        <f t="shared" si="1"/>
        <v>0</v>
      </c>
      <c r="F18" s="88">
        <f t="shared" si="1"/>
        <v>0</v>
      </c>
      <c r="G18" s="88">
        <f t="shared" si="1"/>
        <v>0</v>
      </c>
      <c r="H18" s="88">
        <f t="shared" si="1"/>
        <v>0</v>
      </c>
      <c r="I18" s="88">
        <f t="shared" si="1"/>
        <v>0</v>
      </c>
      <c r="J18" s="88">
        <f t="shared" si="1"/>
        <v>0</v>
      </c>
      <c r="K18" s="88">
        <f t="shared" si="1"/>
        <v>0</v>
      </c>
      <c r="L18" s="88">
        <f t="shared" si="1"/>
        <v>0</v>
      </c>
      <c r="M18" s="88">
        <f t="shared" si="1"/>
        <v>0</v>
      </c>
      <c r="N18" s="31">
        <f>C18+D18+E18+F18+G18+H18+I18+J18+K18+L18+M18</f>
        <v>0</v>
      </c>
      <c r="O18" s="31"/>
      <c r="P18" s="31"/>
    </row>
    <row r="19" spans="1:16" x14ac:dyDescent="0.35">
      <c r="B19" s="87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31"/>
      <c r="O19" s="31"/>
      <c r="P19" s="31"/>
    </row>
    <row r="20" spans="1:16" x14ac:dyDescent="0.35">
      <c r="A20" s="30">
        <f>wc!D33</f>
        <v>0</v>
      </c>
      <c r="B20" s="87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31"/>
      <c r="O20" s="31"/>
      <c r="P20" s="31"/>
    </row>
    <row r="21" spans="1:16" x14ac:dyDescent="0.35">
      <c r="A21" s="18" t="s">
        <v>283</v>
      </c>
      <c r="B21" s="87"/>
      <c r="C21" s="88">
        <f t="shared" ref="C21:M21" si="2">C18</f>
        <v>0</v>
      </c>
      <c r="D21" s="88">
        <f t="shared" si="2"/>
        <v>0</v>
      </c>
      <c r="E21" s="88">
        <f t="shared" si="2"/>
        <v>0</v>
      </c>
      <c r="F21" s="88">
        <f t="shared" si="2"/>
        <v>0</v>
      </c>
      <c r="G21" s="88">
        <f t="shared" si="2"/>
        <v>0</v>
      </c>
      <c r="H21" s="88">
        <f t="shared" si="2"/>
        <v>0</v>
      </c>
      <c r="I21" s="88">
        <f t="shared" si="2"/>
        <v>0</v>
      </c>
      <c r="J21" s="88">
        <f t="shared" si="2"/>
        <v>0</v>
      </c>
      <c r="K21" s="88">
        <f t="shared" si="2"/>
        <v>0</v>
      </c>
      <c r="L21" s="88">
        <f t="shared" si="2"/>
        <v>0</v>
      </c>
      <c r="M21" s="88">
        <f t="shared" si="2"/>
        <v>0</v>
      </c>
      <c r="N21" s="31">
        <f>C21+D21+E21+F21+G21+H21+I21+J21+K21+L21+M21</f>
        <v>0</v>
      </c>
      <c r="O21" s="31"/>
      <c r="P21" s="31"/>
    </row>
    <row r="22" spans="1:16" x14ac:dyDescent="0.35">
      <c r="A22" s="18" t="s">
        <v>284</v>
      </c>
      <c r="B22" s="87"/>
      <c r="C22" s="88">
        <v>0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31">
        <f>C22+D22+E22+F22+G22+H22+I22+J22+K22+L22+M22</f>
        <v>0</v>
      </c>
      <c r="O22" s="31"/>
      <c r="P22" s="31"/>
    </row>
    <row r="23" spans="1:16" x14ac:dyDescent="0.35">
      <c r="A23" s="18" t="s">
        <v>282</v>
      </c>
      <c r="B23" s="87"/>
      <c r="C23" s="88">
        <f t="shared" ref="C23:M23" si="3">C21+C22</f>
        <v>0</v>
      </c>
      <c r="D23" s="88">
        <f t="shared" si="3"/>
        <v>0</v>
      </c>
      <c r="E23" s="88">
        <f t="shared" si="3"/>
        <v>0</v>
      </c>
      <c r="F23" s="88">
        <f t="shared" si="3"/>
        <v>0</v>
      </c>
      <c r="G23" s="88">
        <f t="shared" si="3"/>
        <v>0</v>
      </c>
      <c r="H23" s="88">
        <f t="shared" si="3"/>
        <v>0</v>
      </c>
      <c r="I23" s="88">
        <f t="shared" si="3"/>
        <v>0</v>
      </c>
      <c r="J23" s="88">
        <f t="shared" si="3"/>
        <v>0</v>
      </c>
      <c r="K23" s="88">
        <f t="shared" si="3"/>
        <v>0</v>
      </c>
      <c r="L23" s="88">
        <f t="shared" si="3"/>
        <v>0</v>
      </c>
      <c r="M23" s="88">
        <f t="shared" si="3"/>
        <v>0</v>
      </c>
      <c r="N23" s="31">
        <f>C23+D23+E23+F23+G23+H23+I23+J23+K23+L23+M23</f>
        <v>0</v>
      </c>
      <c r="O23" s="31"/>
      <c r="P23" s="31"/>
    </row>
    <row r="24" spans="1:16" x14ac:dyDescent="0.35">
      <c r="A24" s="18" t="s">
        <v>105</v>
      </c>
      <c r="B24" s="87"/>
      <c r="C24" s="88">
        <f t="shared" ref="C24:M24" si="4">C23*C10</f>
        <v>0</v>
      </c>
      <c r="D24" s="88">
        <f t="shared" si="4"/>
        <v>0</v>
      </c>
      <c r="E24" s="88">
        <f t="shared" si="4"/>
        <v>0</v>
      </c>
      <c r="F24" s="88">
        <f t="shared" si="4"/>
        <v>0</v>
      </c>
      <c r="G24" s="88">
        <f t="shared" si="4"/>
        <v>0</v>
      </c>
      <c r="H24" s="88">
        <f t="shared" si="4"/>
        <v>0</v>
      </c>
      <c r="I24" s="88">
        <f t="shared" si="4"/>
        <v>0</v>
      </c>
      <c r="J24" s="88">
        <f t="shared" si="4"/>
        <v>0</v>
      </c>
      <c r="K24" s="88">
        <f t="shared" si="4"/>
        <v>0</v>
      </c>
      <c r="L24" s="88">
        <f t="shared" si="4"/>
        <v>0</v>
      </c>
      <c r="M24" s="88">
        <f t="shared" si="4"/>
        <v>0</v>
      </c>
      <c r="N24" s="31">
        <f>C24+D24+E24+F24+G24+H24+I24+J24+K24+L24+M24</f>
        <v>0</v>
      </c>
      <c r="O24" s="31"/>
      <c r="P24" s="31"/>
    </row>
    <row r="25" spans="1:16" x14ac:dyDescent="0.35">
      <c r="A25" s="18" t="s">
        <v>286</v>
      </c>
      <c r="B25" s="87"/>
      <c r="C25" s="88">
        <f t="shared" ref="C25:M25" si="5">C23-C24</f>
        <v>0</v>
      </c>
      <c r="D25" s="88">
        <f t="shared" si="5"/>
        <v>0</v>
      </c>
      <c r="E25" s="88">
        <f t="shared" si="5"/>
        <v>0</v>
      </c>
      <c r="F25" s="88">
        <f t="shared" si="5"/>
        <v>0</v>
      </c>
      <c r="G25" s="88">
        <f t="shared" si="5"/>
        <v>0</v>
      </c>
      <c r="H25" s="88">
        <f t="shared" si="5"/>
        <v>0</v>
      </c>
      <c r="I25" s="88">
        <f t="shared" si="5"/>
        <v>0</v>
      </c>
      <c r="J25" s="88">
        <f t="shared" si="5"/>
        <v>0</v>
      </c>
      <c r="K25" s="88">
        <f t="shared" si="5"/>
        <v>0</v>
      </c>
      <c r="L25" s="88">
        <f t="shared" si="5"/>
        <v>0</v>
      </c>
      <c r="M25" s="88">
        <f t="shared" si="5"/>
        <v>0</v>
      </c>
      <c r="N25" s="31">
        <f>C25+D25+E25+F25+G25+H25+I25+J25+K25+L25+M25</f>
        <v>0</v>
      </c>
      <c r="O25" s="31"/>
      <c r="P25" s="31"/>
    </row>
    <row r="26" spans="1:16" x14ac:dyDescent="0.35">
      <c r="B26" s="87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31"/>
      <c r="O26" s="31"/>
      <c r="P26" s="31"/>
    </row>
    <row r="27" spans="1:16" x14ac:dyDescent="0.35">
      <c r="A27" s="30">
        <f>wc!E33</f>
        <v>0</v>
      </c>
      <c r="B27" s="87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31"/>
      <c r="O27" s="31"/>
      <c r="P27" s="31"/>
    </row>
    <row r="28" spans="1:16" x14ac:dyDescent="0.35">
      <c r="A28" s="18" t="s">
        <v>283</v>
      </c>
      <c r="B28" s="87"/>
      <c r="C28" s="88">
        <f t="shared" ref="C28:M28" si="6">C25</f>
        <v>0</v>
      </c>
      <c r="D28" s="88">
        <f t="shared" si="6"/>
        <v>0</v>
      </c>
      <c r="E28" s="88">
        <f t="shared" si="6"/>
        <v>0</v>
      </c>
      <c r="F28" s="88">
        <f t="shared" si="6"/>
        <v>0</v>
      </c>
      <c r="G28" s="88">
        <f t="shared" si="6"/>
        <v>0</v>
      </c>
      <c r="H28" s="88">
        <f t="shared" si="6"/>
        <v>0</v>
      </c>
      <c r="I28" s="88">
        <f t="shared" si="6"/>
        <v>0</v>
      </c>
      <c r="J28" s="88">
        <f t="shared" si="6"/>
        <v>0</v>
      </c>
      <c r="K28" s="88">
        <f t="shared" si="6"/>
        <v>0</v>
      </c>
      <c r="L28" s="88">
        <f t="shared" si="6"/>
        <v>0</v>
      </c>
      <c r="M28" s="88">
        <f t="shared" si="6"/>
        <v>0</v>
      </c>
      <c r="N28" s="31">
        <f>C28+D28+E28+F28+G28+H28+I28+J28+K28+L28+M28</f>
        <v>0</v>
      </c>
      <c r="O28" s="31"/>
      <c r="P28" s="31"/>
    </row>
    <row r="29" spans="1:16" x14ac:dyDescent="0.35">
      <c r="A29" s="18" t="s">
        <v>284</v>
      </c>
      <c r="B29" s="87"/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31">
        <f>C29+D29+E29+F29+G29+H29+I29+J29+K29+L29+M29</f>
        <v>0</v>
      </c>
      <c r="O29" s="31"/>
      <c r="P29" s="31"/>
    </row>
    <row r="30" spans="1:16" x14ac:dyDescent="0.35">
      <c r="A30" s="18" t="s">
        <v>282</v>
      </c>
      <c r="B30" s="87"/>
      <c r="C30" s="88">
        <f t="shared" ref="C30:M30" si="7">C28+C29</f>
        <v>0</v>
      </c>
      <c r="D30" s="88">
        <f t="shared" si="7"/>
        <v>0</v>
      </c>
      <c r="E30" s="88">
        <f t="shared" si="7"/>
        <v>0</v>
      </c>
      <c r="F30" s="88">
        <f t="shared" si="7"/>
        <v>0</v>
      </c>
      <c r="G30" s="88">
        <f t="shared" si="7"/>
        <v>0</v>
      </c>
      <c r="H30" s="88">
        <f t="shared" si="7"/>
        <v>0</v>
      </c>
      <c r="I30" s="88">
        <f t="shared" si="7"/>
        <v>0</v>
      </c>
      <c r="J30" s="88">
        <f t="shared" si="7"/>
        <v>0</v>
      </c>
      <c r="K30" s="88">
        <f t="shared" si="7"/>
        <v>0</v>
      </c>
      <c r="L30" s="88">
        <f t="shared" si="7"/>
        <v>0</v>
      </c>
      <c r="M30" s="88">
        <f t="shared" si="7"/>
        <v>0</v>
      </c>
      <c r="N30" s="31">
        <f>C30+D30+E30+F30+G30+H30+I30+J30+K30+L30+M30</f>
        <v>0</v>
      </c>
      <c r="O30" s="31"/>
      <c r="P30" s="31"/>
    </row>
    <row r="31" spans="1:16" x14ac:dyDescent="0.35">
      <c r="A31" s="18" t="s">
        <v>105</v>
      </c>
      <c r="B31" s="87"/>
      <c r="C31" s="88">
        <f t="shared" ref="C31:M31" si="8">C30*C10</f>
        <v>0</v>
      </c>
      <c r="D31" s="88">
        <f t="shared" si="8"/>
        <v>0</v>
      </c>
      <c r="E31" s="88">
        <f t="shared" si="8"/>
        <v>0</v>
      </c>
      <c r="F31" s="88">
        <f t="shared" si="8"/>
        <v>0</v>
      </c>
      <c r="G31" s="88">
        <f t="shared" si="8"/>
        <v>0</v>
      </c>
      <c r="H31" s="88">
        <f t="shared" si="8"/>
        <v>0</v>
      </c>
      <c r="I31" s="88">
        <f t="shared" si="8"/>
        <v>0</v>
      </c>
      <c r="J31" s="88">
        <f t="shared" si="8"/>
        <v>0</v>
      </c>
      <c r="K31" s="88">
        <f t="shared" si="8"/>
        <v>0</v>
      </c>
      <c r="L31" s="88">
        <f t="shared" si="8"/>
        <v>0</v>
      </c>
      <c r="M31" s="88">
        <f t="shared" si="8"/>
        <v>0</v>
      </c>
      <c r="N31" s="31">
        <f>C31+D31+E31+F31+G31+H31+I31+J31+K31+L31+M31</f>
        <v>0</v>
      </c>
      <c r="O31" s="31"/>
      <c r="P31" s="31"/>
    </row>
    <row r="32" spans="1:16" x14ac:dyDescent="0.35">
      <c r="A32" s="18" t="s">
        <v>287</v>
      </c>
      <c r="B32" s="87"/>
      <c r="C32" s="88">
        <f t="shared" ref="C32:M32" si="9">C30-C31</f>
        <v>0</v>
      </c>
      <c r="D32" s="88">
        <f t="shared" si="9"/>
        <v>0</v>
      </c>
      <c r="E32" s="88">
        <f t="shared" si="9"/>
        <v>0</v>
      </c>
      <c r="F32" s="88">
        <f t="shared" si="9"/>
        <v>0</v>
      </c>
      <c r="G32" s="88">
        <f t="shared" si="9"/>
        <v>0</v>
      </c>
      <c r="H32" s="88">
        <f t="shared" si="9"/>
        <v>0</v>
      </c>
      <c r="I32" s="88">
        <f t="shared" si="9"/>
        <v>0</v>
      </c>
      <c r="J32" s="88">
        <f t="shared" si="9"/>
        <v>0</v>
      </c>
      <c r="K32" s="88">
        <f t="shared" si="9"/>
        <v>0</v>
      </c>
      <c r="L32" s="88">
        <f t="shared" si="9"/>
        <v>0</v>
      </c>
      <c r="M32" s="88">
        <f t="shared" si="9"/>
        <v>0</v>
      </c>
      <c r="N32" s="31">
        <f>C32+D32+E32+F32+G32+H32+I32+J32+K32+L32+M32</f>
        <v>0</v>
      </c>
      <c r="O32" s="31"/>
      <c r="P32" s="31"/>
    </row>
    <row r="33" spans="1:16" x14ac:dyDescent="0.35"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</row>
    <row r="34" spans="1:16" x14ac:dyDescent="0.35">
      <c r="A34" s="30">
        <f>wc!F33</f>
        <v>0</v>
      </c>
      <c r="B34" s="87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31"/>
      <c r="O34" s="31"/>
      <c r="P34" s="31"/>
    </row>
    <row r="35" spans="1:16" x14ac:dyDescent="0.35">
      <c r="A35" s="18" t="s">
        <v>283</v>
      </c>
      <c r="B35" s="87"/>
      <c r="C35" s="88">
        <f t="shared" ref="C35:M35" si="10">C32</f>
        <v>0</v>
      </c>
      <c r="D35" s="88">
        <f t="shared" si="10"/>
        <v>0</v>
      </c>
      <c r="E35" s="88">
        <f t="shared" si="10"/>
        <v>0</v>
      </c>
      <c r="F35" s="88">
        <f t="shared" si="10"/>
        <v>0</v>
      </c>
      <c r="G35" s="88">
        <f t="shared" si="10"/>
        <v>0</v>
      </c>
      <c r="H35" s="88">
        <f t="shared" si="10"/>
        <v>0</v>
      </c>
      <c r="I35" s="88">
        <f t="shared" si="10"/>
        <v>0</v>
      </c>
      <c r="J35" s="88">
        <f t="shared" si="10"/>
        <v>0</v>
      </c>
      <c r="K35" s="88">
        <f t="shared" si="10"/>
        <v>0</v>
      </c>
      <c r="L35" s="88">
        <f t="shared" si="10"/>
        <v>0</v>
      </c>
      <c r="M35" s="88">
        <f t="shared" si="10"/>
        <v>0</v>
      </c>
      <c r="N35" s="31">
        <f>C35+D35+E35+F35+G35+H35+I35+J35+K35+L35+M35</f>
        <v>0</v>
      </c>
      <c r="O35" s="31"/>
      <c r="P35" s="31"/>
    </row>
    <row r="36" spans="1:16" x14ac:dyDescent="0.35">
      <c r="A36" s="18" t="s">
        <v>284</v>
      </c>
      <c r="B36" s="87"/>
      <c r="C36" s="88">
        <v>0</v>
      </c>
      <c r="D36" s="88">
        <v>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31">
        <f>C36+D36+E36+F36+G36+H36+I36+J36+K36+L36+M36</f>
        <v>0</v>
      </c>
      <c r="O36" s="31"/>
      <c r="P36" s="31"/>
    </row>
    <row r="37" spans="1:16" x14ac:dyDescent="0.35">
      <c r="A37" s="18" t="s">
        <v>282</v>
      </c>
      <c r="B37" s="87"/>
      <c r="C37" s="88">
        <f t="shared" ref="C37:M37" si="11">C35+C36</f>
        <v>0</v>
      </c>
      <c r="D37" s="88">
        <f t="shared" si="11"/>
        <v>0</v>
      </c>
      <c r="E37" s="88">
        <f t="shared" si="11"/>
        <v>0</v>
      </c>
      <c r="F37" s="88">
        <f t="shared" si="11"/>
        <v>0</v>
      </c>
      <c r="G37" s="88">
        <f t="shared" si="11"/>
        <v>0</v>
      </c>
      <c r="H37" s="88">
        <f t="shared" si="11"/>
        <v>0</v>
      </c>
      <c r="I37" s="88">
        <f t="shared" si="11"/>
        <v>0</v>
      </c>
      <c r="J37" s="88">
        <f t="shared" si="11"/>
        <v>0</v>
      </c>
      <c r="K37" s="88">
        <f t="shared" si="11"/>
        <v>0</v>
      </c>
      <c r="L37" s="88">
        <f t="shared" si="11"/>
        <v>0</v>
      </c>
      <c r="M37" s="88">
        <f t="shared" si="11"/>
        <v>0</v>
      </c>
      <c r="N37" s="31">
        <f>C37+D37+E37+F37+G37+H37+I37+J37+K37+L37+M37</f>
        <v>0</v>
      </c>
      <c r="O37" s="31"/>
      <c r="P37" s="31"/>
    </row>
    <row r="38" spans="1:16" x14ac:dyDescent="0.35">
      <c r="A38" s="18" t="s">
        <v>105</v>
      </c>
      <c r="B38" s="87"/>
      <c r="C38" s="88">
        <f t="shared" ref="C38:M38" si="12">C37*C10</f>
        <v>0</v>
      </c>
      <c r="D38" s="88">
        <f t="shared" si="12"/>
        <v>0</v>
      </c>
      <c r="E38" s="88">
        <f t="shared" si="12"/>
        <v>0</v>
      </c>
      <c r="F38" s="88">
        <f t="shared" si="12"/>
        <v>0</v>
      </c>
      <c r="G38" s="88">
        <f t="shared" si="12"/>
        <v>0</v>
      </c>
      <c r="H38" s="88">
        <f t="shared" si="12"/>
        <v>0</v>
      </c>
      <c r="I38" s="88">
        <f t="shared" si="12"/>
        <v>0</v>
      </c>
      <c r="J38" s="88">
        <f t="shared" si="12"/>
        <v>0</v>
      </c>
      <c r="K38" s="88">
        <f t="shared" si="12"/>
        <v>0</v>
      </c>
      <c r="L38" s="88">
        <f t="shared" si="12"/>
        <v>0</v>
      </c>
      <c r="M38" s="88">
        <f t="shared" si="12"/>
        <v>0</v>
      </c>
      <c r="N38" s="31">
        <f>C38+D38+E38+F38+G38+H38+I38+J38+K38+L38+M38</f>
        <v>0</v>
      </c>
      <c r="O38" s="31"/>
      <c r="P38" s="31"/>
    </row>
    <row r="39" spans="1:16" x14ac:dyDescent="0.35">
      <c r="A39" s="18" t="s">
        <v>288</v>
      </c>
      <c r="B39" s="87"/>
      <c r="C39" s="88">
        <f t="shared" ref="C39:M39" si="13">C37-C38</f>
        <v>0</v>
      </c>
      <c r="D39" s="88">
        <f t="shared" si="13"/>
        <v>0</v>
      </c>
      <c r="E39" s="88">
        <f t="shared" si="13"/>
        <v>0</v>
      </c>
      <c r="F39" s="88">
        <f t="shared" si="13"/>
        <v>0</v>
      </c>
      <c r="G39" s="88">
        <f t="shared" si="13"/>
        <v>0</v>
      </c>
      <c r="H39" s="88">
        <f t="shared" si="13"/>
        <v>0</v>
      </c>
      <c r="I39" s="88">
        <f t="shared" si="13"/>
        <v>0</v>
      </c>
      <c r="J39" s="88">
        <f t="shared" si="13"/>
        <v>0</v>
      </c>
      <c r="K39" s="88">
        <f t="shared" si="13"/>
        <v>0</v>
      </c>
      <c r="L39" s="88">
        <f t="shared" si="13"/>
        <v>0</v>
      </c>
      <c r="M39" s="88">
        <f t="shared" si="13"/>
        <v>0</v>
      </c>
      <c r="N39" s="31">
        <f>C39+D39+E39+F39+G39+H39+I39+J39+K39+L39+M39</f>
        <v>0</v>
      </c>
      <c r="O39" s="31"/>
      <c r="P39" s="31"/>
    </row>
    <row r="40" spans="1:16" x14ac:dyDescent="0.35">
      <c r="B40" s="8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31"/>
      <c r="O40" s="31"/>
      <c r="P40" s="31"/>
    </row>
    <row r="41" spans="1:16" x14ac:dyDescent="0.35">
      <c r="A41" s="30">
        <f>wc!G33</f>
        <v>0</v>
      </c>
      <c r="B41" s="8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31"/>
      <c r="O41" s="31"/>
      <c r="P41" s="31"/>
    </row>
    <row r="42" spans="1:16" x14ac:dyDescent="0.35">
      <c r="A42" s="18" t="s">
        <v>283</v>
      </c>
      <c r="B42" s="87"/>
      <c r="C42" s="88">
        <f t="shared" ref="C42:M42" si="14">C39</f>
        <v>0</v>
      </c>
      <c r="D42" s="88">
        <f t="shared" si="14"/>
        <v>0</v>
      </c>
      <c r="E42" s="88">
        <f t="shared" si="14"/>
        <v>0</v>
      </c>
      <c r="F42" s="88">
        <f t="shared" si="14"/>
        <v>0</v>
      </c>
      <c r="G42" s="88">
        <f t="shared" si="14"/>
        <v>0</v>
      </c>
      <c r="H42" s="88">
        <f t="shared" si="14"/>
        <v>0</v>
      </c>
      <c r="I42" s="88">
        <f t="shared" si="14"/>
        <v>0</v>
      </c>
      <c r="J42" s="88">
        <f t="shared" si="14"/>
        <v>0</v>
      </c>
      <c r="K42" s="88">
        <f t="shared" si="14"/>
        <v>0</v>
      </c>
      <c r="L42" s="88">
        <f t="shared" si="14"/>
        <v>0</v>
      </c>
      <c r="M42" s="88">
        <f t="shared" si="14"/>
        <v>0</v>
      </c>
      <c r="N42" s="31">
        <f>C42+D42+E42+F42+G42+H42+I42+J42+K42+L42+M42</f>
        <v>0</v>
      </c>
      <c r="O42" s="31"/>
      <c r="P42" s="31"/>
    </row>
    <row r="43" spans="1:16" x14ac:dyDescent="0.35">
      <c r="A43" s="18" t="s">
        <v>284</v>
      </c>
      <c r="B43" s="87"/>
      <c r="C43" s="88">
        <v>0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31">
        <f>C43+D43+E43+F43+G43+H43+I43+J43+K43+L43+M43</f>
        <v>0</v>
      </c>
      <c r="O43" s="31"/>
      <c r="P43" s="31"/>
    </row>
    <row r="44" spans="1:16" x14ac:dyDescent="0.35">
      <c r="A44" s="18" t="s">
        <v>282</v>
      </c>
      <c r="B44" s="87"/>
      <c r="C44" s="88">
        <f t="shared" ref="C44:M44" si="15">C42+C43</f>
        <v>0</v>
      </c>
      <c r="D44" s="88">
        <f t="shared" si="15"/>
        <v>0</v>
      </c>
      <c r="E44" s="88">
        <f t="shared" si="15"/>
        <v>0</v>
      </c>
      <c r="F44" s="88">
        <f t="shared" si="15"/>
        <v>0</v>
      </c>
      <c r="G44" s="88">
        <f t="shared" si="15"/>
        <v>0</v>
      </c>
      <c r="H44" s="88">
        <f t="shared" si="15"/>
        <v>0</v>
      </c>
      <c r="I44" s="88">
        <f t="shared" si="15"/>
        <v>0</v>
      </c>
      <c r="J44" s="88">
        <f t="shared" si="15"/>
        <v>0</v>
      </c>
      <c r="K44" s="88">
        <f t="shared" si="15"/>
        <v>0</v>
      </c>
      <c r="L44" s="88">
        <f t="shared" si="15"/>
        <v>0</v>
      </c>
      <c r="M44" s="88">
        <f t="shared" si="15"/>
        <v>0</v>
      </c>
      <c r="N44" s="31">
        <f>C44+D44+E44+F44+G44+H44+I44+J44+K44+L44+M44</f>
        <v>0</v>
      </c>
      <c r="O44" s="31"/>
      <c r="P44" s="31"/>
    </row>
    <row r="45" spans="1:16" x14ac:dyDescent="0.35">
      <c r="A45" s="18" t="s">
        <v>105</v>
      </c>
      <c r="B45" s="87"/>
      <c r="C45" s="88">
        <f t="shared" ref="C45:M45" si="16">C44*C10</f>
        <v>0</v>
      </c>
      <c r="D45" s="88">
        <f t="shared" si="16"/>
        <v>0</v>
      </c>
      <c r="E45" s="88">
        <f t="shared" si="16"/>
        <v>0</v>
      </c>
      <c r="F45" s="88">
        <f t="shared" si="16"/>
        <v>0</v>
      </c>
      <c r="G45" s="88">
        <f t="shared" si="16"/>
        <v>0</v>
      </c>
      <c r="H45" s="88">
        <f t="shared" si="16"/>
        <v>0</v>
      </c>
      <c r="I45" s="88">
        <f t="shared" si="16"/>
        <v>0</v>
      </c>
      <c r="J45" s="88">
        <f t="shared" si="16"/>
        <v>0</v>
      </c>
      <c r="K45" s="88">
        <f t="shared" si="16"/>
        <v>0</v>
      </c>
      <c r="L45" s="88">
        <f t="shared" si="16"/>
        <v>0</v>
      </c>
      <c r="M45" s="88">
        <f t="shared" si="16"/>
        <v>0</v>
      </c>
      <c r="N45" s="31">
        <f>C45+D45+E45+F45+G45+H45+I45+J45+K45+L45+M45</f>
        <v>0</v>
      </c>
      <c r="O45" s="31"/>
      <c r="P45" s="31"/>
    </row>
    <row r="46" spans="1:16" x14ac:dyDescent="0.35">
      <c r="A46" s="18" t="s">
        <v>289</v>
      </c>
      <c r="B46" s="87"/>
      <c r="C46" s="88">
        <f t="shared" ref="C46:M46" si="17">C44-C45</f>
        <v>0</v>
      </c>
      <c r="D46" s="88">
        <f t="shared" si="17"/>
        <v>0</v>
      </c>
      <c r="E46" s="88">
        <f t="shared" si="17"/>
        <v>0</v>
      </c>
      <c r="F46" s="88">
        <f t="shared" si="17"/>
        <v>0</v>
      </c>
      <c r="G46" s="88">
        <f t="shared" si="17"/>
        <v>0</v>
      </c>
      <c r="H46" s="88">
        <f t="shared" si="17"/>
        <v>0</v>
      </c>
      <c r="I46" s="88">
        <f t="shared" si="17"/>
        <v>0</v>
      </c>
      <c r="J46" s="88">
        <f t="shared" si="17"/>
        <v>0</v>
      </c>
      <c r="K46" s="88">
        <f t="shared" si="17"/>
        <v>0</v>
      </c>
      <c r="L46" s="88">
        <f t="shared" si="17"/>
        <v>0</v>
      </c>
      <c r="M46" s="88">
        <f t="shared" si="17"/>
        <v>0</v>
      </c>
      <c r="N46" s="31">
        <f>C46+D46+E46+F46+G46+H46+I46+J46+K46+L46+M46</f>
        <v>0</v>
      </c>
      <c r="O46" s="31"/>
      <c r="P46" s="31"/>
    </row>
    <row r="47" spans="1:16" ht="13.95" customHeight="1" thickBot="1" x14ac:dyDescent="0.4">
      <c r="A47" s="21"/>
      <c r="B47" s="295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7"/>
      <c r="O47" s="31"/>
      <c r="P47" s="31"/>
    </row>
  </sheetData>
  <mergeCells count="15">
    <mergeCell ref="A1:N1"/>
    <mergeCell ref="A2:N2"/>
    <mergeCell ref="M8:M9"/>
    <mergeCell ref="K8:K9"/>
    <mergeCell ref="L8:L9"/>
    <mergeCell ref="D8:D9"/>
    <mergeCell ref="A5:N5"/>
    <mergeCell ref="A3:N3"/>
    <mergeCell ref="E8:E9"/>
    <mergeCell ref="C8:C9"/>
    <mergeCell ref="H8:H9"/>
    <mergeCell ref="F8:F9"/>
    <mergeCell ref="G8:G9"/>
    <mergeCell ref="I8:I9"/>
    <mergeCell ref="J8:J9"/>
  </mergeCells>
  <pageMargins left="0.70866141732283472" right="0.70866141732283472" top="0.74803149606299213" bottom="1.1299999999999999" header="0.31496062992125978" footer="0.31496062992125978"/>
  <pageSetup scale="13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7:C22"/>
  <sheetViews>
    <sheetView workbookViewId="0">
      <selection activeCell="N35" sqref="N35"/>
    </sheetView>
  </sheetViews>
  <sheetFormatPr defaultRowHeight="13.2" x14ac:dyDescent="0.25"/>
  <cols>
    <col min="2" max="2" width="35.21875" bestFit="1" customWidth="1"/>
    <col min="3" max="3" width="15.5546875" customWidth="1"/>
  </cols>
  <sheetData>
    <row r="7" spans="2:3" ht="18" customHeight="1" x14ac:dyDescent="0.3">
      <c r="B7" s="239" t="s">
        <v>290</v>
      </c>
    </row>
    <row r="9" spans="2:3" ht="13.95" customHeight="1" x14ac:dyDescent="0.25">
      <c r="B9" s="114" t="s">
        <v>291</v>
      </c>
    </row>
    <row r="10" spans="2:3" x14ac:dyDescent="0.25">
      <c r="B10" s="218" t="s">
        <v>292</v>
      </c>
      <c r="C10">
        <v>150000</v>
      </c>
    </row>
    <row r="11" spans="2:3" x14ac:dyDescent="0.25">
      <c r="B11" s="218" t="s">
        <v>293</v>
      </c>
      <c r="C11">
        <v>150000</v>
      </c>
    </row>
    <row r="12" spans="2:3" x14ac:dyDescent="0.25">
      <c r="B12" s="218" t="s">
        <v>294</v>
      </c>
      <c r="C12">
        <v>200000</v>
      </c>
    </row>
    <row r="14" spans="2:3" ht="13.05" customHeight="1" thickBot="1" x14ac:dyDescent="0.3">
      <c r="C14" s="105">
        <f>SUM(C10:C13)</f>
        <v>500000</v>
      </c>
    </row>
    <row r="16" spans="2:3" ht="13.05" customHeight="1" x14ac:dyDescent="0.25">
      <c r="B16" s="240" t="s">
        <v>295</v>
      </c>
    </row>
    <row r="17" spans="2:2" x14ac:dyDescent="0.25">
      <c r="B17" s="218" t="s">
        <v>296</v>
      </c>
    </row>
    <row r="18" spans="2:2" x14ac:dyDescent="0.25">
      <c r="B18" s="218" t="s">
        <v>297</v>
      </c>
    </row>
    <row r="19" spans="2:2" x14ac:dyDescent="0.25">
      <c r="B19" s="218" t="s">
        <v>298</v>
      </c>
    </row>
    <row r="20" spans="2:2" x14ac:dyDescent="0.25">
      <c r="B20" s="218" t="s">
        <v>299</v>
      </c>
    </row>
    <row r="21" spans="2:2" x14ac:dyDescent="0.25">
      <c r="B21" s="238" t="s">
        <v>300</v>
      </c>
    </row>
    <row r="22" spans="2:2" ht="13.95" customHeight="1" x14ac:dyDescent="0.25">
      <c r="B22" s="1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Assumptions.1</vt:lpstr>
      <vt:lpstr>wc</vt:lpstr>
      <vt:lpstr>FinalWorkings</vt:lpstr>
      <vt:lpstr>Coverpage</vt:lpstr>
      <vt:lpstr>plbs</vt:lpstr>
      <vt:lpstr>RATIO</vt:lpstr>
      <vt:lpstr>MPBF </vt:lpstr>
      <vt:lpstr>Nayak</vt:lpstr>
      <vt:lpstr>Depsch</vt:lpstr>
      <vt:lpstr>Fixed assets sch</vt:lpstr>
      <vt:lpstr>Coverpage!Print_Area</vt:lpstr>
      <vt:lpstr>FinalWorkings!Print_Area</vt:lpstr>
      <vt:lpstr>'MPBF '!Print_Area</vt:lpstr>
      <vt:lpstr>plbs!Print_Area</vt:lpstr>
      <vt:lpstr>RATIO!Print_Area</vt:lpstr>
      <vt:lpstr>wc!Print_Area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2025-11-09T06:44:13Z</cp:lastPrinted>
  <dcterms:created xsi:type="dcterms:W3CDTF">2007-11-14T04:27:01Z</dcterms:created>
  <dcterms:modified xsi:type="dcterms:W3CDTF">2026-01-06T16:56:43Z</dcterms:modified>
</cp:coreProperties>
</file>