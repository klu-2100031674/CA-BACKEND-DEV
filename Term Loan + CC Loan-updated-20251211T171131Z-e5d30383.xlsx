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CA-DEV\CA-BACKEND-DEV\"/>
    </mc:Choice>
  </mc:AlternateContent>
  <xr:revisionPtr revIDLastSave="0" documentId="8_{B4186607-A5AD-4FB7-8816-2E323FF8F5A7}" xr6:coauthVersionLast="47" xr6:coauthVersionMax="47" xr10:uidLastSave="{00000000-0000-0000-0000-000000000000}"/>
  <bookViews>
    <workbookView xWindow="-108" yWindow="-108" windowWidth="23256" windowHeight="12456" firstSheet="1" activeTab="4" xr2:uid="{977793AF-6729-4054-B97B-13B639ECCB01}"/>
  </bookViews>
  <sheets>
    <sheet name="CASES" sheetId="53" state="hidden" r:id="rId1"/>
    <sheet name="Assumptions" sheetId="37" r:id="rId2"/>
    <sheet name="Workings for PL BS 1" sheetId="1" r:id="rId3"/>
    <sheet name="WorKings for PL BS 2" sheetId="41" r:id="rId4"/>
    <sheet name="Final workings" sheetId="61" r:id="rId5"/>
    <sheet name="Cover page" sheetId="38" r:id="rId6"/>
    <sheet name="Index" sheetId="51" r:id="rId7"/>
    <sheet name="profile" sheetId="39" r:id="rId8"/>
    <sheet name="Descriptive" sheetId="52" r:id="rId9"/>
    <sheet name="project cost" sheetId="32" r:id="rId10"/>
    <sheet name="PL BS" sheetId="42" r:id="rId11"/>
    <sheet name="RATIO" sheetId="2" r:id="rId12"/>
    <sheet name="Leverage ratios" sheetId="58" r:id="rId13"/>
    <sheet name="Dep IT act" sheetId="25" r:id="rId14"/>
    <sheet name="Loan sch" sheetId="10" r:id="rId15"/>
    <sheet name="Repayment" sheetId="5" r:id="rId16"/>
    <sheet name="CFs" sheetId="35" r:id="rId17"/>
    <sheet name="Funds Flow statement" sheetId="50" r:id="rId18"/>
    <sheet name="MPBF " sheetId="20" r:id="rId19"/>
    <sheet name="Nayak" sheetId="36" r:id="rId20"/>
    <sheet name="IRR" sheetId="34" r:id="rId21"/>
    <sheet name="Gaurantors" sheetId="14" state="hidden" r:id="rId22"/>
    <sheet name="BEP analysis" sheetId="26" state="hidden" r:id="rId23"/>
    <sheet name="Sales" sheetId="33" state="hidden" r:id="rId24"/>
    <sheet name="MIRR" sheetId="46" r:id="rId25"/>
    <sheet name="WACC" sheetId="56" r:id="rId26"/>
    <sheet name="Profitability Index" sheetId="47" r:id="rId27"/>
    <sheet name="NPV" sheetId="48" r:id="rId28"/>
    <sheet name="Payback period I" sheetId="49" r:id="rId29"/>
    <sheet name="Payback period II" sheetId="57" r:id="rId30"/>
    <sheet name="Sensitivity Analysis" sheetId="45" r:id="rId31"/>
    <sheet name="BEP" sheetId="54" r:id="rId32"/>
    <sheet name="FA sch" sheetId="55" r:id="rId33"/>
    <sheet name="Altman Z" sheetId="59" r:id="rId34"/>
    <sheet name="CF workings" sheetId="40" r:id="rId35"/>
    <sheet name="workings-Sensitivity Analysis1" sheetId="43" r:id="rId36"/>
    <sheet name="Graph" sheetId="60" r:id="rId37"/>
    <sheet name="Workings-Sensitivity Analysis2" sheetId="44" r:id="rId38"/>
  </sheets>
  <externalReferences>
    <externalReference r:id="rId39"/>
    <externalReference r:id="rId40"/>
  </externalReferences>
  <definedNames>
    <definedName name="_xlnm.Print_Area" localSheetId="33">'Altman Z'!$A$1:$K$40</definedName>
    <definedName name="_xlnm.Print_Area" localSheetId="31">BEP!$A$1:$J$49</definedName>
    <definedName name="_xlnm.Print_Area" localSheetId="34">'CF workings'!$A$1:$I$38</definedName>
    <definedName name="_xlnm.Print_Area" localSheetId="16">CFs!$A$1:$J$48</definedName>
    <definedName name="_xlnm.Print_Area" localSheetId="5">'Cover page'!$A$1:$M$42</definedName>
    <definedName name="_xlnm.Print_Area" localSheetId="13">'Dep IT act'!$A$1:$M$68</definedName>
    <definedName name="_xlnm.Print_Area" localSheetId="4">'Final workings'!$A$1:$I$36</definedName>
    <definedName name="_xlnm.Print_Area" localSheetId="17">'Funds Flow statement'!$A$1:$F$164</definedName>
    <definedName name="_xlnm.Print_Area" localSheetId="6">Index!$A$1:$M$55</definedName>
    <definedName name="_xlnm.Print_Area" localSheetId="20">IRR!$A$1:$H$34</definedName>
    <definedName name="_xlnm.Print_Area" localSheetId="12">'Leverage ratios'!$A$1:$K$54</definedName>
    <definedName name="_xlnm.Print_Area" localSheetId="14">'Loan sch'!$A$1:$H$108</definedName>
    <definedName name="_xlnm.Print_Area" localSheetId="24">MIRR!$A$1:$H$37</definedName>
    <definedName name="_xlnm.Print_Area" localSheetId="18">'MPBF '!$A$1:$J$56</definedName>
    <definedName name="_xlnm.Print_Area" localSheetId="19">Nayak!$A$1:$J$29</definedName>
    <definedName name="_xlnm.Print_Area" localSheetId="27">NPV!$A$1:$H$38</definedName>
    <definedName name="_xlnm.Print_Area" localSheetId="28">'Payback period I'!$A$1:$I$22</definedName>
    <definedName name="_xlnm.Print_Area" localSheetId="29">'Payback period II'!$A$1:$I$21</definedName>
    <definedName name="_xlnm.Print_Area" localSheetId="10">'PL BS'!$A$1:$L$120</definedName>
    <definedName name="_xlnm.Print_Area" localSheetId="7">profile!$A$1:$F$64</definedName>
    <definedName name="_xlnm.Print_Area" localSheetId="26">'Profitability Index'!$A$1:$H$35</definedName>
    <definedName name="_xlnm.Print_Area" localSheetId="9">'project cost'!$A$1:$C$35</definedName>
    <definedName name="_xlnm.Print_Area" localSheetId="11">RATIO!$A$1:$K$123</definedName>
    <definedName name="_xlnm.Print_Area" localSheetId="15">Repayment!$A$1:$J$23</definedName>
    <definedName name="_xlnm.Print_Area" localSheetId="30">'Sensitivity Analysis'!$A$1:$F$30</definedName>
    <definedName name="_xlnm.Print_Area" localSheetId="25">WACC!$A$1:$G$22</definedName>
    <definedName name="_xlnm.Print_Area" localSheetId="2">'Workings for PL BS 1'!$A$1:$K$52</definedName>
    <definedName name="_xlnm.Print_Area" localSheetId="3">'WorKings for PL BS 2'!$A$1:$I$30</definedName>
    <definedName name="_xlnm.Print_Area" localSheetId="35">'workings-Sensitivity Analysis1'!$A$1:$L$67</definedName>
    <definedName name="_xlnm.Print_Area" localSheetId="37">'Workings-Sensitivity Analysis2'!$A$1:$L$68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44" l="1"/>
  <c r="E6" i="44"/>
  <c r="F6" i="44"/>
  <c r="G6" i="44"/>
  <c r="H6" i="44"/>
  <c r="I6" i="44"/>
  <c r="J6" i="44"/>
  <c r="K6" i="44"/>
  <c r="D7" i="44"/>
  <c r="E7" i="44"/>
  <c r="F7" i="44"/>
  <c r="G7" i="44"/>
  <c r="H7" i="44"/>
  <c r="I7" i="44"/>
  <c r="J7" i="44"/>
  <c r="K7" i="44"/>
  <c r="D17" i="44"/>
  <c r="E17" i="44"/>
  <c r="F17" i="44"/>
  <c r="G17" i="44"/>
  <c r="H17" i="44"/>
  <c r="I17" i="44"/>
  <c r="J17" i="44"/>
  <c r="K17" i="44"/>
  <c r="D18" i="44"/>
  <c r="E16" i="44" s="1"/>
  <c r="E18" i="44"/>
  <c r="F16" i="44" s="1"/>
  <c r="F18" i="44"/>
  <c r="G16" i="44" s="1"/>
  <c r="G18" i="44"/>
  <c r="H16" i="44" s="1"/>
  <c r="H18" i="44"/>
  <c r="I16" i="44" s="1"/>
  <c r="I18" i="44"/>
  <c r="J16" i="44" s="1"/>
  <c r="J18" i="44"/>
  <c r="K16" i="44" s="1"/>
  <c r="K18" i="44"/>
  <c r="D20" i="44"/>
  <c r="D43" i="44"/>
  <c r="E43" i="44"/>
  <c r="F43" i="44"/>
  <c r="G43" i="44"/>
  <c r="H43" i="44"/>
  <c r="I43" i="44"/>
  <c r="J43" i="44"/>
  <c r="K43" i="44"/>
  <c r="D55" i="44"/>
  <c r="E55" i="44"/>
  <c r="F55" i="44"/>
  <c r="G55" i="44"/>
  <c r="H55" i="44"/>
  <c r="I55" i="44"/>
  <c r="J55" i="44"/>
  <c r="K55" i="44"/>
  <c r="A2" i="60"/>
  <c r="A3" i="60"/>
  <c r="A4" i="60"/>
  <c r="A5" i="60"/>
  <c r="A6" i="60"/>
  <c r="A7" i="60"/>
  <c r="A8" i="60"/>
  <c r="A9" i="60"/>
  <c r="D6" i="43"/>
  <c r="E6" i="43"/>
  <c r="F6" i="43"/>
  <c r="G6" i="43"/>
  <c r="H6" i="43"/>
  <c r="I6" i="43"/>
  <c r="J6" i="43"/>
  <c r="K6" i="43"/>
  <c r="D7" i="43"/>
  <c r="E7" i="43"/>
  <c r="F7" i="43"/>
  <c r="G7" i="43"/>
  <c r="H7" i="43"/>
  <c r="I7" i="43"/>
  <c r="J7" i="43"/>
  <c r="K7" i="43"/>
  <c r="D17" i="43"/>
  <c r="E17" i="43"/>
  <c r="F17" i="43"/>
  <c r="G17" i="43"/>
  <c r="H17" i="43"/>
  <c r="I17" i="43"/>
  <c r="J17" i="43"/>
  <c r="K17" i="43"/>
  <c r="D18" i="43"/>
  <c r="E16" i="43" s="1"/>
  <c r="E18" i="43"/>
  <c r="F16" i="43" s="1"/>
  <c r="F18" i="43"/>
  <c r="G16" i="43" s="1"/>
  <c r="G18" i="43"/>
  <c r="H16" i="43" s="1"/>
  <c r="H18" i="43"/>
  <c r="I16" i="43" s="1"/>
  <c r="I18" i="43"/>
  <c r="J16" i="43" s="1"/>
  <c r="J18" i="43"/>
  <c r="K16" i="43" s="1"/>
  <c r="K18" i="43"/>
  <c r="D20" i="43"/>
  <c r="D43" i="43"/>
  <c r="E43" i="43"/>
  <c r="F43" i="43"/>
  <c r="G43" i="43"/>
  <c r="H43" i="43"/>
  <c r="I43" i="43"/>
  <c r="J43" i="43"/>
  <c r="K43" i="43"/>
  <c r="A45" i="43"/>
  <c r="A45" i="44" s="1"/>
  <c r="A46" i="43"/>
  <c r="A46" i="44" s="1"/>
  <c r="A47" i="43"/>
  <c r="A47" i="44" s="1"/>
  <c r="A48" i="43"/>
  <c r="A48" i="44" s="1"/>
  <c r="A49" i="43"/>
  <c r="A49" i="44" s="1"/>
  <c r="D54" i="43"/>
  <c r="E54" i="43"/>
  <c r="F54" i="43"/>
  <c r="G54" i="43"/>
  <c r="H54" i="43"/>
  <c r="I54" i="43"/>
  <c r="J54" i="43"/>
  <c r="K54" i="43"/>
  <c r="B2" i="59"/>
  <c r="B3" i="59"/>
  <c r="B4" i="59"/>
  <c r="E9" i="59"/>
  <c r="H9" i="59"/>
  <c r="J9" i="59"/>
  <c r="B2" i="55"/>
  <c r="B3" i="55"/>
  <c r="B4" i="55"/>
  <c r="B12" i="55"/>
  <c r="C12" i="55"/>
  <c r="B13" i="55"/>
  <c r="C13" i="55"/>
  <c r="B14" i="55"/>
  <c r="C14" i="55"/>
  <c r="B55" i="55"/>
  <c r="A2" i="54"/>
  <c r="A3" i="54"/>
  <c r="A4" i="54"/>
  <c r="D8" i="54"/>
  <c r="E8" i="54"/>
  <c r="F8" i="54"/>
  <c r="G8" i="54"/>
  <c r="H8" i="54"/>
  <c r="I8" i="54"/>
  <c r="B16" i="54"/>
  <c r="C16" i="54"/>
  <c r="D16" i="54"/>
  <c r="E16" i="54"/>
  <c r="F16" i="54"/>
  <c r="G16" i="54"/>
  <c r="H16" i="54"/>
  <c r="I16" i="54"/>
  <c r="B22" i="54"/>
  <c r="C22" i="54"/>
  <c r="D22" i="54"/>
  <c r="E22" i="54"/>
  <c r="F22" i="54"/>
  <c r="G22" i="54"/>
  <c r="H22" i="54"/>
  <c r="I22" i="54"/>
  <c r="C26" i="54"/>
  <c r="D26" i="54"/>
  <c r="E26" i="54"/>
  <c r="F26" i="54"/>
  <c r="G26" i="54"/>
  <c r="H26" i="54"/>
  <c r="I26" i="54"/>
  <c r="A35" i="54"/>
  <c r="D35" i="54"/>
  <c r="E35" i="54"/>
  <c r="F35" i="54"/>
  <c r="G35" i="54"/>
  <c r="H35" i="54"/>
  <c r="I35" i="54"/>
  <c r="B2" i="45"/>
  <c r="B3" i="45"/>
  <c r="B4" i="45"/>
  <c r="D12" i="45"/>
  <c r="E12" i="45"/>
  <c r="B14" i="45"/>
  <c r="B16" i="45"/>
  <c r="B18" i="45"/>
  <c r="B20" i="45"/>
  <c r="B22" i="45"/>
  <c r="B24" i="45"/>
  <c r="B26" i="45"/>
  <c r="B28" i="45"/>
  <c r="B2" i="57"/>
  <c r="B3" i="57"/>
  <c r="B4" i="57"/>
  <c r="D11" i="57"/>
  <c r="D12" i="57"/>
  <c r="D13" i="57"/>
  <c r="D14" i="57"/>
  <c r="D15" i="57"/>
  <c r="D16" i="57"/>
  <c r="D17" i="57"/>
  <c r="D18" i="57"/>
  <c r="C2" i="49"/>
  <c r="C3" i="49"/>
  <c r="C4" i="49"/>
  <c r="E11" i="49"/>
  <c r="E12" i="49"/>
  <c r="E13" i="49"/>
  <c r="E14" i="49"/>
  <c r="E15" i="49"/>
  <c r="E16" i="49"/>
  <c r="E17" i="49"/>
  <c r="E18" i="49"/>
  <c r="B2" i="48"/>
  <c r="B3" i="48"/>
  <c r="B4" i="48"/>
  <c r="B13" i="48"/>
  <c r="B15" i="48"/>
  <c r="B17" i="48"/>
  <c r="B19" i="48"/>
  <c r="B21" i="48"/>
  <c r="B23" i="48"/>
  <c r="B25" i="48"/>
  <c r="B27" i="48"/>
  <c r="B2" i="47"/>
  <c r="B3" i="47"/>
  <c r="B4" i="47"/>
  <c r="B15" i="47"/>
  <c r="B17" i="47"/>
  <c r="B19" i="47"/>
  <c r="B21" i="47"/>
  <c r="B23" i="47"/>
  <c r="B25" i="47"/>
  <c r="B27" i="47"/>
  <c r="B29" i="47"/>
  <c r="B2" i="56"/>
  <c r="B3" i="56"/>
  <c r="B4" i="56"/>
  <c r="E12" i="56"/>
  <c r="B2" i="46"/>
  <c r="B3" i="46"/>
  <c r="B4" i="46"/>
  <c r="B15" i="46"/>
  <c r="B17" i="46"/>
  <c r="B19" i="46"/>
  <c r="B21" i="46"/>
  <c r="B23" i="46"/>
  <c r="B25" i="46"/>
  <c r="B27" i="46"/>
  <c r="B29" i="46"/>
  <c r="B5" i="33"/>
  <c r="C5" i="33"/>
  <c r="D5" i="33"/>
  <c r="E5" i="33"/>
  <c r="B15" i="33"/>
  <c r="B40" i="33" s="1"/>
  <c r="B42" i="33" s="1"/>
  <c r="C15" i="33"/>
  <c r="D15" i="33"/>
  <c r="D22" i="33" s="1"/>
  <c r="E15" i="33"/>
  <c r="E22" i="33" s="1"/>
  <c r="F15" i="33"/>
  <c r="F22" i="33" s="1"/>
  <c r="G15" i="33"/>
  <c r="G22" i="33" s="1"/>
  <c r="B17" i="33"/>
  <c r="C17" i="33"/>
  <c r="D17" i="33"/>
  <c r="E17" i="33"/>
  <c r="F17" i="33"/>
  <c r="G17" i="33"/>
  <c r="B22" i="33"/>
  <c r="C22" i="33"/>
  <c r="C26" i="33"/>
  <c r="D26" i="33"/>
  <c r="E26" i="33"/>
  <c r="F26" i="33"/>
  <c r="G26" i="33"/>
  <c r="F30" i="33"/>
  <c r="F34" i="33"/>
  <c r="F36" i="33"/>
  <c r="C40" i="33"/>
  <c r="D40" i="33"/>
  <c r="E40" i="33"/>
  <c r="F40" i="33"/>
  <c r="G40" i="33"/>
  <c r="C42" i="33"/>
  <c r="D42" i="33"/>
  <c r="E42" i="33"/>
  <c r="F42" i="33"/>
  <c r="G42" i="33"/>
  <c r="A1" i="26"/>
  <c r="A2" i="26"/>
  <c r="A3" i="26"/>
  <c r="B7" i="26"/>
  <c r="C7" i="26"/>
  <c r="D7" i="26"/>
  <c r="E7" i="26"/>
  <c r="F7" i="26"/>
  <c r="G7" i="26"/>
  <c r="B11" i="26"/>
  <c r="C11" i="26"/>
  <c r="D11" i="26"/>
  <c r="E11" i="26"/>
  <c r="F11" i="26"/>
  <c r="G11" i="26"/>
  <c r="B14" i="26"/>
  <c r="C14" i="26"/>
  <c r="D14" i="26"/>
  <c r="E14" i="26"/>
  <c r="F14" i="26"/>
  <c r="G14" i="26"/>
  <c r="B15" i="26"/>
  <c r="C15" i="26"/>
  <c r="D15" i="26"/>
  <c r="E15" i="26"/>
  <c r="F15" i="26"/>
  <c r="G15" i="26"/>
  <c r="B16" i="26"/>
  <c r="C16" i="26"/>
  <c r="D16" i="26"/>
  <c r="E16" i="26"/>
  <c r="F16" i="26"/>
  <c r="G16" i="26"/>
  <c r="B19" i="26"/>
  <c r="C19" i="26"/>
  <c r="D19" i="26"/>
  <c r="E19" i="26"/>
  <c r="F19" i="26"/>
  <c r="G19" i="26"/>
  <c r="B21" i="26"/>
  <c r="C21" i="26"/>
  <c r="D21" i="26"/>
  <c r="E21" i="26"/>
  <c r="F21" i="26"/>
  <c r="G21" i="26"/>
  <c r="B23" i="26"/>
  <c r="C23" i="26"/>
  <c r="D23" i="26"/>
  <c r="E23" i="26"/>
  <c r="F23" i="26"/>
  <c r="G23" i="26"/>
  <c r="B27" i="26"/>
  <c r="C27" i="26"/>
  <c r="D27" i="26"/>
  <c r="E27" i="26"/>
  <c r="F27" i="26"/>
  <c r="G27" i="26"/>
  <c r="B28" i="26"/>
  <c r="C28" i="26"/>
  <c r="D28" i="26"/>
  <c r="E28" i="26"/>
  <c r="F28" i="26"/>
  <c r="G28" i="26"/>
  <c r="B29" i="26"/>
  <c r="C29" i="26"/>
  <c r="D29" i="26"/>
  <c r="E29" i="26"/>
  <c r="F29" i="26"/>
  <c r="G29" i="26"/>
  <c r="B32" i="26"/>
  <c r="C32" i="26"/>
  <c r="D32" i="26"/>
  <c r="E32" i="26"/>
  <c r="F32" i="26"/>
  <c r="G32" i="26"/>
  <c r="B34" i="26"/>
  <c r="C34" i="26"/>
  <c r="D34" i="26"/>
  <c r="E34" i="26"/>
  <c r="F34" i="26"/>
  <c r="G34" i="26"/>
  <c r="B36" i="26"/>
  <c r="C36" i="26"/>
  <c r="D36" i="26"/>
  <c r="E36" i="26"/>
  <c r="F36" i="26"/>
  <c r="G36" i="26"/>
  <c r="B38" i="26"/>
  <c r="C38" i="26"/>
  <c r="D38" i="26"/>
  <c r="E38" i="26"/>
  <c r="F38" i="26"/>
  <c r="G38" i="26"/>
  <c r="B2" i="34"/>
  <c r="B3" i="34"/>
  <c r="B4" i="34"/>
  <c r="B15" i="34"/>
  <c r="B17" i="34"/>
  <c r="B19" i="34"/>
  <c r="B21" i="34"/>
  <c r="B23" i="34"/>
  <c r="B25" i="34"/>
  <c r="B27" i="34"/>
  <c r="B29" i="34"/>
  <c r="A2" i="36"/>
  <c r="A3" i="36"/>
  <c r="A4" i="36"/>
  <c r="A2" i="20"/>
  <c r="A3" i="20"/>
  <c r="A4" i="20"/>
  <c r="C9" i="20"/>
  <c r="C11" i="36" s="1"/>
  <c r="D9" i="20"/>
  <c r="D11" i="36" s="1"/>
  <c r="E9" i="20"/>
  <c r="E11" i="36" s="1"/>
  <c r="F9" i="20"/>
  <c r="F11" i="36" s="1"/>
  <c r="G9" i="20"/>
  <c r="G11" i="36" s="1"/>
  <c r="H9" i="20"/>
  <c r="H11" i="36" s="1"/>
  <c r="I9" i="20"/>
  <c r="I11" i="36" s="1"/>
  <c r="C34" i="20"/>
  <c r="D34" i="20"/>
  <c r="E34" i="20"/>
  <c r="F34" i="20"/>
  <c r="G34" i="20"/>
  <c r="H34" i="20"/>
  <c r="I34" i="20"/>
  <c r="C6" i="50"/>
  <c r="D6" i="50"/>
  <c r="B10" i="50"/>
  <c r="B11" i="50"/>
  <c r="B12" i="50"/>
  <c r="E13" i="50"/>
  <c r="B18" i="50"/>
  <c r="B19" i="50"/>
  <c r="E19" i="50"/>
  <c r="C28" i="50"/>
  <c r="D28" i="50"/>
  <c r="B30" i="50"/>
  <c r="B32" i="50"/>
  <c r="B33" i="50"/>
  <c r="B34" i="50"/>
  <c r="E35" i="50"/>
  <c r="B38" i="50"/>
  <c r="B40" i="50"/>
  <c r="B41" i="50"/>
  <c r="C50" i="50"/>
  <c r="D50" i="50"/>
  <c r="B52" i="50"/>
  <c r="B54" i="50"/>
  <c r="B55" i="50"/>
  <c r="B56" i="50"/>
  <c r="E57" i="50"/>
  <c r="B58" i="50"/>
  <c r="B60" i="50"/>
  <c r="B62" i="50"/>
  <c r="B63" i="50"/>
  <c r="C72" i="50"/>
  <c r="D72" i="50"/>
  <c r="B74" i="50"/>
  <c r="B76" i="50"/>
  <c r="B77" i="50"/>
  <c r="B78" i="50"/>
  <c r="B80" i="50"/>
  <c r="B83" i="50"/>
  <c r="B85" i="50"/>
  <c r="B86" i="50"/>
  <c r="C95" i="50"/>
  <c r="D95" i="50"/>
  <c r="B97" i="50"/>
  <c r="B99" i="50"/>
  <c r="B100" i="50"/>
  <c r="B101" i="50"/>
  <c r="B103" i="50"/>
  <c r="B106" i="50"/>
  <c r="B108" i="50"/>
  <c r="B109" i="50"/>
  <c r="C118" i="50"/>
  <c r="D118" i="50"/>
  <c r="B120" i="50"/>
  <c r="B122" i="50"/>
  <c r="B123" i="50"/>
  <c r="B124" i="50"/>
  <c r="B126" i="50"/>
  <c r="B129" i="50"/>
  <c r="B131" i="50"/>
  <c r="B132" i="50"/>
  <c r="C144" i="50"/>
  <c r="D144" i="50"/>
  <c r="B146" i="50"/>
  <c r="B148" i="50"/>
  <c r="B149" i="50"/>
  <c r="B150" i="50"/>
  <c r="B152" i="50"/>
  <c r="B155" i="50"/>
  <c r="B157" i="50"/>
  <c r="B158" i="50"/>
  <c r="A15" i="35"/>
  <c r="C26" i="35"/>
  <c r="D26" i="35"/>
  <c r="E26" i="35"/>
  <c r="F26" i="35"/>
  <c r="G26" i="35"/>
  <c r="H26" i="35"/>
  <c r="I26" i="35"/>
  <c r="A30" i="35"/>
  <c r="A36" i="35"/>
  <c r="B43" i="35"/>
  <c r="A1" i="5"/>
  <c r="A2" i="5"/>
  <c r="A3" i="5"/>
  <c r="B8" i="5"/>
  <c r="C8" i="5"/>
  <c r="D8" i="5"/>
  <c r="E8" i="5"/>
  <c r="F8" i="5"/>
  <c r="G8" i="5"/>
  <c r="H8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H22" i="5" s="1"/>
  <c r="H13" i="41" s="1"/>
  <c r="B29" i="5"/>
  <c r="C29" i="5"/>
  <c r="B42" i="5"/>
  <c r="C42" i="5"/>
  <c r="A1" i="10"/>
  <c r="A2" i="10"/>
  <c r="A3" i="10"/>
  <c r="E14" i="10"/>
  <c r="B18" i="10"/>
  <c r="B23" i="10"/>
  <c r="C24" i="10"/>
  <c r="A1" i="25"/>
  <c r="A2" i="25"/>
  <c r="A3" i="25"/>
  <c r="B8" i="25"/>
  <c r="D8" i="25"/>
  <c r="I8" i="25"/>
  <c r="K8" i="25"/>
  <c r="L8" i="25"/>
  <c r="C9" i="25"/>
  <c r="E9" i="25"/>
  <c r="F9" i="25"/>
  <c r="G9" i="25"/>
  <c r="H9" i="25"/>
  <c r="J9" i="25"/>
  <c r="B10" i="25"/>
  <c r="C10" i="25"/>
  <c r="D10" i="25"/>
  <c r="E10" i="25"/>
  <c r="F10" i="25"/>
  <c r="G10" i="25"/>
  <c r="H10" i="25"/>
  <c r="I10" i="25"/>
  <c r="J10" i="25"/>
  <c r="K10" i="25"/>
  <c r="A13" i="25"/>
  <c r="M14" i="25"/>
  <c r="L17" i="25"/>
  <c r="A20" i="25"/>
  <c r="M22" i="25"/>
  <c r="A27" i="25"/>
  <c r="M29" i="25"/>
  <c r="A34" i="25"/>
  <c r="M36" i="25"/>
  <c r="A41" i="25"/>
  <c r="M43" i="25"/>
  <c r="A48" i="25"/>
  <c r="M50" i="25"/>
  <c r="A55" i="25"/>
  <c r="M57" i="25"/>
  <c r="A62" i="25"/>
  <c r="M64" i="25"/>
  <c r="B2" i="58"/>
  <c r="B3" i="58"/>
  <c r="B4" i="58"/>
  <c r="A1" i="2"/>
  <c r="A2" i="2"/>
  <c r="A3" i="2"/>
  <c r="D9" i="2"/>
  <c r="C32" i="2"/>
  <c r="D32" i="2"/>
  <c r="C44" i="2"/>
  <c r="D44" i="2"/>
  <c r="C52" i="2"/>
  <c r="D52" i="2"/>
  <c r="C60" i="2"/>
  <c r="D60" i="2"/>
  <c r="D75" i="2"/>
  <c r="C83" i="2"/>
  <c r="D83" i="2"/>
  <c r="D91" i="2"/>
  <c r="D99" i="2"/>
  <c r="C107" i="2"/>
  <c r="D107" i="2"/>
  <c r="C115" i="2"/>
  <c r="D115" i="2"/>
  <c r="A1" i="42"/>
  <c r="A2" i="42"/>
  <c r="A3" i="42"/>
  <c r="D6" i="42"/>
  <c r="E6" i="42"/>
  <c r="F6" i="42"/>
  <c r="G6" i="42"/>
  <c r="H6" i="42"/>
  <c r="I6" i="42"/>
  <c r="J6" i="42"/>
  <c r="K6" i="42"/>
  <c r="D7" i="42"/>
  <c r="C12" i="58" s="1"/>
  <c r="C28" i="58" s="1"/>
  <c r="C41" i="58" s="1"/>
  <c r="E7" i="42"/>
  <c r="D12" i="58" s="1"/>
  <c r="D28" i="58" s="1"/>
  <c r="D41" i="58" s="1"/>
  <c r="F7" i="42"/>
  <c r="E12" i="58" s="1"/>
  <c r="E28" i="58" s="1"/>
  <c r="E41" i="58" s="1"/>
  <c r="G7" i="42"/>
  <c r="H7" i="42"/>
  <c r="I7" i="42"/>
  <c r="H12" i="58" s="1"/>
  <c r="H28" i="58" s="1"/>
  <c r="H41" i="58" s="1"/>
  <c r="J7" i="42"/>
  <c r="K7" i="42"/>
  <c r="J12" i="58" s="1"/>
  <c r="J28" i="58" s="1"/>
  <c r="J41" i="58" s="1"/>
  <c r="D17" i="42"/>
  <c r="E17" i="42"/>
  <c r="F17" i="42"/>
  <c r="G17" i="42"/>
  <c r="H17" i="42"/>
  <c r="I17" i="42"/>
  <c r="J17" i="42"/>
  <c r="K17" i="42" s="1"/>
  <c r="D18" i="42"/>
  <c r="E16" i="42" s="1"/>
  <c r="E18" i="42"/>
  <c r="F16" i="42" s="1"/>
  <c r="F18" i="42"/>
  <c r="G16" i="42" s="1"/>
  <c r="G18" i="42"/>
  <c r="H16" i="42" s="1"/>
  <c r="H18" i="42"/>
  <c r="I16" i="42" s="1"/>
  <c r="I18" i="42"/>
  <c r="J16" i="42" s="1"/>
  <c r="J18" i="42"/>
  <c r="K16" i="42" s="1"/>
  <c r="K18" i="42"/>
  <c r="D21" i="42"/>
  <c r="A45" i="42"/>
  <c r="A46" i="42"/>
  <c r="A47" i="42"/>
  <c r="B50" i="42"/>
  <c r="D50" i="42"/>
  <c r="E50" i="42"/>
  <c r="F50" i="42"/>
  <c r="G50" i="42"/>
  <c r="H50" i="42"/>
  <c r="I50" i="42"/>
  <c r="J50" i="42"/>
  <c r="K50" i="42"/>
  <c r="D51" i="42"/>
  <c r="E51" i="42"/>
  <c r="F51" i="42"/>
  <c r="G51" i="42"/>
  <c r="H51" i="42"/>
  <c r="I51" i="42"/>
  <c r="J51" i="42"/>
  <c r="K51" i="42"/>
  <c r="A62" i="42"/>
  <c r="A76" i="42"/>
  <c r="D90" i="42"/>
  <c r="E90" i="42"/>
  <c r="F90" i="42"/>
  <c r="G90" i="42"/>
  <c r="H90" i="42"/>
  <c r="I90" i="42"/>
  <c r="J90" i="42"/>
  <c r="K90" i="42"/>
  <c r="D110" i="42"/>
  <c r="E110" i="42"/>
  <c r="F110" i="42"/>
  <c r="G110" i="42"/>
  <c r="H110" i="42"/>
  <c r="I110" i="42"/>
  <c r="J110" i="42"/>
  <c r="K110" i="42"/>
  <c r="A1" i="32"/>
  <c r="A2" i="32"/>
  <c r="A3" i="32"/>
  <c r="B8" i="32"/>
  <c r="A15" i="32"/>
  <c r="A17" i="32"/>
  <c r="C17" i="32"/>
  <c r="C24" i="32"/>
  <c r="G72" i="52"/>
  <c r="G74" i="52"/>
  <c r="A2" i="39"/>
  <c r="A3" i="39"/>
  <c r="A4" i="39"/>
  <c r="A7" i="39"/>
  <c r="C7" i="39"/>
  <c r="C9" i="39"/>
  <c r="C11" i="39"/>
  <c r="C13" i="39"/>
  <c r="C15" i="39"/>
  <c r="A17" i="39"/>
  <c r="C17" i="39"/>
  <c r="C19" i="39"/>
  <c r="C21" i="39"/>
  <c r="A23" i="39"/>
  <c r="A24" i="39"/>
  <c r="C24" i="39"/>
  <c r="A25" i="39"/>
  <c r="C25" i="39"/>
  <c r="A26" i="39"/>
  <c r="C26" i="39"/>
  <c r="C28" i="39"/>
  <c r="C30" i="39"/>
  <c r="C32" i="39"/>
  <c r="C34" i="39"/>
  <c r="C36" i="39"/>
  <c r="C38" i="39"/>
  <c r="D42" i="39"/>
  <c r="A44" i="39"/>
  <c r="D44" i="39"/>
  <c r="A46" i="39"/>
  <c r="D46" i="39"/>
  <c r="D10" i="38"/>
  <c r="D12" i="38"/>
  <c r="G15" i="38"/>
  <c r="D21" i="38"/>
  <c r="I29" i="38"/>
  <c r="A4" i="61"/>
  <c r="B4" i="61"/>
  <c r="C4" i="61"/>
  <c r="D4" i="61"/>
  <c r="E4" i="61"/>
  <c r="F4" i="61"/>
  <c r="G4" i="61"/>
  <c r="H4" i="61"/>
  <c r="I4" i="61"/>
  <c r="B6" i="61"/>
  <c r="C6" i="61"/>
  <c r="D6" i="61"/>
  <c r="E6" i="61"/>
  <c r="F6" i="61"/>
  <c r="G6" i="61"/>
  <c r="H6" i="61"/>
  <c r="I6" i="61"/>
  <c r="B30" i="61"/>
  <c r="B4" i="41"/>
  <c r="C4" i="41"/>
  <c r="D4" i="41"/>
  <c r="E4" i="41"/>
  <c r="F4" i="41"/>
  <c r="G4" i="41"/>
  <c r="H4" i="41"/>
  <c r="I4" i="41"/>
  <c r="I10" i="41"/>
  <c r="I12" i="41"/>
  <c r="I13" i="41"/>
  <c r="K64" i="42" s="1"/>
  <c r="I14" i="41"/>
  <c r="K58" i="42" s="1"/>
  <c r="J93" i="2" s="1"/>
  <c r="A25" i="41"/>
  <c r="I25" i="41"/>
  <c r="A26" i="41"/>
  <c r="D4" i="1"/>
  <c r="E4" i="1"/>
  <c r="F4" i="1"/>
  <c r="D5" i="40" s="1"/>
  <c r="G4" i="1"/>
  <c r="H4" i="1"/>
  <c r="I4" i="1"/>
  <c r="J4" i="1"/>
  <c r="K4" i="1"/>
  <c r="D10" i="1"/>
  <c r="E10" i="1"/>
  <c r="F10" i="1"/>
  <c r="G10" i="1"/>
  <c r="H10" i="1"/>
  <c r="I10" i="1"/>
  <c r="J10" i="1"/>
  <c r="K10" i="1" s="1"/>
  <c r="AE10" i="1"/>
  <c r="AF10" i="1"/>
  <c r="AG10" i="1"/>
  <c r="AH10" i="1"/>
  <c r="AI10" i="1"/>
  <c r="AJ10" i="1"/>
  <c r="AK10" i="1"/>
  <c r="D11" i="1"/>
  <c r="E9" i="1" s="1"/>
  <c r="E11" i="1"/>
  <c r="F9" i="1" s="1"/>
  <c r="F11" i="1"/>
  <c r="G9" i="1" s="1"/>
  <c r="G11" i="1"/>
  <c r="H9" i="1" s="1"/>
  <c r="H11" i="1"/>
  <c r="I9" i="1" s="1"/>
  <c r="I11" i="1"/>
  <c r="J9" i="1" s="1"/>
  <c r="J11" i="1"/>
  <c r="K9" i="1" s="1"/>
  <c r="K11" i="1"/>
  <c r="AE11" i="1"/>
  <c r="AF11" i="1"/>
  <c r="AG11" i="1"/>
  <c r="AH11" i="1"/>
  <c r="AI11" i="1"/>
  <c r="AJ11" i="1"/>
  <c r="AK11" i="1"/>
  <c r="K27" i="1"/>
  <c r="A28" i="1"/>
  <c r="K29" i="1"/>
  <c r="A35" i="1"/>
  <c r="K49" i="1"/>
  <c r="L40" i="37"/>
  <c r="I45" i="37"/>
  <c r="I50" i="37"/>
  <c r="I52" i="37"/>
  <c r="I53" i="37"/>
  <c r="C65" i="37"/>
  <c r="A41" i="1" s="1"/>
  <c r="C66" i="37"/>
  <c r="C67" i="37"/>
  <c r="C68" i="37"/>
  <c r="A44" i="1" s="1"/>
  <c r="C69" i="37"/>
  <c r="A45" i="1" s="1"/>
  <c r="C71" i="37"/>
  <c r="I71" i="37"/>
  <c r="I72" i="37"/>
  <c r="I73" i="37"/>
  <c r="C74" i="37"/>
  <c r="I74" i="37"/>
  <c r="C75" i="37"/>
  <c r="I75" i="37"/>
  <c r="F100" i="37"/>
  <c r="F101" i="37"/>
  <c r="F102" i="37"/>
  <c r="F103" i="37"/>
  <c r="F104" i="37"/>
  <c r="F105" i="37"/>
  <c r="F106" i="37"/>
  <c r="F107" i="37"/>
  <c r="F125" i="37"/>
  <c r="F129" i="37"/>
  <c r="E36" i="46" s="1"/>
  <c r="B134" i="37"/>
  <c r="B11" i="55" s="1"/>
  <c r="F134" i="37"/>
  <c r="I28" i="37" s="1"/>
  <c r="B144" i="37"/>
  <c r="B18" i="55" s="1"/>
  <c r="F144" i="37"/>
  <c r="I29" i="37" s="1"/>
  <c r="B154" i="37"/>
  <c r="B22" i="55" s="1"/>
  <c r="F154" i="37"/>
  <c r="I30" i="37" s="1"/>
  <c r="B164" i="37"/>
  <c r="B26" i="55" s="1"/>
  <c r="F164" i="37"/>
  <c r="I31" i="37" s="1"/>
  <c r="B167" i="37"/>
  <c r="B30" i="55" s="1"/>
  <c r="F167" i="37"/>
  <c r="I32" i="37" s="1"/>
  <c r="B177" i="37"/>
  <c r="B34" i="55" s="1"/>
  <c r="F177" i="37"/>
  <c r="I33" i="37" s="1"/>
  <c r="B187" i="37"/>
  <c r="B39" i="55" s="1"/>
  <c r="F187" i="37"/>
  <c r="I34" i="37" s="1"/>
  <c r="B197" i="37"/>
  <c r="B43" i="55" s="1"/>
  <c r="F197" i="37"/>
  <c r="I35" i="37" s="1"/>
  <c r="B206" i="37"/>
  <c r="B47" i="55" s="1"/>
  <c r="F206" i="37"/>
  <c r="I36" i="37" s="1"/>
  <c r="B216" i="37"/>
  <c r="B51" i="55" s="1"/>
  <c r="F216" i="37"/>
  <c r="I37" i="37" s="1"/>
  <c r="F226" i="37"/>
  <c r="I38" i="37" s="1"/>
  <c r="B235" i="37"/>
  <c r="F235" i="37"/>
  <c r="I39" i="37" s="1"/>
  <c r="F249" i="37"/>
  <c r="I66" i="37" s="1"/>
  <c r="E270" i="37"/>
  <c r="F270" i="37" s="1"/>
  <c r="I65" i="37" s="1"/>
  <c r="F278" i="37"/>
  <c r="I67" i="37" s="1"/>
  <c r="F290" i="37"/>
  <c r="I68" i="37" s="1"/>
  <c r="F298" i="37"/>
  <c r="I69" i="37" s="1"/>
  <c r="G45" i="1" l="1"/>
  <c r="B24" i="33"/>
  <c r="B26" i="33" s="1"/>
  <c r="B45" i="33"/>
  <c r="C24" i="33"/>
  <c r="C45" i="33"/>
  <c r="D24" i="33"/>
  <c r="D45" i="33"/>
  <c r="E24" i="33"/>
  <c r="E45" i="33"/>
  <c r="F24" i="33"/>
  <c r="F45" i="33"/>
  <c r="G24" i="33"/>
  <c r="G45" i="33"/>
  <c r="J64" i="42"/>
  <c r="J29" i="1"/>
  <c r="B66" i="10"/>
  <c r="B67" i="10"/>
  <c r="B68" i="10"/>
  <c r="B69" i="10"/>
  <c r="B70" i="10"/>
  <c r="B71" i="10"/>
  <c r="B72" i="10"/>
  <c r="B73" i="10"/>
  <c r="B74" i="10"/>
  <c r="B75" i="10"/>
  <c r="B76" i="10"/>
  <c r="B77" i="10"/>
  <c r="B78" i="10"/>
  <c r="F78" i="10" s="1"/>
  <c r="F15" i="5" s="1"/>
  <c r="B79" i="10"/>
  <c r="F79" i="10" s="1"/>
  <c r="F16" i="5" s="1"/>
  <c r="B80" i="10"/>
  <c r="F80" i="10" s="1"/>
  <c r="F17" i="5" s="1"/>
  <c r="B81" i="10"/>
  <c r="F81" i="10" s="1"/>
  <c r="F18" i="5" s="1"/>
  <c r="B82" i="10"/>
  <c r="F82" i="10" s="1"/>
  <c r="F19" i="5" s="1"/>
  <c r="B83" i="10"/>
  <c r="F83" i="10" s="1"/>
  <c r="F20" i="5" s="1"/>
  <c r="B84" i="10"/>
  <c r="B85" i="10"/>
  <c r="B86" i="10"/>
  <c r="B87" i="10"/>
  <c r="B88" i="10"/>
  <c r="B89" i="10"/>
  <c r="B65" i="10"/>
  <c r="B25" i="10"/>
  <c r="B26" i="10"/>
  <c r="B27" i="10"/>
  <c r="B28" i="10"/>
  <c r="B29" i="10"/>
  <c r="B30" i="10"/>
  <c r="B31" i="10"/>
  <c r="B32" i="10"/>
  <c r="I22" i="40"/>
  <c r="I32" i="35" s="1"/>
  <c r="J21" i="2"/>
  <c r="I13" i="20"/>
  <c r="I38" i="20" s="1"/>
  <c r="D158" i="50"/>
  <c r="I20" i="40"/>
  <c r="I28" i="35" s="1"/>
  <c r="I5" i="41"/>
  <c r="C72" i="37"/>
  <c r="A42" i="1"/>
  <c r="C73" i="37"/>
  <c r="A43" i="1"/>
  <c r="C15" i="25"/>
  <c r="C16" i="25" s="1"/>
  <c r="L29" i="37"/>
  <c r="L30" i="37"/>
  <c r="D15" i="25"/>
  <c r="D16" i="25" s="1"/>
  <c r="L31" i="37"/>
  <c r="E15" i="25"/>
  <c r="E16" i="25" s="1"/>
  <c r="L32" i="37"/>
  <c r="F15" i="25"/>
  <c r="F16" i="25" s="1"/>
  <c r="G15" i="25"/>
  <c r="G16" i="25" s="1"/>
  <c r="L33" i="37"/>
  <c r="L35" i="37"/>
  <c r="I15" i="25"/>
  <c r="I16" i="25" s="1"/>
  <c r="J15" i="25"/>
  <c r="J16" i="25" s="1"/>
  <c r="L36" i="37"/>
  <c r="L37" i="37"/>
  <c r="K15" i="25"/>
  <c r="K16" i="25" s="1"/>
  <c r="L38" i="37"/>
  <c r="L15" i="25"/>
  <c r="L16" i="25" s="1"/>
  <c r="L18" i="25" s="1"/>
  <c r="L21" i="25" s="1"/>
  <c r="L23" i="25" s="1"/>
  <c r="L39" i="37"/>
  <c r="D34" i="1"/>
  <c r="E42" i="1"/>
  <c r="C11" i="61" s="1"/>
  <c r="D42" i="1"/>
  <c r="B11" i="61" s="1"/>
  <c r="E43" i="1"/>
  <c r="C12" i="61" s="1"/>
  <c r="D43" i="1"/>
  <c r="B12" i="61" s="1"/>
  <c r="F43" i="1"/>
  <c r="E44" i="1"/>
  <c r="C13" i="61" s="1"/>
  <c r="D44" i="1"/>
  <c r="B13" i="61" s="1"/>
  <c r="D45" i="1"/>
  <c r="B14" i="61" s="1"/>
  <c r="F45" i="1"/>
  <c r="D14" i="61" s="1"/>
  <c r="E45" i="1"/>
  <c r="C14" i="61" s="1"/>
  <c r="H15" i="25"/>
  <c r="H16" i="25" s="1"/>
  <c r="L34" i="37"/>
  <c r="D11" i="55"/>
  <c r="D60" i="55" s="1"/>
  <c r="C15" i="32"/>
  <c r="L28" i="37"/>
  <c r="I43" i="37" s="1"/>
  <c r="B19" i="40"/>
  <c r="B26" i="35" s="1"/>
  <c r="I44" i="37"/>
  <c r="I41" i="37"/>
  <c r="L41" i="37"/>
  <c r="I51" i="37"/>
  <c r="G31" i="48"/>
  <c r="C46" i="39"/>
  <c r="I5" i="40"/>
  <c r="J75" i="2"/>
  <c r="J99" i="2"/>
  <c r="I5" i="35"/>
  <c r="J107" i="2"/>
  <c r="J32" i="2" s="1"/>
  <c r="J9" i="2"/>
  <c r="J52" i="2"/>
  <c r="J83" i="2"/>
  <c r="J91" i="2"/>
  <c r="J60" i="2"/>
  <c r="J115" i="2"/>
  <c r="J44" i="2" s="1"/>
  <c r="I9" i="59"/>
  <c r="I12" i="58"/>
  <c r="I28" i="58" s="1"/>
  <c r="I41" i="58" s="1"/>
  <c r="H5" i="40"/>
  <c r="I9" i="2"/>
  <c r="I52" i="2"/>
  <c r="I75" i="2"/>
  <c r="I91" i="2"/>
  <c r="I107" i="2"/>
  <c r="I32" i="2" s="1"/>
  <c r="H5" i="35"/>
  <c r="I60" i="2"/>
  <c r="I83" i="2"/>
  <c r="I99" i="2"/>
  <c r="I115" i="2"/>
  <c r="I44" i="2" s="1"/>
  <c r="G5" i="40"/>
  <c r="G5" i="35"/>
  <c r="H115" i="2"/>
  <c r="H44" i="2" s="1"/>
  <c r="H52" i="2"/>
  <c r="H83" i="2"/>
  <c r="H99" i="2"/>
  <c r="H9" i="2"/>
  <c r="H60" i="2"/>
  <c r="H75" i="2"/>
  <c r="H91" i="2"/>
  <c r="H107" i="2"/>
  <c r="H32" i="2" s="1"/>
  <c r="G9" i="59"/>
  <c r="G12" i="58"/>
  <c r="G28" i="58" s="1"/>
  <c r="G41" i="58" s="1"/>
  <c r="F5" i="40"/>
  <c r="G107" i="2"/>
  <c r="G32" i="2" s="1"/>
  <c r="G83" i="2"/>
  <c r="F5" i="35"/>
  <c r="G60" i="2"/>
  <c r="G99" i="2"/>
  <c r="G9" i="2"/>
  <c r="G52" i="2"/>
  <c r="G75" i="2"/>
  <c r="G91" i="2"/>
  <c r="G115" i="2"/>
  <c r="G44" i="2" s="1"/>
  <c r="F9" i="59"/>
  <c r="F12" i="58"/>
  <c r="F28" i="58" s="1"/>
  <c r="F41" i="58" s="1"/>
  <c r="E5" i="40"/>
  <c r="F91" i="2"/>
  <c r="E5" i="35"/>
  <c r="F60" i="2"/>
  <c r="F75" i="2"/>
  <c r="F107" i="2"/>
  <c r="F32" i="2" s="1"/>
  <c r="F115" i="2"/>
  <c r="F44" i="2" s="1"/>
  <c r="F9" i="2"/>
  <c r="F52" i="2"/>
  <c r="F83" i="2"/>
  <c r="F99" i="2"/>
  <c r="D5" i="35"/>
  <c r="E75" i="2"/>
  <c r="E99" i="2"/>
  <c r="E115" i="2"/>
  <c r="E44" i="2" s="1"/>
  <c r="E9" i="2"/>
  <c r="E52" i="2"/>
  <c r="E60" i="2"/>
  <c r="E83" i="2"/>
  <c r="E91" i="2"/>
  <c r="E107" i="2"/>
  <c r="E32" i="2" s="1"/>
  <c r="C5" i="40"/>
  <c r="C5" i="35"/>
  <c r="B5" i="40"/>
  <c r="F5" i="33"/>
  <c r="C75" i="2"/>
  <c r="C99" i="2"/>
  <c r="B5" i="35"/>
  <c r="C9" i="2"/>
  <c r="C91" i="2"/>
  <c r="H45" i="1"/>
  <c r="E14" i="61"/>
  <c r="F44" i="1"/>
  <c r="D13" i="61" s="1"/>
  <c r="G44" i="1"/>
  <c r="G43" i="1"/>
  <c r="D12" i="61"/>
  <c r="G42" i="1"/>
  <c r="F42" i="1"/>
  <c r="D11" i="61" s="1"/>
  <c r="E46" i="43"/>
  <c r="E46" i="44"/>
  <c r="E47" i="43"/>
  <c r="E47" i="44"/>
  <c r="E48" i="43"/>
  <c r="E48" i="44"/>
  <c r="E49" i="43"/>
  <c r="E49" i="44"/>
  <c r="K96" i="42"/>
  <c r="J96" i="42"/>
  <c r="I96" i="42"/>
  <c r="H96" i="42"/>
  <c r="G96" i="42"/>
  <c r="F96" i="42"/>
  <c r="E96" i="42"/>
  <c r="D96" i="42"/>
  <c r="A96" i="42"/>
  <c r="D46" i="43"/>
  <c r="D46" i="44"/>
  <c r="D47" i="43"/>
  <c r="D47" i="44"/>
  <c r="K98" i="42"/>
  <c r="J98" i="42"/>
  <c r="I98" i="42"/>
  <c r="H98" i="42"/>
  <c r="G98" i="42"/>
  <c r="F98" i="42"/>
  <c r="E98" i="42"/>
  <c r="D98" i="42"/>
  <c r="A98" i="42"/>
  <c r="D48" i="43"/>
  <c r="D48" i="44"/>
  <c r="K100" i="42"/>
  <c r="J100" i="42"/>
  <c r="I100" i="42"/>
  <c r="H100" i="42"/>
  <c r="G100" i="42"/>
  <c r="F100" i="42"/>
  <c r="E100" i="42"/>
  <c r="D100" i="42"/>
  <c r="A100" i="42"/>
  <c r="K102" i="42"/>
  <c r="J102" i="42"/>
  <c r="I102" i="42"/>
  <c r="H102" i="42"/>
  <c r="G102" i="42"/>
  <c r="F102" i="42"/>
  <c r="E102" i="42"/>
  <c r="D102" i="42"/>
  <c r="A102" i="42"/>
  <c r="D49" i="43"/>
  <c r="D49" i="44"/>
  <c r="E40" i="1"/>
  <c r="E16" i="56"/>
  <c r="B24" i="10"/>
  <c r="B45" i="10"/>
  <c r="B46" i="10"/>
  <c r="B41" i="10"/>
  <c r="B40" i="10"/>
  <c r="B39" i="10"/>
  <c r="B38" i="10"/>
  <c r="B37" i="10"/>
  <c r="B36" i="10"/>
  <c r="B35" i="10"/>
  <c r="B34" i="10"/>
  <c r="B33" i="10"/>
  <c r="B43" i="10"/>
  <c r="B50" i="10"/>
  <c r="B62" i="10"/>
  <c r="B51" i="10"/>
  <c r="B52" i="10"/>
  <c r="B53" i="10"/>
  <c r="B54" i="10"/>
  <c r="B47" i="10"/>
  <c r="B48" i="10"/>
  <c r="B55" i="10"/>
  <c r="B49" i="10"/>
  <c r="B56" i="10"/>
  <c r="B57" i="10"/>
  <c r="B58" i="10"/>
  <c r="B59" i="10"/>
  <c r="B60" i="10"/>
  <c r="B100" i="10"/>
  <c r="B61" i="10"/>
  <c r="B63" i="10"/>
  <c r="B64" i="10"/>
  <c r="B90" i="10"/>
  <c r="B103" i="10"/>
  <c r="B102" i="10"/>
  <c r="B107" i="10"/>
  <c r="B106" i="10"/>
  <c r="B105" i="10"/>
  <c r="B101" i="10"/>
  <c r="B91" i="10"/>
  <c r="B92" i="10"/>
  <c r="B93" i="10"/>
  <c r="B94" i="10"/>
  <c r="B95" i="10"/>
  <c r="B96" i="10"/>
  <c r="B97" i="10"/>
  <c r="B98" i="10"/>
  <c r="B99" i="10"/>
  <c r="B104" i="10"/>
  <c r="B42" i="10"/>
  <c r="B44" i="10"/>
  <c r="C25" i="10"/>
  <c r="C26" i="10" s="1"/>
  <c r="C27" i="10" s="1"/>
  <c r="C28" i="10" s="1"/>
  <c r="C29" i="10" s="1"/>
  <c r="C30" i="10" s="1"/>
  <c r="C31" i="10" s="1"/>
  <c r="C32" i="10" s="1"/>
  <c r="E14" i="56"/>
  <c r="E10" i="10"/>
  <c r="E12" i="10" s="1"/>
  <c r="F41" i="1"/>
  <c r="D41" i="1"/>
  <c r="G41" i="1"/>
  <c r="E41" i="1"/>
  <c r="D132" i="50" l="1"/>
  <c r="H13" i="20"/>
  <c r="H38" i="20" s="1"/>
  <c r="C158" i="50"/>
  <c r="E158" i="50" s="1"/>
  <c r="K57" i="43"/>
  <c r="K58" i="44"/>
  <c r="K113" i="42"/>
  <c r="C17" i="25"/>
  <c r="C18" i="25" s="1"/>
  <c r="C21" i="25" s="1"/>
  <c r="C23" i="25" s="1"/>
  <c r="D17" i="25"/>
  <c r="D18" i="25" s="1"/>
  <c r="D21" i="25" s="1"/>
  <c r="D23" i="25" s="1"/>
  <c r="E17" i="25"/>
  <c r="E18" i="25" s="1"/>
  <c r="E21" i="25" s="1"/>
  <c r="E23" i="25" s="1"/>
  <c r="F17" i="25"/>
  <c r="F18" i="25" s="1"/>
  <c r="F21" i="25" s="1"/>
  <c r="F23" i="25" s="1"/>
  <c r="G17" i="25"/>
  <c r="G18" i="25" s="1"/>
  <c r="G21" i="25" s="1"/>
  <c r="G23" i="25" s="1"/>
  <c r="I17" i="25"/>
  <c r="I18" i="25" s="1"/>
  <c r="I21" i="25" s="1"/>
  <c r="I23" i="25" s="1"/>
  <c r="J17" i="25"/>
  <c r="J18" i="25" s="1"/>
  <c r="J21" i="25" s="1"/>
  <c r="J23" i="25" s="1"/>
  <c r="K17" i="25"/>
  <c r="K18" i="25" s="1"/>
  <c r="K21" i="25" s="1"/>
  <c r="K23" i="25" s="1"/>
  <c r="L25" i="25"/>
  <c r="L28" i="25" s="1"/>
  <c r="L30" i="25" s="1"/>
  <c r="L24" i="25"/>
  <c r="B20" i="61"/>
  <c r="E34" i="1"/>
  <c r="F49" i="43"/>
  <c r="F49" i="44"/>
  <c r="E84" i="10"/>
  <c r="G84" i="10"/>
  <c r="G12" i="41" s="1"/>
  <c r="C84" i="10"/>
  <c r="D84" i="10"/>
  <c r="F84" i="10"/>
  <c r="G9" i="5" s="1"/>
  <c r="F85" i="10"/>
  <c r="G10" i="5" s="1"/>
  <c r="G85" i="10"/>
  <c r="E85" i="10"/>
  <c r="C85" i="10"/>
  <c r="D85" i="10"/>
  <c r="G86" i="10"/>
  <c r="E86" i="10"/>
  <c r="D86" i="10"/>
  <c r="C86" i="10"/>
  <c r="F86" i="10"/>
  <c r="G11" i="5" s="1"/>
  <c r="E87" i="10"/>
  <c r="F87" i="10"/>
  <c r="G12" i="5" s="1"/>
  <c r="C87" i="10"/>
  <c r="G87" i="10"/>
  <c r="D87" i="10"/>
  <c r="E88" i="10"/>
  <c r="D88" i="10"/>
  <c r="G88" i="10"/>
  <c r="F88" i="10"/>
  <c r="G13" i="5" s="1"/>
  <c r="C88" i="10"/>
  <c r="D89" i="10"/>
  <c r="G89" i="10"/>
  <c r="F89" i="10"/>
  <c r="G14" i="5" s="1"/>
  <c r="C89" i="10"/>
  <c r="E89" i="10"/>
  <c r="H17" i="25"/>
  <c r="H18" i="25" s="1"/>
  <c r="H21" i="25" s="1"/>
  <c r="H23" i="25" s="1"/>
  <c r="I54" i="37"/>
  <c r="I55" i="37"/>
  <c r="B15" i="25"/>
  <c r="C20" i="32"/>
  <c r="C29" i="32"/>
  <c r="C14" i="56" s="1"/>
  <c r="E8" i="10"/>
  <c r="B10" i="40"/>
  <c r="B13" i="35" s="1"/>
  <c r="H28" i="38"/>
  <c r="C42" i="39"/>
  <c r="C31" i="32"/>
  <c r="E28" i="1"/>
  <c r="H29" i="38"/>
  <c r="D54" i="1"/>
  <c r="D55" i="1"/>
  <c r="E55" i="1" s="1"/>
  <c r="D28" i="1"/>
  <c r="B12" i="40"/>
  <c r="B17" i="35" s="1"/>
  <c r="H27" i="38"/>
  <c r="C44" i="39"/>
  <c r="I56" i="37"/>
  <c r="H30" i="38" s="1"/>
  <c r="D40" i="1"/>
  <c r="F14" i="61"/>
  <c r="I45" i="1"/>
  <c r="G49" i="43"/>
  <c r="G49" i="44"/>
  <c r="F48" i="43"/>
  <c r="F48" i="44"/>
  <c r="E13" i="61"/>
  <c r="H44" i="1"/>
  <c r="H43" i="1"/>
  <c r="E12" i="61"/>
  <c r="F47" i="43"/>
  <c r="F47" i="44"/>
  <c r="E11" i="61"/>
  <c r="H42" i="1"/>
  <c r="F46" i="43"/>
  <c r="F46" i="44"/>
  <c r="F40" i="1"/>
  <c r="F47" i="1" s="1"/>
  <c r="F18" i="1" s="1"/>
  <c r="E92" i="42"/>
  <c r="C33" i="10"/>
  <c r="C34" i="10" s="1"/>
  <c r="C35" i="10" s="1"/>
  <c r="C36" i="10" s="1"/>
  <c r="C37" i="10" s="1"/>
  <c r="C38" i="10" s="1"/>
  <c r="C39" i="10" s="1"/>
  <c r="C40" i="10" s="1"/>
  <c r="C41" i="10" s="1"/>
  <c r="C42" i="10" s="1"/>
  <c r="C43" i="10" s="1"/>
  <c r="C44" i="10" s="1"/>
  <c r="C45" i="10" s="1"/>
  <c r="C46" i="10" s="1"/>
  <c r="C47" i="10" s="1"/>
  <c r="C48" i="10" s="1"/>
  <c r="C49" i="10" s="1"/>
  <c r="C50" i="10" s="1"/>
  <c r="C51" i="10" s="1"/>
  <c r="C52" i="10" s="1"/>
  <c r="C53" i="10" s="1"/>
  <c r="C54" i="10" s="1"/>
  <c r="C55" i="10" s="1"/>
  <c r="C56" i="10" s="1"/>
  <c r="C57" i="10" s="1"/>
  <c r="C58" i="10" s="1"/>
  <c r="C59" i="10" s="1"/>
  <c r="C60" i="10" s="1"/>
  <c r="C61" i="10" s="1"/>
  <c r="C62" i="10" s="1"/>
  <c r="C63" i="10" s="1"/>
  <c r="C64" i="10" s="1"/>
  <c r="C65" i="10" s="1"/>
  <c r="C66" i="10" s="1"/>
  <c r="C67" i="10" s="1"/>
  <c r="C68" i="10" s="1"/>
  <c r="C69" i="10" s="1"/>
  <c r="C70" i="10" s="1"/>
  <c r="C71" i="10" s="1"/>
  <c r="C72" i="10" s="1"/>
  <c r="C73" i="10" s="1"/>
  <c r="C74" i="10" s="1"/>
  <c r="C75" i="10" s="1"/>
  <c r="C76" i="10" s="1"/>
  <c r="C77" i="10" s="1"/>
  <c r="C78" i="10" s="1"/>
  <c r="C79" i="10" s="1"/>
  <c r="C80" i="10" s="1"/>
  <c r="C81" i="10" s="1"/>
  <c r="C82" i="10" s="1"/>
  <c r="C83" i="10" s="1"/>
  <c r="G100" i="10"/>
  <c r="F100" i="10"/>
  <c r="H13" i="5" s="1"/>
  <c r="E100" i="10"/>
  <c r="D100" i="10"/>
  <c r="C100" i="10"/>
  <c r="G90" i="10"/>
  <c r="F90" i="10"/>
  <c r="G15" i="5" s="1"/>
  <c r="E90" i="10"/>
  <c r="D90" i="10"/>
  <c r="C90" i="10"/>
  <c r="G103" i="10"/>
  <c r="F103" i="10"/>
  <c r="H16" i="5" s="1"/>
  <c r="E103" i="10"/>
  <c r="D103" i="10"/>
  <c r="C103" i="10"/>
  <c r="G102" i="10"/>
  <c r="F102" i="10"/>
  <c r="H15" i="5" s="1"/>
  <c r="E102" i="10"/>
  <c r="D102" i="10"/>
  <c r="C102" i="10"/>
  <c r="G107" i="10"/>
  <c r="F107" i="10"/>
  <c r="H20" i="5" s="1"/>
  <c r="E107" i="10"/>
  <c r="D107" i="10"/>
  <c r="C107" i="10"/>
  <c r="G106" i="10"/>
  <c r="F106" i="10"/>
  <c r="H19" i="5" s="1"/>
  <c r="E106" i="10"/>
  <c r="D106" i="10"/>
  <c r="C106" i="10"/>
  <c r="G105" i="10"/>
  <c r="F105" i="10"/>
  <c r="H18" i="5" s="1"/>
  <c r="E105" i="10"/>
  <c r="D105" i="10"/>
  <c r="C105" i="10"/>
  <c r="G101" i="10"/>
  <c r="F101" i="10"/>
  <c r="H14" i="5" s="1"/>
  <c r="E101" i="10"/>
  <c r="D101" i="10"/>
  <c r="C101" i="10"/>
  <c r="G91" i="10"/>
  <c r="F91" i="10"/>
  <c r="G16" i="5" s="1"/>
  <c r="E91" i="10"/>
  <c r="D91" i="10"/>
  <c r="C91" i="10"/>
  <c r="G92" i="10"/>
  <c r="F92" i="10"/>
  <c r="G17" i="5" s="1"/>
  <c r="E92" i="10"/>
  <c r="D92" i="10"/>
  <c r="C92" i="10"/>
  <c r="G93" i="10"/>
  <c r="F93" i="10"/>
  <c r="G18" i="5" s="1"/>
  <c r="E93" i="10"/>
  <c r="D93" i="10"/>
  <c r="C93" i="10"/>
  <c r="G94" i="10"/>
  <c r="F94" i="10"/>
  <c r="G19" i="5" s="1"/>
  <c r="E94" i="10"/>
  <c r="D94" i="10"/>
  <c r="C94" i="10"/>
  <c r="G95" i="10"/>
  <c r="F95" i="10"/>
  <c r="G20" i="5" s="1"/>
  <c r="E95" i="10"/>
  <c r="D95" i="10"/>
  <c r="C95" i="10"/>
  <c r="G96" i="10"/>
  <c r="H12" i="41" s="1"/>
  <c r="H14" i="41" s="1"/>
  <c r="F96" i="10"/>
  <c r="H9" i="5" s="1"/>
  <c r="E96" i="10"/>
  <c r="D96" i="10"/>
  <c r="C96" i="10"/>
  <c r="G97" i="10"/>
  <c r="F97" i="10"/>
  <c r="H10" i="5" s="1"/>
  <c r="E97" i="10"/>
  <c r="D97" i="10"/>
  <c r="C97" i="10"/>
  <c r="G98" i="10"/>
  <c r="F98" i="10"/>
  <c r="H11" i="5" s="1"/>
  <c r="E98" i="10"/>
  <c r="D98" i="10"/>
  <c r="C98" i="10"/>
  <c r="G99" i="10"/>
  <c r="F99" i="10"/>
  <c r="H12" i="5" s="1"/>
  <c r="E99" i="10"/>
  <c r="D99" i="10"/>
  <c r="C99" i="10"/>
  <c r="G104" i="10"/>
  <c r="F104" i="10"/>
  <c r="H17" i="5" s="1"/>
  <c r="E104" i="10"/>
  <c r="D104" i="10"/>
  <c r="C104" i="10"/>
  <c r="D157" i="10"/>
  <c r="D10" i="61"/>
  <c r="B10" i="61"/>
  <c r="H41" i="1"/>
  <c r="E10" i="61"/>
  <c r="E47" i="1"/>
  <c r="E18" i="1" s="1"/>
  <c r="C10" i="61"/>
  <c r="C24" i="25" l="1"/>
  <c r="C25" i="25" s="1"/>
  <c r="C28" i="25" s="1"/>
  <c r="C30" i="25" s="1"/>
  <c r="C31" i="25" s="1"/>
  <c r="C32" i="25" s="1"/>
  <c r="C35" i="25" s="1"/>
  <c r="C37" i="25" s="1"/>
  <c r="C38" i="25" s="1"/>
  <c r="C39" i="25" s="1"/>
  <c r="C42" i="25" s="1"/>
  <c r="C44" i="25" s="1"/>
  <c r="C45" i="25" s="1"/>
  <c r="C46" i="25" s="1"/>
  <c r="C49" i="25" s="1"/>
  <c r="C51" i="25" s="1"/>
  <c r="D24" i="25"/>
  <c r="D25" i="25" s="1"/>
  <c r="D28" i="25" s="1"/>
  <c r="D30" i="25" s="1"/>
  <c r="D31" i="25" s="1"/>
  <c r="D32" i="25" s="1"/>
  <c r="D35" i="25" s="1"/>
  <c r="D37" i="25" s="1"/>
  <c r="D38" i="25" s="1"/>
  <c r="D39" i="25" s="1"/>
  <c r="D42" i="25" s="1"/>
  <c r="D44" i="25" s="1"/>
  <c r="D45" i="25" s="1"/>
  <c r="D46" i="25" s="1"/>
  <c r="D49" i="25" s="1"/>
  <c r="D51" i="25" s="1"/>
  <c r="E24" i="25"/>
  <c r="E25" i="25" s="1"/>
  <c r="E28" i="25" s="1"/>
  <c r="E30" i="25" s="1"/>
  <c r="E31" i="25" s="1"/>
  <c r="E32" i="25" s="1"/>
  <c r="E35" i="25" s="1"/>
  <c r="E37" i="25" s="1"/>
  <c r="E38" i="25" s="1"/>
  <c r="E39" i="25" s="1"/>
  <c r="E42" i="25" s="1"/>
  <c r="E44" i="25" s="1"/>
  <c r="E45" i="25" s="1"/>
  <c r="E46" i="25" s="1"/>
  <c r="E49" i="25" s="1"/>
  <c r="E51" i="25" s="1"/>
  <c r="F25" i="25"/>
  <c r="F28" i="25" s="1"/>
  <c r="F30" i="25" s="1"/>
  <c r="F24" i="25"/>
  <c r="G24" i="25"/>
  <c r="G25" i="25" s="1"/>
  <c r="G28" i="25" s="1"/>
  <c r="G30" i="25" s="1"/>
  <c r="I24" i="25"/>
  <c r="I25" i="25" s="1"/>
  <c r="I28" i="25" s="1"/>
  <c r="I30" i="25" s="1"/>
  <c r="J24" i="25"/>
  <c r="J25" i="25" s="1"/>
  <c r="J28" i="25" s="1"/>
  <c r="J30" i="25" s="1"/>
  <c r="K24" i="25"/>
  <c r="K25" i="25" s="1"/>
  <c r="K28" i="25" s="1"/>
  <c r="K30" i="25" s="1"/>
  <c r="K31" i="25" s="1"/>
  <c r="K32" i="25" s="1"/>
  <c r="K35" i="25" s="1"/>
  <c r="K37" i="25" s="1"/>
  <c r="K38" i="25" s="1"/>
  <c r="K39" i="25" s="1"/>
  <c r="K42" i="25" s="1"/>
  <c r="K44" i="25" s="1"/>
  <c r="K45" i="25" s="1"/>
  <c r="K46" i="25" s="1"/>
  <c r="K49" i="25" s="1"/>
  <c r="K51" i="25" s="1"/>
  <c r="L31" i="25"/>
  <c r="L32" i="25" s="1"/>
  <c r="L35" i="25" s="1"/>
  <c r="L37" i="25" s="1"/>
  <c r="D72" i="42"/>
  <c r="A72" i="42"/>
  <c r="F34" i="1"/>
  <c r="C20" i="61"/>
  <c r="E72" i="42" s="1"/>
  <c r="H24" i="25"/>
  <c r="H25" i="25" s="1"/>
  <c r="H28" i="25" s="1"/>
  <c r="H30" i="25" s="1"/>
  <c r="B16" i="25"/>
  <c r="M15" i="25"/>
  <c r="F10" i="57"/>
  <c r="G10" i="57" s="1"/>
  <c r="G10" i="34"/>
  <c r="G10" i="49"/>
  <c r="C34" i="32"/>
  <c r="C27" i="32" s="1"/>
  <c r="C12" i="56" s="1"/>
  <c r="G10" i="47"/>
  <c r="G10" i="46"/>
  <c r="F76" i="10"/>
  <c r="F13" i="5" s="1"/>
  <c r="F74" i="10"/>
  <c r="F11" i="5" s="1"/>
  <c r="F72" i="10"/>
  <c r="F9" i="5" s="1"/>
  <c r="F70" i="10"/>
  <c r="E19" i="5" s="1"/>
  <c r="F68" i="10"/>
  <c r="E17" i="5" s="1"/>
  <c r="F66" i="10"/>
  <c r="E15" i="5" s="1"/>
  <c r="F32" i="10"/>
  <c r="B17" i="5" s="1"/>
  <c r="F30" i="10"/>
  <c r="B15" i="5" s="1"/>
  <c r="F28" i="10"/>
  <c r="B13" i="5" s="1"/>
  <c r="F25" i="10"/>
  <c r="B10" i="5" s="1"/>
  <c r="F77" i="10"/>
  <c r="F14" i="5" s="1"/>
  <c r="F75" i="10"/>
  <c r="F12" i="5" s="1"/>
  <c r="F73" i="10"/>
  <c r="F10" i="5" s="1"/>
  <c r="F71" i="10"/>
  <c r="E20" i="5" s="1"/>
  <c r="F69" i="10"/>
  <c r="E18" i="5" s="1"/>
  <c r="F67" i="10"/>
  <c r="E16" i="5" s="1"/>
  <c r="F65" i="10"/>
  <c r="E14" i="5" s="1"/>
  <c r="F31" i="10"/>
  <c r="B16" i="5" s="1"/>
  <c r="F29" i="10"/>
  <c r="B14" i="5" s="1"/>
  <c r="F27" i="10"/>
  <c r="B12" i="5" s="1"/>
  <c r="F26" i="10"/>
  <c r="B11" i="5" s="1"/>
  <c r="G23" i="10"/>
  <c r="F24" i="10"/>
  <c r="B9" i="5" s="1"/>
  <c r="F45" i="10"/>
  <c r="C18" i="5" s="1"/>
  <c r="F46" i="10"/>
  <c r="C19" i="5" s="1"/>
  <c r="F41" i="10"/>
  <c r="C14" i="5" s="1"/>
  <c r="F40" i="10"/>
  <c r="C13" i="5" s="1"/>
  <c r="F39" i="10"/>
  <c r="C12" i="5" s="1"/>
  <c r="F38" i="10"/>
  <c r="C11" i="5" s="1"/>
  <c r="F37" i="10"/>
  <c r="C10" i="5" s="1"/>
  <c r="F36" i="10"/>
  <c r="C9" i="5" s="1"/>
  <c r="F35" i="10"/>
  <c r="B20" i="5" s="1"/>
  <c r="F34" i="10"/>
  <c r="B19" i="5" s="1"/>
  <c r="F33" i="10"/>
  <c r="B18" i="5" s="1"/>
  <c r="F61" i="10"/>
  <c r="E10" i="5" s="1"/>
  <c r="F42" i="10"/>
  <c r="C15" i="5" s="1"/>
  <c r="F43" i="10"/>
  <c r="C16" i="5" s="1"/>
  <c r="F50" i="10"/>
  <c r="D11" i="5" s="1"/>
  <c r="F62" i="10"/>
  <c r="E11" i="5" s="1"/>
  <c r="F51" i="10"/>
  <c r="D12" i="5" s="1"/>
  <c r="F52" i="10"/>
  <c r="D13" i="5" s="1"/>
  <c r="F53" i="10"/>
  <c r="D14" i="5" s="1"/>
  <c r="F54" i="10"/>
  <c r="D15" i="5" s="1"/>
  <c r="F47" i="10"/>
  <c r="C20" i="5" s="1"/>
  <c r="F48" i="10"/>
  <c r="D9" i="5" s="1"/>
  <c r="F55" i="10"/>
  <c r="D16" i="5" s="1"/>
  <c r="F49" i="10"/>
  <c r="D10" i="5" s="1"/>
  <c r="F56" i="10"/>
  <c r="D17" i="5" s="1"/>
  <c r="F57" i="10"/>
  <c r="D18" i="5" s="1"/>
  <c r="F58" i="10"/>
  <c r="D19" i="5" s="1"/>
  <c r="F59" i="10"/>
  <c r="D20" i="5" s="1"/>
  <c r="F60" i="10"/>
  <c r="E9" i="5" s="1"/>
  <c r="J12" i="10"/>
  <c r="F63" i="10"/>
  <c r="E12" i="5" s="1"/>
  <c r="F64" i="10"/>
  <c r="E13" i="5" s="1"/>
  <c r="F44" i="10"/>
  <c r="C17" i="5" s="1"/>
  <c r="C16" i="56"/>
  <c r="E50" i="1"/>
  <c r="E70" i="1"/>
  <c r="F28" i="1"/>
  <c r="G28" i="1" s="1"/>
  <c r="H28" i="1" s="1"/>
  <c r="I28" i="1" s="1"/>
  <c r="J28" i="1" s="1"/>
  <c r="K28" i="1" s="1"/>
  <c r="E14" i="1"/>
  <c r="E54" i="1"/>
  <c r="E15" i="1" s="1"/>
  <c r="D50" i="1"/>
  <c r="B6" i="41" s="1"/>
  <c r="D70" i="1"/>
  <c r="D92" i="42"/>
  <c r="D47" i="1"/>
  <c r="D18" i="1" s="1"/>
  <c r="H49" i="43"/>
  <c r="H49" i="44"/>
  <c r="J45" i="1"/>
  <c r="G14" i="61"/>
  <c r="G48" i="43"/>
  <c r="G48" i="44"/>
  <c r="F13" i="61"/>
  <c r="I44" i="1"/>
  <c r="F12" i="61"/>
  <c r="I43" i="1"/>
  <c r="G47" i="43"/>
  <c r="G47" i="44"/>
  <c r="G46" i="43"/>
  <c r="G46" i="44"/>
  <c r="F11" i="61"/>
  <c r="I42" i="1"/>
  <c r="G40" i="1"/>
  <c r="F92" i="42"/>
  <c r="I49" i="1"/>
  <c r="G5" i="41" s="1"/>
  <c r="G21" i="5"/>
  <c r="J49" i="1"/>
  <c r="H20" i="40" s="1"/>
  <c r="H28" i="35" s="1"/>
  <c r="J58" i="42"/>
  <c r="J27" i="1"/>
  <c r="H5" i="41"/>
  <c r="G20" i="40"/>
  <c r="G28" i="35" s="1"/>
  <c r="H21" i="5"/>
  <c r="D158" i="10"/>
  <c r="E157" i="10"/>
  <c r="F45" i="43"/>
  <c r="F51" i="43" s="1"/>
  <c r="F28" i="43" s="1"/>
  <c r="F45" i="44"/>
  <c r="F52" i="44" s="1"/>
  <c r="F28" i="44" s="1"/>
  <c r="D45" i="43"/>
  <c r="D51" i="43" s="1"/>
  <c r="D28" i="43" s="1"/>
  <c r="D45" i="44"/>
  <c r="D52" i="44" s="1"/>
  <c r="D28" i="44" s="1"/>
  <c r="G94" i="42"/>
  <c r="F94" i="42"/>
  <c r="F106" i="42" s="1"/>
  <c r="F31" i="42" s="1"/>
  <c r="E94" i="42"/>
  <c r="E106" i="42" s="1"/>
  <c r="E31" i="42" s="1"/>
  <c r="D94" i="42"/>
  <c r="A94" i="42"/>
  <c r="F10" i="61"/>
  <c r="H94" i="42" s="1"/>
  <c r="I41" i="1"/>
  <c r="G45" i="43"/>
  <c r="G45" i="44"/>
  <c r="E45" i="43"/>
  <c r="E51" i="43" s="1"/>
  <c r="E28" i="43" s="1"/>
  <c r="E45" i="44"/>
  <c r="E52" i="44" s="1"/>
  <c r="E28" i="44" s="1"/>
  <c r="F31" i="25" l="1"/>
  <c r="F32" i="25" s="1"/>
  <c r="F35" i="25" s="1"/>
  <c r="F37" i="25" s="1"/>
  <c r="F38" i="25" s="1"/>
  <c r="F39" i="25" s="1"/>
  <c r="F42" i="25" s="1"/>
  <c r="F44" i="25" s="1"/>
  <c r="F45" i="25" s="1"/>
  <c r="F46" i="25" s="1"/>
  <c r="F49" i="25" s="1"/>
  <c r="F51" i="25" s="1"/>
  <c r="F52" i="25" s="1"/>
  <c r="F53" i="25" s="1"/>
  <c r="F56" i="25" s="1"/>
  <c r="F58" i="25" s="1"/>
  <c r="G31" i="25"/>
  <c r="G32" i="25"/>
  <c r="G35" i="25" s="1"/>
  <c r="G37" i="25" s="1"/>
  <c r="G38" i="25" s="1"/>
  <c r="G39" i="25" s="1"/>
  <c r="G42" i="25" s="1"/>
  <c r="G44" i="25" s="1"/>
  <c r="G45" i="25" s="1"/>
  <c r="G46" i="25" s="1"/>
  <c r="G49" i="25" s="1"/>
  <c r="G51" i="25" s="1"/>
  <c r="G52" i="25" s="1"/>
  <c r="G53" i="25" s="1"/>
  <c r="G56" i="25" s="1"/>
  <c r="G58" i="25" s="1"/>
  <c r="I31" i="25"/>
  <c r="I32" i="25"/>
  <c r="I35" i="25" s="1"/>
  <c r="I37" i="25" s="1"/>
  <c r="I38" i="25" s="1"/>
  <c r="I39" i="25" s="1"/>
  <c r="I42" i="25" s="1"/>
  <c r="I44" i="25" s="1"/>
  <c r="I45" i="25" s="1"/>
  <c r="I46" i="25" s="1"/>
  <c r="I49" i="25" s="1"/>
  <c r="I51" i="25" s="1"/>
  <c r="I52" i="25" s="1"/>
  <c r="I53" i="25" s="1"/>
  <c r="I56" i="25" s="1"/>
  <c r="I58" i="25" s="1"/>
  <c r="J31" i="25"/>
  <c r="J32" i="25"/>
  <c r="J35" i="25" s="1"/>
  <c r="J37" i="25" s="1"/>
  <c r="J38" i="25" s="1"/>
  <c r="J39" i="25" s="1"/>
  <c r="J42" i="25" s="1"/>
  <c r="J44" i="25" s="1"/>
  <c r="J45" i="25" s="1"/>
  <c r="J46" i="25" s="1"/>
  <c r="J49" i="25" s="1"/>
  <c r="J51" i="25" s="1"/>
  <c r="J52" i="25" s="1"/>
  <c r="J53" i="25" s="1"/>
  <c r="J56" i="25" s="1"/>
  <c r="J58" i="25" s="1"/>
  <c r="L38" i="25"/>
  <c r="L39" i="25" s="1"/>
  <c r="L42" i="25" s="1"/>
  <c r="L44" i="25" s="1"/>
  <c r="D20" i="61"/>
  <c r="F72" i="42" s="1"/>
  <c r="G34" i="1"/>
  <c r="F22" i="5"/>
  <c r="F13" i="41" s="1"/>
  <c r="G10" i="41"/>
  <c r="H31" i="25"/>
  <c r="H32" i="25" s="1"/>
  <c r="H35" i="25" s="1"/>
  <c r="H37" i="25" s="1"/>
  <c r="H38" i="25" s="1"/>
  <c r="H39" i="25" s="1"/>
  <c r="H42" i="25" s="1"/>
  <c r="H44" i="25" s="1"/>
  <c r="H45" i="25" s="1"/>
  <c r="H46" i="25" s="1"/>
  <c r="H49" i="25" s="1"/>
  <c r="H51" i="25" s="1"/>
  <c r="D106" i="42"/>
  <c r="D31" i="42" s="1"/>
  <c r="B21" i="5"/>
  <c r="B10" i="41" s="1"/>
  <c r="C21" i="5"/>
  <c r="D21" i="5"/>
  <c r="E21" i="5"/>
  <c r="B17" i="25"/>
  <c r="M16" i="25"/>
  <c r="B20" i="41" s="1"/>
  <c r="G24" i="10"/>
  <c r="E24" i="10"/>
  <c r="D24" i="10" s="1"/>
  <c r="F21" i="5"/>
  <c r="C19" i="56"/>
  <c r="D12" i="56" s="1"/>
  <c r="F12" i="56" s="1"/>
  <c r="C21" i="40"/>
  <c r="C30" i="35" s="1"/>
  <c r="F50" i="1"/>
  <c r="C6" i="41"/>
  <c r="F12" i="1"/>
  <c r="F14" i="1"/>
  <c r="D59" i="44"/>
  <c r="D58" i="43"/>
  <c r="B21" i="40"/>
  <c r="B30" i="35" s="1"/>
  <c r="D115" i="42"/>
  <c r="H14" i="61"/>
  <c r="K45" i="1"/>
  <c r="I14" i="61" s="1"/>
  <c r="I49" i="43"/>
  <c r="I49" i="44"/>
  <c r="H48" i="43"/>
  <c r="H48" i="44"/>
  <c r="J44" i="1"/>
  <c r="G13" i="61"/>
  <c r="H47" i="43"/>
  <c r="H47" i="44"/>
  <c r="J43" i="1"/>
  <c r="G12" i="61"/>
  <c r="H46" i="43"/>
  <c r="H46" i="44"/>
  <c r="G11" i="61"/>
  <c r="J42" i="1"/>
  <c r="G51" i="43"/>
  <c r="G28" i="43" s="1"/>
  <c r="G52" i="44"/>
  <c r="G28" i="44" s="1"/>
  <c r="C52" i="25"/>
  <c r="C53" i="25" s="1"/>
  <c r="C56" i="25" s="1"/>
  <c r="C58" i="25" s="1"/>
  <c r="D52" i="25"/>
  <c r="D53" i="25" s="1"/>
  <c r="D56" i="25" s="1"/>
  <c r="D58" i="25" s="1"/>
  <c r="E52" i="25"/>
  <c r="E53" i="25" s="1"/>
  <c r="E56" i="25" s="1"/>
  <c r="E58" i="25" s="1"/>
  <c r="K52" i="25"/>
  <c r="K53" i="25" s="1"/>
  <c r="K56" i="25" s="1"/>
  <c r="K58" i="25" s="1"/>
  <c r="G47" i="1"/>
  <c r="G18" i="1" s="1"/>
  <c r="G92" i="42"/>
  <c r="G106" i="42" s="1"/>
  <c r="G31" i="42" s="1"/>
  <c r="H40" i="1"/>
  <c r="I93" i="2"/>
  <c r="I21" i="59"/>
  <c r="J113" i="42"/>
  <c r="J58" i="44"/>
  <c r="J57" i="43"/>
  <c r="I58" i="44"/>
  <c r="I57" i="43"/>
  <c r="I113" i="42"/>
  <c r="G22" i="5"/>
  <c r="G13" i="41" s="1"/>
  <c r="H10" i="41"/>
  <c r="D159" i="10"/>
  <c r="E158" i="10"/>
  <c r="H45" i="43"/>
  <c r="H45" i="44"/>
  <c r="G10" i="61"/>
  <c r="I94" i="42" s="1"/>
  <c r="J41" i="1"/>
  <c r="L45" i="25" l="1"/>
  <c r="L46" i="25" s="1"/>
  <c r="L49" i="25" s="1"/>
  <c r="L51" i="25" s="1"/>
  <c r="H34" i="1"/>
  <c r="E20" i="61"/>
  <c r="G72" i="42" s="1"/>
  <c r="H29" i="1"/>
  <c r="H64" i="42"/>
  <c r="H21" i="2"/>
  <c r="G22" i="40"/>
  <c r="G32" i="35" s="1"/>
  <c r="G25" i="41"/>
  <c r="H52" i="25"/>
  <c r="H53" i="25"/>
  <c r="H56" i="25" s="1"/>
  <c r="H58" i="25" s="1"/>
  <c r="H59" i="25" s="1"/>
  <c r="H60" i="25" s="1"/>
  <c r="H63" i="25" s="1"/>
  <c r="H65" i="25" s="1"/>
  <c r="B22" i="40"/>
  <c r="B32" i="35" s="1"/>
  <c r="B25" i="41"/>
  <c r="C21" i="2"/>
  <c r="B22" i="5"/>
  <c r="B13" i="41" s="1"/>
  <c r="C10" i="41"/>
  <c r="D10" i="41"/>
  <c r="D22" i="40" s="1"/>
  <c r="D32" i="35" s="1"/>
  <c r="C22" i="5"/>
  <c r="C13" i="41" s="1"/>
  <c r="E10" i="41"/>
  <c r="D22" i="5"/>
  <c r="D13" i="41" s="1"/>
  <c r="E25" i="10"/>
  <c r="D25" i="10" s="1"/>
  <c r="G25" i="10"/>
  <c r="B12" i="41"/>
  <c r="E22" i="5"/>
  <c r="E13" i="41" s="1"/>
  <c r="F10" i="41"/>
  <c r="M17" i="25"/>
  <c r="B18" i="25"/>
  <c r="D16" i="56"/>
  <c r="F16" i="56" s="1"/>
  <c r="D14" i="56"/>
  <c r="F14" i="56" s="1"/>
  <c r="F19" i="56" s="1"/>
  <c r="E22" i="56" s="1"/>
  <c r="G50" i="1"/>
  <c r="D21" i="40"/>
  <c r="D30" i="35" s="1"/>
  <c r="D6" i="41"/>
  <c r="E59" i="44"/>
  <c r="E58" i="43"/>
  <c r="E115" i="42"/>
  <c r="G12" i="1"/>
  <c r="G14" i="1"/>
  <c r="J49" i="43"/>
  <c r="J49" i="44"/>
  <c r="K49" i="43"/>
  <c r="K49" i="44"/>
  <c r="H13" i="61"/>
  <c r="K44" i="1"/>
  <c r="I13" i="61" s="1"/>
  <c r="I48" i="43"/>
  <c r="I48" i="44"/>
  <c r="K43" i="1"/>
  <c r="I12" i="61" s="1"/>
  <c r="H12" i="61"/>
  <c r="I47" i="43"/>
  <c r="I47" i="44"/>
  <c r="I46" i="43"/>
  <c r="I46" i="44"/>
  <c r="K42" i="1"/>
  <c r="I11" i="61" s="1"/>
  <c r="H11" i="61"/>
  <c r="H51" i="43"/>
  <c r="H28" i="43" s="1"/>
  <c r="H52" i="44"/>
  <c r="H28" i="44" s="1"/>
  <c r="C59" i="25"/>
  <c r="C60" i="25" s="1"/>
  <c r="C63" i="25" s="1"/>
  <c r="C65" i="25" s="1"/>
  <c r="D59" i="25"/>
  <c r="D60" i="25" s="1"/>
  <c r="D63" i="25" s="1"/>
  <c r="D65" i="25" s="1"/>
  <c r="E59" i="25"/>
  <c r="E60" i="25"/>
  <c r="E63" i="25" s="1"/>
  <c r="E65" i="25" s="1"/>
  <c r="F59" i="25"/>
  <c r="F60" i="25" s="1"/>
  <c r="F63" i="25" s="1"/>
  <c r="F65" i="25" s="1"/>
  <c r="G59" i="25"/>
  <c r="G60" i="25" s="1"/>
  <c r="G63" i="25" s="1"/>
  <c r="G65" i="25" s="1"/>
  <c r="I59" i="25"/>
  <c r="I60" i="25" s="1"/>
  <c r="I63" i="25" s="1"/>
  <c r="I65" i="25" s="1"/>
  <c r="J59" i="25"/>
  <c r="J60" i="25"/>
  <c r="J63" i="25" s="1"/>
  <c r="J65" i="25" s="1"/>
  <c r="K59" i="25"/>
  <c r="K60" i="25" s="1"/>
  <c r="K63" i="25" s="1"/>
  <c r="K65" i="25" s="1"/>
  <c r="H47" i="1"/>
  <c r="H18" i="1" s="1"/>
  <c r="I40" i="1"/>
  <c r="H92" i="42"/>
  <c r="H106" i="42" s="1"/>
  <c r="H31" i="42" s="1"/>
  <c r="G14" i="41"/>
  <c r="I29" i="1"/>
  <c r="I64" i="42"/>
  <c r="I21" i="2"/>
  <c r="H22" i="40"/>
  <c r="H32" i="35" s="1"/>
  <c r="H25" i="41"/>
  <c r="D160" i="10"/>
  <c r="E159" i="10"/>
  <c r="I45" i="43"/>
  <c r="I45" i="44"/>
  <c r="K41" i="1"/>
  <c r="H10" i="61"/>
  <c r="J94" i="42" s="1"/>
  <c r="L52" i="25" l="1"/>
  <c r="L53" i="25" s="1"/>
  <c r="L56" i="25" s="1"/>
  <c r="L58" i="25" s="1"/>
  <c r="I34" i="1"/>
  <c r="F20" i="61"/>
  <c r="H72" i="42" s="1"/>
  <c r="B14" i="41"/>
  <c r="C109" i="50"/>
  <c r="D86" i="50"/>
  <c r="F13" i="20"/>
  <c r="F38" i="20" s="1"/>
  <c r="D64" i="42"/>
  <c r="D29" i="1"/>
  <c r="C22" i="40"/>
  <c r="C32" i="35" s="1"/>
  <c r="D21" i="2"/>
  <c r="C25" i="41"/>
  <c r="E25" i="41"/>
  <c r="F21" i="2"/>
  <c r="E22" i="40"/>
  <c r="E32" i="35" s="1"/>
  <c r="F29" i="1"/>
  <c r="F64" i="42"/>
  <c r="C63" i="50" s="1"/>
  <c r="E21" i="2"/>
  <c r="D25" i="41"/>
  <c r="E29" i="1"/>
  <c r="E64" i="42"/>
  <c r="E26" i="10"/>
  <c r="D26" i="10" s="1"/>
  <c r="G26" i="10"/>
  <c r="G29" i="1"/>
  <c r="G64" i="42"/>
  <c r="F25" i="41"/>
  <c r="G21" i="2"/>
  <c r="F22" i="40"/>
  <c r="F32" i="35" s="1"/>
  <c r="D20" i="1"/>
  <c r="D35" i="42"/>
  <c r="B21" i="41"/>
  <c r="D32" i="44"/>
  <c r="D32" i="43"/>
  <c r="M18" i="25"/>
  <c r="D33" i="1" s="1"/>
  <c r="B21" i="25"/>
  <c r="H50" i="1"/>
  <c r="E21" i="40"/>
  <c r="E30" i="35" s="1"/>
  <c r="E6" i="41"/>
  <c r="F59" i="44"/>
  <c r="F58" i="43"/>
  <c r="F115" i="42"/>
  <c r="H12" i="1"/>
  <c r="E9" i="61"/>
  <c r="H14" i="1"/>
  <c r="J48" i="43"/>
  <c r="J48" i="44"/>
  <c r="K48" i="43"/>
  <c r="K48" i="44"/>
  <c r="K47" i="43"/>
  <c r="K47" i="44"/>
  <c r="J47" i="43"/>
  <c r="J47" i="44"/>
  <c r="K46" i="43"/>
  <c r="K46" i="44"/>
  <c r="J46" i="43"/>
  <c r="J46" i="44"/>
  <c r="I51" i="43"/>
  <c r="I28" i="43" s="1"/>
  <c r="I52" i="44"/>
  <c r="I28" i="44" s="1"/>
  <c r="C66" i="25"/>
  <c r="C67" i="25" s="1"/>
  <c r="D66" i="25"/>
  <c r="D67" i="25" s="1"/>
  <c r="E66" i="25"/>
  <c r="E67" i="25" s="1"/>
  <c r="F66" i="25"/>
  <c r="F67" i="25" s="1"/>
  <c r="G66" i="25"/>
  <c r="G67" i="25" s="1"/>
  <c r="H66" i="25"/>
  <c r="H67" i="25" s="1"/>
  <c r="I66" i="25"/>
  <c r="I67" i="25" s="1"/>
  <c r="J66" i="25"/>
  <c r="J67" i="25" s="1"/>
  <c r="K66" i="25"/>
  <c r="K67" i="25" s="1"/>
  <c r="I47" i="1"/>
  <c r="I18" i="1" s="1"/>
  <c r="I92" i="42"/>
  <c r="I106" i="42" s="1"/>
  <c r="I31" i="42" s="1"/>
  <c r="J40" i="1"/>
  <c r="D41" i="50"/>
  <c r="D13" i="20"/>
  <c r="D38" i="20" s="1"/>
  <c r="I58" i="42"/>
  <c r="I27" i="1"/>
  <c r="C132" i="50"/>
  <c r="E132" i="50" s="1"/>
  <c r="D109" i="50"/>
  <c r="E109" i="50" s="1"/>
  <c r="G13" i="20"/>
  <c r="G38" i="20" s="1"/>
  <c r="D27" i="1"/>
  <c r="D58" i="42"/>
  <c r="C19" i="50"/>
  <c r="D161" i="10"/>
  <c r="E160" i="10"/>
  <c r="I10" i="61"/>
  <c r="K94" i="42" s="1"/>
  <c r="J45" i="43"/>
  <c r="J45" i="44"/>
  <c r="L59" i="25" l="1"/>
  <c r="L60" i="25" s="1"/>
  <c r="L63" i="25" s="1"/>
  <c r="L65" i="25" s="1"/>
  <c r="G20" i="61"/>
  <c r="I72" i="42" s="1"/>
  <c r="J34" i="1"/>
  <c r="C13" i="20"/>
  <c r="C38" i="20" s="1"/>
  <c r="C41" i="50"/>
  <c r="E41" i="50" s="1"/>
  <c r="D19" i="50"/>
  <c r="E18" i="50" s="1"/>
  <c r="E21" i="50" s="1"/>
  <c r="E27" i="10"/>
  <c r="D27" i="10" s="1"/>
  <c r="G27" i="10"/>
  <c r="E13" i="20"/>
  <c r="E38" i="20" s="1"/>
  <c r="D63" i="50"/>
  <c r="E63" i="50" s="1"/>
  <c r="C86" i="50"/>
  <c r="E86" i="50" s="1"/>
  <c r="B22" i="41"/>
  <c r="D70" i="42" s="1"/>
  <c r="C93" i="2" s="1"/>
  <c r="B9" i="40"/>
  <c r="B11" i="35" s="1"/>
  <c r="B23" i="25"/>
  <c r="M21" i="25"/>
  <c r="I50" i="1"/>
  <c r="F21" i="40"/>
  <c r="F30" i="35" s="1"/>
  <c r="F6" i="41"/>
  <c r="G59" i="44"/>
  <c r="G58" i="43"/>
  <c r="G115" i="42"/>
  <c r="G22" i="43"/>
  <c r="H20" i="43" s="1"/>
  <c r="G22" i="44"/>
  <c r="H20" i="44" s="1"/>
  <c r="G35" i="1"/>
  <c r="G76" i="42"/>
  <c r="G25" i="42"/>
  <c r="H21" i="42" s="1"/>
  <c r="F9" i="61"/>
  <c r="I14" i="1"/>
  <c r="I12" i="1"/>
  <c r="J51" i="43"/>
  <c r="J28" i="43" s="1"/>
  <c r="J52" i="44"/>
  <c r="J28" i="44" s="1"/>
  <c r="J47" i="1"/>
  <c r="J18" i="1" s="1"/>
  <c r="J92" i="42"/>
  <c r="J106" i="42" s="1"/>
  <c r="J31" i="42" s="1"/>
  <c r="K40" i="1"/>
  <c r="H93" i="2"/>
  <c r="H21" i="59"/>
  <c r="D162" i="10"/>
  <c r="E161" i="10"/>
  <c r="K45" i="43"/>
  <c r="K51" i="43" s="1"/>
  <c r="K28" i="43" s="1"/>
  <c r="K45" i="44"/>
  <c r="K52" i="44" s="1"/>
  <c r="K28" i="44" s="1"/>
  <c r="L66" i="25" l="1"/>
  <c r="L67" i="25" s="1"/>
  <c r="K34" i="1"/>
  <c r="I20" i="61" s="1"/>
  <c r="K72" i="42" s="1"/>
  <c r="H20" i="61"/>
  <c r="J72" i="42" s="1"/>
  <c r="E28" i="10"/>
  <c r="D28" i="10" s="1"/>
  <c r="G28" i="10"/>
  <c r="B24" i="25"/>
  <c r="M23" i="25"/>
  <c r="C20" i="41" s="1"/>
  <c r="J50" i="1"/>
  <c r="G21" i="40"/>
  <c r="G30" i="35" s="1"/>
  <c r="G6" i="41"/>
  <c r="I51" i="1"/>
  <c r="I22" i="1" s="1"/>
  <c r="H59" i="44"/>
  <c r="H58" i="43"/>
  <c r="H115" i="42"/>
  <c r="D54" i="50"/>
  <c r="C76" i="50"/>
  <c r="H76" i="42"/>
  <c r="H25" i="42"/>
  <c r="I21" i="42" s="1"/>
  <c r="H35" i="1"/>
  <c r="H22" i="43"/>
  <c r="I20" i="43" s="1"/>
  <c r="H22" i="44"/>
  <c r="I20" i="44" s="1"/>
  <c r="J12" i="1"/>
  <c r="J14" i="1"/>
  <c r="G9" i="61"/>
  <c r="K47" i="1"/>
  <c r="K18" i="1" s="1"/>
  <c r="K92" i="42"/>
  <c r="K106" i="42" s="1"/>
  <c r="K31" i="42" s="1"/>
  <c r="D163" i="10"/>
  <c r="E162" i="10"/>
  <c r="E29" i="10" l="1"/>
  <c r="D29" i="10" s="1"/>
  <c r="G29" i="10"/>
  <c r="M24" i="25"/>
  <c r="B25" i="25"/>
  <c r="K50" i="1"/>
  <c r="J51" i="1"/>
  <c r="J22" i="1" s="1"/>
  <c r="H6" i="41"/>
  <c r="H21" i="40"/>
  <c r="H30" i="35" s="1"/>
  <c r="I59" i="44"/>
  <c r="I61" i="44" s="1"/>
  <c r="I35" i="44" s="1"/>
  <c r="G7" i="41"/>
  <c r="I58" i="43"/>
  <c r="I60" i="43" s="1"/>
  <c r="I35" i="43" s="1"/>
  <c r="I115" i="42"/>
  <c r="I119" i="42" s="1"/>
  <c r="I39" i="42" s="1"/>
  <c r="C99" i="50"/>
  <c r="D76" i="50"/>
  <c r="E76" i="50" s="1"/>
  <c r="F24" i="40"/>
  <c r="F36" i="35" s="1"/>
  <c r="H9" i="61"/>
  <c r="K14" i="1"/>
  <c r="I9" i="61" s="1"/>
  <c r="K12" i="1"/>
  <c r="I35" i="1"/>
  <c r="I22" i="43"/>
  <c r="J20" i="43" s="1"/>
  <c r="I22" i="44"/>
  <c r="J20" i="44" s="1"/>
  <c r="I76" i="42"/>
  <c r="I25" i="42"/>
  <c r="J21" i="42" s="1"/>
  <c r="D164" i="10"/>
  <c r="E163" i="10"/>
  <c r="E30" i="10" l="1"/>
  <c r="D30" i="10" s="1"/>
  <c r="G30" i="10"/>
  <c r="C21" i="41"/>
  <c r="E20" i="1"/>
  <c r="E32" i="44"/>
  <c r="E32" i="43"/>
  <c r="E35" i="42"/>
  <c r="M25" i="25"/>
  <c r="E33" i="1" s="1"/>
  <c r="B28" i="25"/>
  <c r="K51" i="1"/>
  <c r="K22" i="1" s="1"/>
  <c r="I21" i="40"/>
  <c r="I30" i="35" s="1"/>
  <c r="I6" i="41"/>
  <c r="J59" i="44"/>
  <c r="J61" i="44" s="1"/>
  <c r="J35" i="44" s="1"/>
  <c r="J58" i="43"/>
  <c r="J60" i="43" s="1"/>
  <c r="J35" i="43" s="1"/>
  <c r="J115" i="42"/>
  <c r="J119" i="42" s="1"/>
  <c r="J39" i="42" s="1"/>
  <c r="H7" i="41"/>
  <c r="H120" i="2"/>
  <c r="G26" i="41"/>
  <c r="G27" i="41" s="1"/>
  <c r="H20" i="2"/>
  <c r="H23" i="2" s="1"/>
  <c r="J76" i="42"/>
  <c r="J25" i="42"/>
  <c r="K21" i="42" s="1"/>
  <c r="J35" i="1"/>
  <c r="J22" i="43"/>
  <c r="K20" i="43" s="1"/>
  <c r="J22" i="44"/>
  <c r="K20" i="44" s="1"/>
  <c r="K35" i="1"/>
  <c r="K22" i="43"/>
  <c r="K22" i="44"/>
  <c r="K76" i="42"/>
  <c r="K25" i="42"/>
  <c r="C122" i="50"/>
  <c r="D99" i="50"/>
  <c r="E99" i="50" s="1"/>
  <c r="G24" i="40"/>
  <c r="G36" i="35" s="1"/>
  <c r="D165" i="10"/>
  <c r="E164" i="10"/>
  <c r="G31" i="10" l="1"/>
  <c r="E31" i="10"/>
  <c r="D31" i="10" s="1"/>
  <c r="C22" i="41"/>
  <c r="E70" i="42" s="1"/>
  <c r="C9" i="40"/>
  <c r="C11" i="35" s="1"/>
  <c r="M28" i="25"/>
  <c r="B30" i="25"/>
  <c r="K115" i="42"/>
  <c r="K119" i="42" s="1"/>
  <c r="K39" i="42" s="1"/>
  <c r="K59" i="44"/>
  <c r="K61" i="44" s="1"/>
  <c r="K35" i="44" s="1"/>
  <c r="I7" i="41"/>
  <c r="K58" i="43"/>
  <c r="K60" i="43" s="1"/>
  <c r="K35" i="43" s="1"/>
  <c r="I20" i="2"/>
  <c r="I23" i="2" s="1"/>
  <c r="H26" i="41"/>
  <c r="H27" i="41" s="1"/>
  <c r="I120" i="2"/>
  <c r="C148" i="50"/>
  <c r="D122" i="50"/>
  <c r="E122" i="50" s="1"/>
  <c r="H24" i="40"/>
  <c r="H36" i="35" s="1"/>
  <c r="D148" i="50"/>
  <c r="E148" i="50" s="1"/>
  <c r="I24" i="40"/>
  <c r="I36" i="35" s="1"/>
  <c r="D166" i="10"/>
  <c r="E165" i="10"/>
  <c r="E32" i="10" l="1"/>
  <c r="D32" i="10" s="1"/>
  <c r="G32" i="10"/>
  <c r="B31" i="25"/>
  <c r="M30" i="25"/>
  <c r="D20" i="41" s="1"/>
  <c r="J120" i="2"/>
  <c r="I26" i="41"/>
  <c r="I27" i="41" s="1"/>
  <c r="J20" i="2"/>
  <c r="J23" i="2" s="1"/>
  <c r="D167" i="10"/>
  <c r="E166" i="10"/>
  <c r="E33" i="10" l="1"/>
  <c r="D33" i="10" s="1"/>
  <c r="G33" i="10"/>
  <c r="M31" i="25"/>
  <c r="B32" i="25"/>
  <c r="D168" i="10"/>
  <c r="E167" i="10"/>
  <c r="E34" i="10" l="1"/>
  <c r="G34" i="10"/>
  <c r="F20" i="1"/>
  <c r="D21" i="41"/>
  <c r="F32" i="43"/>
  <c r="F32" i="44"/>
  <c r="F35" i="42"/>
  <c r="B35" i="25"/>
  <c r="M32" i="25"/>
  <c r="F33" i="1" s="1"/>
  <c r="D169" i="10"/>
  <c r="E168" i="10"/>
  <c r="G35" i="10" l="1"/>
  <c r="E35" i="10"/>
  <c r="D35" i="10" s="1"/>
  <c r="D22" i="41"/>
  <c r="F70" i="42" s="1"/>
  <c r="D9" i="40"/>
  <c r="D11" i="35" s="1"/>
  <c r="M35" i="25"/>
  <c r="B37" i="25"/>
  <c r="D34" i="10"/>
  <c r="D49" i="1"/>
  <c r="D170" i="10"/>
  <c r="E169" i="10"/>
  <c r="E36" i="10" l="1"/>
  <c r="D36" i="10" s="1"/>
  <c r="G36" i="10"/>
  <c r="M37" i="25"/>
  <c r="E20" i="41" s="1"/>
  <c r="B38" i="25"/>
  <c r="D51" i="1"/>
  <c r="D22" i="1" s="1"/>
  <c r="B5" i="41"/>
  <c r="D171" i="10"/>
  <c r="E170" i="10"/>
  <c r="D113" i="42" l="1"/>
  <c r="D119" i="42" s="1"/>
  <c r="D39" i="42" s="1"/>
  <c r="B7" i="41"/>
  <c r="B26" i="41" s="1"/>
  <c r="B27" i="41" s="1"/>
  <c r="B28" i="41" s="1"/>
  <c r="B31" i="41" s="1"/>
  <c r="D19" i="1" s="1"/>
  <c r="G37" i="10"/>
  <c r="E37" i="10"/>
  <c r="D37" i="10" s="1"/>
  <c r="C12" i="41"/>
  <c r="C14" i="41" s="1"/>
  <c r="M38" i="25"/>
  <c r="B39" i="25"/>
  <c r="D58" i="44"/>
  <c r="D61" i="44" s="1"/>
  <c r="D35" i="44" s="1"/>
  <c r="D57" i="43"/>
  <c r="D60" i="43" s="1"/>
  <c r="D35" i="43" s="1"/>
  <c r="B20" i="40"/>
  <c r="B28" i="35" s="1"/>
  <c r="C20" i="2"/>
  <c r="C23" i="2" s="1"/>
  <c r="C120" i="2"/>
  <c r="D172" i="10"/>
  <c r="E171" i="10"/>
  <c r="G38" i="10" l="1"/>
  <c r="E38" i="10"/>
  <c r="D38" i="10" s="1"/>
  <c r="E27" i="1"/>
  <c r="E58" i="42"/>
  <c r="D93" i="2" s="1"/>
  <c r="E21" i="41"/>
  <c r="G35" i="42"/>
  <c r="G32" i="44"/>
  <c r="G32" i="43"/>
  <c r="G20" i="1"/>
  <c r="M39" i="25"/>
  <c r="G33" i="1" s="1"/>
  <c r="B42" i="25"/>
  <c r="D17" i="1"/>
  <c r="D13" i="1" s="1"/>
  <c r="B8" i="61" s="1"/>
  <c r="D21" i="1"/>
  <c r="D24" i="1" s="1"/>
  <c r="D173" i="10"/>
  <c r="E172" i="10"/>
  <c r="G39" i="10" l="1"/>
  <c r="E39" i="10"/>
  <c r="D39" i="10" s="1"/>
  <c r="E22" i="41"/>
  <c r="G70" i="42" s="1"/>
  <c r="E9" i="40"/>
  <c r="E11" i="35" s="1"/>
  <c r="M42" i="25"/>
  <c r="B44" i="25"/>
  <c r="D23" i="42"/>
  <c r="D21" i="43"/>
  <c r="D21" i="44"/>
  <c r="D53" i="1"/>
  <c r="D14" i="1" s="1"/>
  <c r="B9" i="61" s="1"/>
  <c r="D59" i="1"/>
  <c r="D35" i="1" s="1"/>
  <c r="D174" i="10"/>
  <c r="E173" i="10"/>
  <c r="G40" i="10" l="1"/>
  <c r="E40" i="10"/>
  <c r="D40" i="10" s="1"/>
  <c r="M44" i="25"/>
  <c r="F20" i="41" s="1"/>
  <c r="B45" i="25"/>
  <c r="D76" i="42"/>
  <c r="D22" i="44"/>
  <c r="D22" i="43"/>
  <c r="D25" i="42"/>
  <c r="D62" i="1"/>
  <c r="E12" i="1"/>
  <c r="D16" i="1"/>
  <c r="D8" i="1" s="1"/>
  <c r="B7" i="61" s="1"/>
  <c r="D175" i="10"/>
  <c r="E174" i="10"/>
  <c r="G41" i="10" l="1"/>
  <c r="E41" i="10"/>
  <c r="D41" i="10" s="1"/>
  <c r="M45" i="25"/>
  <c r="B46" i="25"/>
  <c r="B24" i="40"/>
  <c r="B36" i="35" s="1"/>
  <c r="C10" i="50"/>
  <c r="D23" i="44"/>
  <c r="E20" i="44"/>
  <c r="D23" i="43"/>
  <c r="E20" i="43"/>
  <c r="D27" i="42"/>
  <c r="B12" i="54" s="1"/>
  <c r="E21" i="42"/>
  <c r="D74" i="1"/>
  <c r="D65" i="1"/>
  <c r="B8" i="54"/>
  <c r="B35" i="54" s="1"/>
  <c r="C9" i="59"/>
  <c r="D14" i="43"/>
  <c r="B2" i="60" s="1"/>
  <c r="B9" i="20"/>
  <c r="B34" i="20" s="1"/>
  <c r="D14" i="44"/>
  <c r="B11" i="36"/>
  <c r="D14" i="42"/>
  <c r="B26" i="54"/>
  <c r="B13" i="20"/>
  <c r="B38" i="20" s="1"/>
  <c r="D37" i="1"/>
  <c r="B18" i="61" s="1"/>
  <c r="D36" i="1"/>
  <c r="D176" i="10"/>
  <c r="E175" i="10"/>
  <c r="G42" i="10" l="1"/>
  <c r="E42" i="10"/>
  <c r="D42" i="10" s="1"/>
  <c r="H35" i="42"/>
  <c r="F21" i="41"/>
  <c r="H32" i="44"/>
  <c r="H32" i="43"/>
  <c r="H20" i="1"/>
  <c r="M46" i="25"/>
  <c r="H33" i="1" s="1"/>
  <c r="B49" i="25"/>
  <c r="D25" i="44"/>
  <c r="D30" i="44" s="1"/>
  <c r="D33" i="44" s="1"/>
  <c r="D37" i="44" s="1"/>
  <c r="E14" i="45" s="1"/>
  <c r="D25" i="43"/>
  <c r="D30" i="43" s="1"/>
  <c r="D33" i="43" s="1"/>
  <c r="D37" i="43" s="1"/>
  <c r="D29" i="42"/>
  <c r="B15" i="41"/>
  <c r="B13" i="36"/>
  <c r="B15" i="36" s="1"/>
  <c r="B18" i="36" s="1"/>
  <c r="B10" i="54"/>
  <c r="C23" i="59"/>
  <c r="B47" i="35"/>
  <c r="C43" i="35" s="1"/>
  <c r="D80" i="42"/>
  <c r="D38" i="1"/>
  <c r="D31" i="1" s="1"/>
  <c r="D26" i="1" s="1"/>
  <c r="B19" i="61"/>
  <c r="D177" i="10"/>
  <c r="E176" i="10"/>
  <c r="G43" i="10" l="1"/>
  <c r="E43" i="10"/>
  <c r="D43" i="10" s="1"/>
  <c r="F22" i="41"/>
  <c r="H70" i="42" s="1"/>
  <c r="F9" i="40"/>
  <c r="F11" i="35" s="1"/>
  <c r="M49" i="25"/>
  <c r="B51" i="25"/>
  <c r="D14" i="45"/>
  <c r="C2" i="60"/>
  <c r="C46" i="2"/>
  <c r="B32" i="61" s="1"/>
  <c r="D33" i="42"/>
  <c r="B18" i="54"/>
  <c r="B28" i="54" s="1"/>
  <c r="B30" i="54" s="1"/>
  <c r="B14" i="54"/>
  <c r="B37" i="54"/>
  <c r="B32" i="40"/>
  <c r="C30" i="40" s="1"/>
  <c r="C12" i="50"/>
  <c r="D63" i="1"/>
  <c r="D66" i="1" s="1"/>
  <c r="D67" i="1" s="1"/>
  <c r="D68" i="1" s="1"/>
  <c r="D72" i="1" s="1"/>
  <c r="D62" i="42" s="1"/>
  <c r="D78" i="42"/>
  <c r="D178" i="10"/>
  <c r="E177" i="10"/>
  <c r="G44" i="10" l="1"/>
  <c r="E44" i="10"/>
  <c r="D44" i="10" s="1"/>
  <c r="M51" i="25"/>
  <c r="G20" i="41" s="1"/>
  <c r="B52" i="25"/>
  <c r="C16" i="2"/>
  <c r="C11" i="2" s="1"/>
  <c r="D37" i="42"/>
  <c r="C15" i="58" s="1"/>
  <c r="B20" i="54"/>
  <c r="B24" i="54" s="1"/>
  <c r="B39" i="54" s="1"/>
  <c r="B43" i="54" s="1"/>
  <c r="B45" i="54" s="1"/>
  <c r="B47" i="54" s="1"/>
  <c r="C18" i="50"/>
  <c r="C21" i="50" s="1"/>
  <c r="B11" i="40"/>
  <c r="B15" i="35" s="1"/>
  <c r="C37" i="2"/>
  <c r="B21" i="36"/>
  <c r="B23" i="36" s="1"/>
  <c r="B27" i="61" s="1"/>
  <c r="C21" i="59"/>
  <c r="C62" i="2"/>
  <c r="C68" i="2" s="1"/>
  <c r="B35" i="61" s="1"/>
  <c r="B11" i="20"/>
  <c r="C11" i="59"/>
  <c r="B22" i="20"/>
  <c r="B47" i="20" s="1"/>
  <c r="C36" i="2"/>
  <c r="D82" i="42"/>
  <c r="B23" i="40"/>
  <c r="C11" i="50"/>
  <c r="D179" i="10"/>
  <c r="E178" i="10"/>
  <c r="G45" i="10" l="1"/>
  <c r="E45" i="10"/>
  <c r="D45" i="10" s="1"/>
  <c r="M52" i="25"/>
  <c r="B53" i="25"/>
  <c r="B29" i="61"/>
  <c r="AE21" i="1"/>
  <c r="C17" i="59"/>
  <c r="D41" i="42"/>
  <c r="C30" i="58" s="1"/>
  <c r="C43" i="58" s="1"/>
  <c r="B8" i="40"/>
  <c r="B15" i="40" s="1"/>
  <c r="B9" i="35"/>
  <c r="C119" i="2"/>
  <c r="C117" i="2" s="1"/>
  <c r="B16" i="20"/>
  <c r="B36" i="20"/>
  <c r="C13" i="59"/>
  <c r="D66" i="42"/>
  <c r="D54" i="42" s="1"/>
  <c r="B26" i="40"/>
  <c r="B34" i="35"/>
  <c r="C14" i="50"/>
  <c r="C23" i="50" s="1"/>
  <c r="C38" i="2"/>
  <c r="C34" i="2" s="1"/>
  <c r="B34" i="61" s="1"/>
  <c r="D180" i="10"/>
  <c r="E179" i="10"/>
  <c r="G46" i="10" l="1"/>
  <c r="E46" i="10"/>
  <c r="D46" i="10" s="1"/>
  <c r="I35" i="42"/>
  <c r="I20" i="1"/>
  <c r="I32" i="44"/>
  <c r="I32" i="43"/>
  <c r="G21" i="41"/>
  <c r="M53" i="25"/>
  <c r="I33" i="1" s="1"/>
  <c r="B56" i="25"/>
  <c r="C30" i="59"/>
  <c r="C15" i="59"/>
  <c r="C28" i="59" s="1"/>
  <c r="C54" i="2"/>
  <c r="B33" i="61" s="1"/>
  <c r="C109" i="2"/>
  <c r="C85" i="2"/>
  <c r="B15" i="61"/>
  <c r="B19" i="20"/>
  <c r="B24" i="20" s="1"/>
  <c r="B28" i="20" s="1"/>
  <c r="B25" i="61" s="1"/>
  <c r="B26" i="20"/>
  <c r="B41" i="20"/>
  <c r="B44" i="20"/>
  <c r="C26" i="59"/>
  <c r="C34" i="59"/>
  <c r="C77" i="2"/>
  <c r="B31" i="61" s="1"/>
  <c r="C101" i="2"/>
  <c r="B17" i="61"/>
  <c r="C19" i="59"/>
  <c r="C32" i="59" s="1"/>
  <c r="B28" i="40"/>
  <c r="B31" i="40" s="1"/>
  <c r="B34" i="40" s="1"/>
  <c r="B35" i="40" s="1"/>
  <c r="D181" i="10"/>
  <c r="E180" i="10"/>
  <c r="E47" i="10" l="1"/>
  <c r="G47" i="10"/>
  <c r="G22" i="41"/>
  <c r="I70" i="42" s="1"/>
  <c r="G9" i="40"/>
  <c r="G11" i="35" s="1"/>
  <c r="M56" i="25"/>
  <c r="B58" i="25"/>
  <c r="C37" i="59"/>
  <c r="B51" i="20"/>
  <c r="B49" i="20"/>
  <c r="B53" i="20" s="1"/>
  <c r="B26" i="61" s="1"/>
  <c r="B37" i="40"/>
  <c r="B38" i="35" s="1"/>
  <c r="B41" i="35" s="1"/>
  <c r="B36" i="40"/>
  <c r="B19" i="35" s="1"/>
  <c r="B22" i="35" s="1"/>
  <c r="B45" i="35" s="1"/>
  <c r="D182" i="10"/>
  <c r="E181" i="10"/>
  <c r="E49" i="1" l="1"/>
  <c r="D47" i="10"/>
  <c r="E48" i="10"/>
  <c r="D48" i="10" s="1"/>
  <c r="G48" i="10"/>
  <c r="B59" i="25"/>
  <c r="M58" i="25"/>
  <c r="H20" i="41" s="1"/>
  <c r="G11" i="49"/>
  <c r="H11" i="49" s="1"/>
  <c r="G15" i="46"/>
  <c r="B51" i="35"/>
  <c r="B52" i="35" s="1"/>
  <c r="G13" i="48"/>
  <c r="G15" i="47"/>
  <c r="F11" i="57"/>
  <c r="G11" i="57" s="1"/>
  <c r="H11" i="57" s="1"/>
  <c r="G15" i="34"/>
  <c r="B22" i="61"/>
  <c r="D183" i="10"/>
  <c r="E182" i="10"/>
  <c r="C5" i="41" l="1"/>
  <c r="C20" i="40"/>
  <c r="C28" i="35" s="1"/>
  <c r="E51" i="1"/>
  <c r="E22" i="1" s="1"/>
  <c r="D12" i="41"/>
  <c r="D14" i="41" s="1"/>
  <c r="G49" i="10"/>
  <c r="E49" i="10"/>
  <c r="D49" i="10" s="1"/>
  <c r="M59" i="25"/>
  <c r="B60" i="25"/>
  <c r="D184" i="10"/>
  <c r="E183" i="10"/>
  <c r="E113" i="42" l="1"/>
  <c r="E119" i="42" s="1"/>
  <c r="E39" i="42" s="1"/>
  <c r="C7" i="41"/>
  <c r="E57" i="43"/>
  <c r="E60" i="43" s="1"/>
  <c r="E35" i="43" s="1"/>
  <c r="E58" i="44"/>
  <c r="E61" i="44" s="1"/>
  <c r="E35" i="44" s="1"/>
  <c r="F58" i="42"/>
  <c r="E93" i="2" s="1"/>
  <c r="F27" i="1"/>
  <c r="E50" i="10"/>
  <c r="D50" i="10" s="1"/>
  <c r="G50" i="10"/>
  <c r="J35" i="42"/>
  <c r="J32" i="44"/>
  <c r="J32" i="43"/>
  <c r="H21" i="41"/>
  <c r="J20" i="1"/>
  <c r="M60" i="25"/>
  <c r="J33" i="1" s="1"/>
  <c r="B63" i="25"/>
  <c r="D185" i="10"/>
  <c r="E184" i="10"/>
  <c r="D120" i="2" l="1"/>
  <c r="D20" i="2"/>
  <c r="D23" i="2" s="1"/>
  <c r="C26" i="41"/>
  <c r="C27" i="41" s="1"/>
  <c r="C28" i="41" s="1"/>
  <c r="C31" i="41" s="1"/>
  <c r="E19" i="1" s="1"/>
  <c r="G51" i="10"/>
  <c r="E51" i="10"/>
  <c r="D51" i="10" s="1"/>
  <c r="H22" i="41"/>
  <c r="J70" i="42" s="1"/>
  <c r="H9" i="40"/>
  <c r="H11" i="35" s="1"/>
  <c r="B65" i="25"/>
  <c r="M63" i="25"/>
  <c r="D186" i="10"/>
  <c r="E185" i="10"/>
  <c r="G52" i="10" l="1"/>
  <c r="E52" i="10"/>
  <c r="D52" i="10" s="1"/>
  <c r="B66" i="25"/>
  <c r="M65" i="25"/>
  <c r="I20" i="41" s="1"/>
  <c r="E21" i="1"/>
  <c r="E24" i="1" s="1"/>
  <c r="E17" i="1"/>
  <c r="E13" i="1" s="1"/>
  <c r="D187" i="10"/>
  <c r="E186" i="10"/>
  <c r="G53" i="10" l="1"/>
  <c r="E53" i="10"/>
  <c r="D53" i="10" s="1"/>
  <c r="M66" i="25"/>
  <c r="B67" i="25"/>
  <c r="M67" i="25" s="1"/>
  <c r="K33" i="1" s="1"/>
  <c r="E16" i="1"/>
  <c r="E8" i="1" s="1"/>
  <c r="E37" i="1" s="1"/>
  <c r="C18" i="61" s="1"/>
  <c r="E53" i="1"/>
  <c r="E57" i="1" s="1"/>
  <c r="E59" i="1"/>
  <c r="C8" i="61"/>
  <c r="E23" i="42" s="1"/>
  <c r="C7" i="61"/>
  <c r="E36" i="1"/>
  <c r="C19" i="61" s="1"/>
  <c r="D188" i="10"/>
  <c r="E187" i="10"/>
  <c r="G54" i="10" l="1"/>
  <c r="E54" i="10"/>
  <c r="D54" i="10" s="1"/>
  <c r="K35" i="42"/>
  <c r="K32" i="44"/>
  <c r="K32" i="43"/>
  <c r="I21" i="41"/>
  <c r="K20" i="1"/>
  <c r="E21" i="44"/>
  <c r="E21" i="43"/>
  <c r="C9" i="61"/>
  <c r="E14" i="44"/>
  <c r="C8" i="54"/>
  <c r="C35" i="54" s="1"/>
  <c r="E14" i="43"/>
  <c r="B3" i="60" s="1"/>
  <c r="D9" i="59"/>
  <c r="E14" i="42"/>
  <c r="D23" i="59"/>
  <c r="E63" i="1"/>
  <c r="E66" i="1" s="1"/>
  <c r="E78" i="42"/>
  <c r="C47" i="35"/>
  <c r="D43" i="35" s="1"/>
  <c r="E80" i="42"/>
  <c r="D189" i="10"/>
  <c r="E188" i="10"/>
  <c r="G55" i="10" l="1"/>
  <c r="E55" i="10"/>
  <c r="D55" i="10" s="1"/>
  <c r="I22" i="41"/>
  <c r="K70" i="42" s="1"/>
  <c r="I9" i="40"/>
  <c r="I11" i="35" s="1"/>
  <c r="C10" i="54"/>
  <c r="C37" i="54" s="1"/>
  <c r="D62" i="2"/>
  <c r="D68" i="2" s="1"/>
  <c r="C35" i="61" s="1"/>
  <c r="E62" i="1"/>
  <c r="E76" i="42"/>
  <c r="E25" i="42"/>
  <c r="E22" i="43"/>
  <c r="E22" i="44"/>
  <c r="D9" i="61"/>
  <c r="E35" i="1"/>
  <c r="C15" i="41"/>
  <c r="C13" i="36"/>
  <c r="C15" i="36" s="1"/>
  <c r="C18" i="36" s="1"/>
  <c r="C18" i="54"/>
  <c r="C28" i="54" s="1"/>
  <c r="C30" i="54" s="1"/>
  <c r="C23" i="40"/>
  <c r="D11" i="50"/>
  <c r="E11" i="50" s="1"/>
  <c r="C33" i="50"/>
  <c r="C32" i="40"/>
  <c r="D30" i="40" s="1"/>
  <c r="D12" i="50"/>
  <c r="E12" i="50" s="1"/>
  <c r="C34" i="50"/>
  <c r="D190" i="10"/>
  <c r="E189" i="10"/>
  <c r="G56" i="10" l="1"/>
  <c r="E56" i="10"/>
  <c r="D56" i="10" s="1"/>
  <c r="E65" i="1"/>
  <c r="E67" i="1" s="1"/>
  <c r="E68" i="1" s="1"/>
  <c r="E72" i="1" s="1"/>
  <c r="E62" i="42" s="1"/>
  <c r="E74" i="1"/>
  <c r="C24" i="40"/>
  <c r="D36" i="2"/>
  <c r="E82" i="42"/>
  <c r="D10" i="50"/>
  <c r="C32" i="50"/>
  <c r="C36" i="50" s="1"/>
  <c r="C11" i="20"/>
  <c r="C16" i="20" s="1"/>
  <c r="E27" i="42"/>
  <c r="F21" i="42"/>
  <c r="E23" i="43"/>
  <c r="E25" i="43" s="1"/>
  <c r="E30" i="43" s="1"/>
  <c r="E33" i="43" s="1"/>
  <c r="E37" i="43" s="1"/>
  <c r="F20" i="43"/>
  <c r="E23" i="44"/>
  <c r="E25" i="44" s="1"/>
  <c r="E30" i="44" s="1"/>
  <c r="E33" i="44" s="1"/>
  <c r="E37" i="44" s="1"/>
  <c r="E16" i="45" s="1"/>
  <c r="F20" i="44"/>
  <c r="F76" i="42"/>
  <c r="F25" i="42"/>
  <c r="G21" i="42" s="1"/>
  <c r="F22" i="43"/>
  <c r="G20" i="43" s="1"/>
  <c r="F22" i="44"/>
  <c r="G20" i="44" s="1"/>
  <c r="F35" i="1"/>
  <c r="E38" i="1"/>
  <c r="E31" i="1" s="1"/>
  <c r="E26" i="1" s="1"/>
  <c r="C36" i="20"/>
  <c r="C34" i="35"/>
  <c r="D191" i="10"/>
  <c r="E190" i="10"/>
  <c r="G57" i="10" l="1"/>
  <c r="E57" i="10"/>
  <c r="D57" i="10" s="1"/>
  <c r="D11" i="59"/>
  <c r="C22" i="20"/>
  <c r="C36" i="35"/>
  <c r="C26" i="40"/>
  <c r="D21" i="59"/>
  <c r="C11" i="40"/>
  <c r="C15" i="35" s="1"/>
  <c r="D37" i="2"/>
  <c r="D38" i="2" s="1"/>
  <c r="D34" i="2" s="1"/>
  <c r="C34" i="61" s="1"/>
  <c r="D18" i="50"/>
  <c r="D21" i="50" s="1"/>
  <c r="C40" i="50"/>
  <c r="C43" i="50" s="1"/>
  <c r="C45" i="50" s="1"/>
  <c r="C21" i="36"/>
  <c r="C23" i="36" s="1"/>
  <c r="C27" i="61" s="1"/>
  <c r="D13" i="59"/>
  <c r="E66" i="42"/>
  <c r="E54" i="42" s="1"/>
  <c r="E10" i="50"/>
  <c r="E14" i="50" s="1"/>
  <c r="E25" i="50" s="1"/>
  <c r="D14" i="50"/>
  <c r="C19" i="20"/>
  <c r="C24" i="20" s="1"/>
  <c r="C12" i="54"/>
  <c r="C14" i="54" s="1"/>
  <c r="E29" i="42"/>
  <c r="C3" i="60"/>
  <c r="D16" i="45"/>
  <c r="D24" i="40"/>
  <c r="D36" i="35" s="1"/>
  <c r="E24" i="40"/>
  <c r="E36" i="35" s="1"/>
  <c r="D32" i="50"/>
  <c r="E32" i="50" s="1"/>
  <c r="C54" i="50"/>
  <c r="E54" i="50" s="1"/>
  <c r="C44" i="20"/>
  <c r="C41" i="20"/>
  <c r="D192" i="10"/>
  <c r="E192" i="10" s="1"/>
  <c r="E191" i="10"/>
  <c r="E193" i="10" l="1"/>
  <c r="G58" i="10"/>
  <c r="E58" i="10"/>
  <c r="C47" i="20"/>
  <c r="C51" i="20" s="1"/>
  <c r="C26" i="20"/>
  <c r="C28" i="20" s="1"/>
  <c r="C25" i="61" s="1"/>
  <c r="D26" i="59"/>
  <c r="D34" i="59"/>
  <c r="D19" i="59"/>
  <c r="D32" i="59" s="1"/>
  <c r="D101" i="2"/>
  <c r="C17" i="61"/>
  <c r="D77" i="2"/>
  <c r="C31" i="61" s="1"/>
  <c r="C20" i="54"/>
  <c r="C24" i="54" s="1"/>
  <c r="C39" i="54" s="1"/>
  <c r="C43" i="54" s="1"/>
  <c r="C45" i="54" s="1"/>
  <c r="C47" i="54" s="1"/>
  <c r="D46" i="2"/>
  <c r="C32" i="61" s="1"/>
  <c r="E33" i="42"/>
  <c r="C49" i="20"/>
  <c r="D23" i="50"/>
  <c r="C25" i="50" s="1"/>
  <c r="E59" i="10" l="1"/>
  <c r="D59" i="10" s="1"/>
  <c r="G59" i="10"/>
  <c r="D58" i="10"/>
  <c r="F49" i="1"/>
  <c r="E37" i="42"/>
  <c r="D16" i="2"/>
  <c r="D11" i="2" s="1"/>
  <c r="C53" i="20"/>
  <c r="C26" i="61" s="1"/>
  <c r="E60" i="10" l="1"/>
  <c r="D60" i="10" s="1"/>
  <c r="G60" i="10"/>
  <c r="F51" i="1"/>
  <c r="F22" i="1" s="1"/>
  <c r="D20" i="40"/>
  <c r="D28" i="35" s="1"/>
  <c r="D5" i="41"/>
  <c r="D15" i="58"/>
  <c r="D17" i="59"/>
  <c r="D30" i="59" s="1"/>
  <c r="E41" i="42"/>
  <c r="D30" i="58" s="1"/>
  <c r="C8" i="40"/>
  <c r="C15" i="40" s="1"/>
  <c r="C28" i="40" s="1"/>
  <c r="C31" i="40" s="1"/>
  <c r="C34" i="40" s="1"/>
  <c r="C35" i="40" s="1"/>
  <c r="D119" i="2"/>
  <c r="D117" i="2" s="1"/>
  <c r="C9" i="35"/>
  <c r="C29" i="61"/>
  <c r="AF21" i="1"/>
  <c r="D7" i="41" l="1"/>
  <c r="F58" i="44"/>
  <c r="F61" i="44" s="1"/>
  <c r="F35" i="44" s="1"/>
  <c r="F57" i="43"/>
  <c r="F60" i="43" s="1"/>
  <c r="F35" i="43" s="1"/>
  <c r="F113" i="42"/>
  <c r="F119" i="42" s="1"/>
  <c r="F39" i="42" s="1"/>
  <c r="E12" i="41"/>
  <c r="E14" i="41" s="1"/>
  <c r="G61" i="10"/>
  <c r="E61" i="10"/>
  <c r="D61" i="10" s="1"/>
  <c r="D15" i="59"/>
  <c r="D28" i="59" s="1"/>
  <c r="D37" i="59" s="1"/>
  <c r="D54" i="2"/>
  <c r="C33" i="61" s="1"/>
  <c r="D109" i="2"/>
  <c r="D85" i="2"/>
  <c r="C15" i="61"/>
  <c r="C37" i="40"/>
  <c r="C38" i="35" s="1"/>
  <c r="C41" i="35" s="1"/>
  <c r="C36" i="40"/>
  <c r="C19" i="35" s="1"/>
  <c r="C22" i="35" s="1"/>
  <c r="D43" i="58"/>
  <c r="D26" i="41" l="1"/>
  <c r="D27" i="41" s="1"/>
  <c r="E20" i="2"/>
  <c r="E23" i="2" s="1"/>
  <c r="E120" i="2"/>
  <c r="G58" i="42"/>
  <c r="F93" i="2" s="1"/>
  <c r="G27" i="1"/>
  <c r="G62" i="10"/>
  <c r="E62" i="10"/>
  <c r="D62" i="10" s="1"/>
  <c r="C45" i="35"/>
  <c r="G63" i="10" l="1"/>
  <c r="E63" i="10"/>
  <c r="D63" i="10" s="1"/>
  <c r="C22" i="61"/>
  <c r="G15" i="48"/>
  <c r="F12" i="57"/>
  <c r="G12" i="57" s="1"/>
  <c r="H12" i="57" s="1"/>
  <c r="G17" i="47"/>
  <c r="G17" i="34"/>
  <c r="C51" i="35"/>
  <c r="C52" i="35" s="1"/>
  <c r="G12" i="49"/>
  <c r="H12" i="49" s="1"/>
  <c r="G17" i="46"/>
  <c r="G64" i="10" l="1"/>
  <c r="E64" i="10"/>
  <c r="D64" i="10" s="1"/>
  <c r="E65" i="10" l="1"/>
  <c r="D65" i="10" s="1"/>
  <c r="G65" i="10"/>
  <c r="G66" i="10" l="1"/>
  <c r="E66" i="10"/>
  <c r="D66" i="10" s="1"/>
  <c r="G67" i="10" l="1"/>
  <c r="E67" i="10"/>
  <c r="D67" i="10" s="1"/>
  <c r="E68" i="10" l="1"/>
  <c r="D68" i="10" s="1"/>
  <c r="G68" i="10"/>
  <c r="G69" i="10" l="1"/>
  <c r="E69" i="10"/>
  <c r="D69" i="10" s="1"/>
  <c r="E70" i="10" l="1"/>
  <c r="D70" i="10" s="1"/>
  <c r="G70" i="10"/>
  <c r="G71" i="10" l="1"/>
  <c r="E71" i="10"/>
  <c r="E72" i="10" l="1"/>
  <c r="D72" i="10" s="1"/>
  <c r="G72" i="10"/>
  <c r="G49" i="1"/>
  <c r="D71" i="10"/>
  <c r="E73" i="10" l="1"/>
  <c r="D73" i="10" s="1"/>
  <c r="G73" i="10"/>
  <c r="F12" i="41"/>
  <c r="F14" i="41" s="1"/>
  <c r="E5" i="41"/>
  <c r="E20" i="40"/>
  <c r="E28" i="35" s="1"/>
  <c r="G51" i="1"/>
  <c r="G22" i="1" s="1"/>
  <c r="G74" i="10" l="1"/>
  <c r="E74" i="10"/>
  <c r="D74" i="10" s="1"/>
  <c r="H58" i="42"/>
  <c r="G93" i="2" s="1"/>
  <c r="H27" i="1"/>
  <c r="G57" i="43"/>
  <c r="G60" i="43" s="1"/>
  <c r="G35" i="43" s="1"/>
  <c r="G58" i="44"/>
  <c r="G61" i="44" s="1"/>
  <c r="G35" i="44" s="1"/>
  <c r="E7" i="41"/>
  <c r="G113" i="42"/>
  <c r="G119" i="42" s="1"/>
  <c r="G39" i="42" s="1"/>
  <c r="E75" i="10" l="1"/>
  <c r="D75" i="10" s="1"/>
  <c r="G75" i="10"/>
  <c r="F120" i="2"/>
  <c r="E26" i="41"/>
  <c r="E27" i="41" s="1"/>
  <c r="F20" i="2"/>
  <c r="F23" i="2" s="1"/>
  <c r="E76" i="10" l="1"/>
  <c r="D76" i="10" s="1"/>
  <c r="G76" i="10"/>
  <c r="E78" i="10"/>
  <c r="G78" i="10"/>
  <c r="E77" i="10" l="1"/>
  <c r="D77" i="10" s="1"/>
  <c r="G77" i="10"/>
  <c r="D78" i="10"/>
  <c r="E79" i="10"/>
  <c r="D79" i="10" s="1"/>
  <c r="G79" i="10"/>
  <c r="G80" i="10" l="1"/>
  <c r="E80" i="10"/>
  <c r="D80" i="10" s="1"/>
  <c r="E81" i="10" l="1"/>
  <c r="D81" i="10" s="1"/>
  <c r="G81" i="10"/>
  <c r="G82" i="10" l="1"/>
  <c r="E82" i="10"/>
  <c r="D82" i="10" s="1"/>
  <c r="G83" i="10" l="1"/>
  <c r="E83" i="10"/>
  <c r="H49" i="1" l="1"/>
  <c r="D83" i="10"/>
  <c r="F5" i="41" l="1"/>
  <c r="H51" i="1"/>
  <c r="H22" i="1" s="1"/>
  <c r="F20" i="40"/>
  <c r="H58" i="44" l="1"/>
  <c r="H61" i="44" s="1"/>
  <c r="H35" i="44" s="1"/>
  <c r="H57" i="43"/>
  <c r="H60" i="43" s="1"/>
  <c r="H35" i="43" s="1"/>
  <c r="F7" i="41"/>
  <c r="H113" i="42"/>
  <c r="H119" i="42" s="1"/>
  <c r="H39" i="42" s="1"/>
  <c r="F28" i="35"/>
  <c r="G120" i="2" l="1"/>
  <c r="F26" i="41"/>
  <c r="F27" i="41" s="1"/>
  <c r="D28" i="41" s="1"/>
  <c r="G20" i="2"/>
  <c r="G23" i="2" s="1"/>
  <c r="H31" i="41" l="1"/>
  <c r="J19" i="1" s="1"/>
  <c r="D31" i="41"/>
  <c r="F19" i="1" s="1"/>
  <c r="G31" i="41"/>
  <c r="I19" i="1" s="1"/>
  <c r="I31" i="41"/>
  <c r="K19" i="1" s="1"/>
  <c r="E31" i="41"/>
  <c r="G19" i="1" s="1"/>
  <c r="F31" i="41"/>
  <c r="H19" i="1" s="1"/>
  <c r="J17" i="1" l="1"/>
  <c r="J13" i="1" s="1"/>
  <c r="J21" i="1"/>
  <c r="J24" i="1" s="1"/>
  <c r="F21" i="1"/>
  <c r="F24" i="1" s="1"/>
  <c r="F17" i="1"/>
  <c r="I21" i="1"/>
  <c r="I24" i="1" s="1"/>
  <c r="I17" i="1"/>
  <c r="I13" i="1" s="1"/>
  <c r="K17" i="1"/>
  <c r="K13" i="1" s="1"/>
  <c r="K21" i="1"/>
  <c r="K24" i="1" s="1"/>
  <c r="G21" i="1"/>
  <c r="G24" i="1" s="1"/>
  <c r="G17" i="1"/>
  <c r="H21" i="1"/>
  <c r="H24" i="1" s="1"/>
  <c r="H17" i="1"/>
  <c r="H13" i="1" s="1"/>
  <c r="J16" i="1" l="1"/>
  <c r="J8" i="1" s="1"/>
  <c r="H8" i="61"/>
  <c r="D77" i="1"/>
  <c r="D8" i="61" s="1"/>
  <c r="F13" i="1"/>
  <c r="F16" i="1" s="1"/>
  <c r="F8" i="1" s="1"/>
  <c r="I16" i="1"/>
  <c r="I8" i="1" s="1"/>
  <c r="G8" i="61"/>
  <c r="K16" i="1"/>
  <c r="K8" i="1" s="1"/>
  <c r="I8" i="61"/>
  <c r="E77" i="1"/>
  <c r="G13" i="1"/>
  <c r="G16" i="1" s="1"/>
  <c r="G8" i="1" s="1"/>
  <c r="F8" i="61"/>
  <c r="H16" i="1"/>
  <c r="H8" i="1" s="1"/>
  <c r="E8" i="61" l="1"/>
  <c r="H7" i="61"/>
  <c r="J37" i="1"/>
  <c r="H18" i="61" s="1"/>
  <c r="J36" i="1"/>
  <c r="J21" i="43"/>
  <c r="J23" i="43" s="1"/>
  <c r="J23" i="42"/>
  <c r="J27" i="42" s="1"/>
  <c r="H12" i="54" s="1"/>
  <c r="J21" i="44"/>
  <c r="J23" i="44" s="1"/>
  <c r="F21" i="43"/>
  <c r="F23" i="43" s="1"/>
  <c r="F21" i="44"/>
  <c r="F23" i="44" s="1"/>
  <c r="F23" i="42"/>
  <c r="F27" i="42" s="1"/>
  <c r="D12" i="54" s="1"/>
  <c r="D7" i="61"/>
  <c r="F37" i="1"/>
  <c r="D18" i="61" s="1"/>
  <c r="F36" i="1"/>
  <c r="G7" i="61"/>
  <c r="I37" i="1"/>
  <c r="G18" i="61" s="1"/>
  <c r="I36" i="1"/>
  <c r="I21" i="44"/>
  <c r="I23" i="44" s="1"/>
  <c r="I21" i="43"/>
  <c r="I23" i="43" s="1"/>
  <c r="I23" i="42"/>
  <c r="I27" i="42" s="1"/>
  <c r="G12" i="54" s="1"/>
  <c r="I7" i="61"/>
  <c r="K36" i="1"/>
  <c r="K37" i="1"/>
  <c r="I18" i="61" s="1"/>
  <c r="K23" i="42"/>
  <c r="K27" i="42" s="1"/>
  <c r="I12" i="54" s="1"/>
  <c r="K21" i="44"/>
  <c r="K23" i="44" s="1"/>
  <c r="K21" i="43"/>
  <c r="K23" i="43" s="1"/>
  <c r="G37" i="1"/>
  <c r="E18" i="61" s="1"/>
  <c r="G36" i="1"/>
  <c r="E7" i="61"/>
  <c r="H21" i="44"/>
  <c r="H23" i="44" s="1"/>
  <c r="H21" i="43"/>
  <c r="H23" i="43" s="1"/>
  <c r="H23" i="42"/>
  <c r="H27" i="42" s="1"/>
  <c r="F12" i="54" s="1"/>
  <c r="H37" i="1"/>
  <c r="F18" i="61" s="1"/>
  <c r="H36" i="1"/>
  <c r="F7" i="61"/>
  <c r="G21" i="43" l="1"/>
  <c r="G23" i="43" s="1"/>
  <c r="G23" i="42"/>
  <c r="G27" i="42" s="1"/>
  <c r="E12" i="54" s="1"/>
  <c r="G21" i="44"/>
  <c r="G23" i="44" s="1"/>
  <c r="J14" i="43"/>
  <c r="J14" i="44"/>
  <c r="J25" i="44" s="1"/>
  <c r="J30" i="44" s="1"/>
  <c r="J33" i="44" s="1"/>
  <c r="J37" i="44" s="1"/>
  <c r="E26" i="45" s="1"/>
  <c r="J14" i="42"/>
  <c r="J80" i="42"/>
  <c r="H47" i="35"/>
  <c r="I43" i="35" s="1"/>
  <c r="H19" i="61"/>
  <c r="J78" i="42" s="1"/>
  <c r="J38" i="1"/>
  <c r="J31" i="1" s="1"/>
  <c r="J26" i="1" s="1"/>
  <c r="F14" i="43"/>
  <c r="F14" i="44"/>
  <c r="F25" i="44" s="1"/>
  <c r="F30" i="44" s="1"/>
  <c r="F33" i="44" s="1"/>
  <c r="F37" i="44" s="1"/>
  <c r="E18" i="45" s="1"/>
  <c r="F14" i="42"/>
  <c r="D47" i="35"/>
  <c r="E43" i="35" s="1"/>
  <c r="F80" i="42"/>
  <c r="D19" i="61"/>
  <c r="F78" i="42" s="1"/>
  <c r="F38" i="1"/>
  <c r="F31" i="1" s="1"/>
  <c r="F26" i="1" s="1"/>
  <c r="I14" i="44"/>
  <c r="I25" i="44" s="1"/>
  <c r="I30" i="44" s="1"/>
  <c r="I33" i="44" s="1"/>
  <c r="I37" i="44" s="1"/>
  <c r="E24" i="45" s="1"/>
  <c r="I14" i="43"/>
  <c r="I14" i="42"/>
  <c r="I80" i="42"/>
  <c r="G47" i="35"/>
  <c r="H43" i="35" s="1"/>
  <c r="G19" i="61"/>
  <c r="I78" i="42" s="1"/>
  <c r="I38" i="1"/>
  <c r="I31" i="1" s="1"/>
  <c r="I26" i="1" s="1"/>
  <c r="K14" i="44"/>
  <c r="K25" i="44" s="1"/>
  <c r="K30" i="44" s="1"/>
  <c r="K33" i="44" s="1"/>
  <c r="K37" i="44" s="1"/>
  <c r="E28" i="45" s="1"/>
  <c r="K14" i="43"/>
  <c r="K14" i="42"/>
  <c r="K38" i="1"/>
  <c r="K31" i="1" s="1"/>
  <c r="K26" i="1" s="1"/>
  <c r="I19" i="61"/>
  <c r="K78" i="42" s="1"/>
  <c r="K80" i="42"/>
  <c r="I47" i="35"/>
  <c r="E47" i="35"/>
  <c r="F43" i="35" s="1"/>
  <c r="G80" i="42"/>
  <c r="G38" i="1"/>
  <c r="G31" i="1" s="1"/>
  <c r="G26" i="1" s="1"/>
  <c r="E19" i="61"/>
  <c r="G78" i="42" s="1"/>
  <c r="G14" i="44"/>
  <c r="G14" i="43"/>
  <c r="G14" i="42"/>
  <c r="H80" i="42"/>
  <c r="F47" i="35"/>
  <c r="G43" i="35" s="1"/>
  <c r="F19" i="61"/>
  <c r="H78" i="42" s="1"/>
  <c r="H38" i="1"/>
  <c r="H31" i="1" s="1"/>
  <c r="H26" i="1" s="1"/>
  <c r="H14" i="43"/>
  <c r="H14" i="42"/>
  <c r="H14" i="44"/>
  <c r="H25" i="44" s="1"/>
  <c r="H30" i="44" s="1"/>
  <c r="H33" i="44" s="1"/>
  <c r="H37" i="44" s="1"/>
  <c r="E22" i="45" s="1"/>
  <c r="G25" i="44" l="1"/>
  <c r="G30" i="44" s="1"/>
  <c r="G33" i="44" s="1"/>
  <c r="G37" i="44" s="1"/>
  <c r="E20" i="45" s="1"/>
  <c r="J25" i="43"/>
  <c r="J30" i="43" s="1"/>
  <c r="J33" i="43" s="1"/>
  <c r="J37" i="43" s="1"/>
  <c r="B8" i="60"/>
  <c r="J29" i="42"/>
  <c r="H15" i="41"/>
  <c r="J62" i="42" s="1"/>
  <c r="I23" i="59"/>
  <c r="H10" i="54"/>
  <c r="H13" i="36"/>
  <c r="H15" i="36" s="1"/>
  <c r="H18" i="36" s="1"/>
  <c r="I62" i="2"/>
  <c r="I68" i="2" s="1"/>
  <c r="H35" i="61" s="1"/>
  <c r="H32" i="40"/>
  <c r="I30" i="40" s="1"/>
  <c r="D124" i="50"/>
  <c r="C150" i="50"/>
  <c r="J82" i="42"/>
  <c r="H23" i="40"/>
  <c r="H11" i="20"/>
  <c r="D123" i="50"/>
  <c r="C149" i="50"/>
  <c r="I36" i="2"/>
  <c r="B4" i="60"/>
  <c r="F25" i="43"/>
  <c r="F30" i="43" s="1"/>
  <c r="F33" i="43" s="1"/>
  <c r="F37" i="43" s="1"/>
  <c r="E62" i="2"/>
  <c r="E68" i="2" s="1"/>
  <c r="D35" i="61" s="1"/>
  <c r="D13" i="36"/>
  <c r="D15" i="36" s="1"/>
  <c r="D18" i="36" s="1"/>
  <c r="D10" i="54"/>
  <c r="E23" i="59"/>
  <c r="F29" i="42"/>
  <c r="D15" i="41"/>
  <c r="F62" i="42" s="1"/>
  <c r="D34" i="50"/>
  <c r="E34" i="50" s="1"/>
  <c r="C56" i="50"/>
  <c r="D32" i="40"/>
  <c r="E30" i="40" s="1"/>
  <c r="D11" i="20"/>
  <c r="E36" i="2"/>
  <c r="F82" i="42"/>
  <c r="C55" i="50"/>
  <c r="C58" i="50" s="1"/>
  <c r="D33" i="50"/>
  <c r="D23" i="40"/>
  <c r="I25" i="43"/>
  <c r="I30" i="43" s="1"/>
  <c r="I33" i="43" s="1"/>
  <c r="I37" i="43" s="1"/>
  <c r="B7" i="60"/>
  <c r="I29" i="42"/>
  <c r="G15" i="41"/>
  <c r="I62" i="42" s="1"/>
  <c r="H23" i="59"/>
  <c r="G10" i="54"/>
  <c r="G13" i="36"/>
  <c r="G15" i="36" s="1"/>
  <c r="G18" i="36" s="1"/>
  <c r="H62" i="2"/>
  <c r="H68" i="2" s="1"/>
  <c r="G35" i="61" s="1"/>
  <c r="G32" i="40"/>
  <c r="H30" i="40" s="1"/>
  <c r="D101" i="50"/>
  <c r="C124" i="50"/>
  <c r="I82" i="42"/>
  <c r="G23" i="40"/>
  <c r="G11" i="20"/>
  <c r="D100" i="50"/>
  <c r="C123" i="50"/>
  <c r="H36" i="2"/>
  <c r="K25" i="43"/>
  <c r="K30" i="43" s="1"/>
  <c r="K33" i="43" s="1"/>
  <c r="K37" i="43" s="1"/>
  <c r="B9" i="60"/>
  <c r="K29" i="42"/>
  <c r="I15" i="41"/>
  <c r="K62" i="42" s="1"/>
  <c r="J23" i="59"/>
  <c r="I10" i="54"/>
  <c r="I13" i="36"/>
  <c r="I15" i="36" s="1"/>
  <c r="I18" i="36" s="1"/>
  <c r="J62" i="2"/>
  <c r="J68" i="2" s="1"/>
  <c r="I35" i="61" s="1"/>
  <c r="K82" i="42"/>
  <c r="I23" i="40"/>
  <c r="I11" i="20"/>
  <c r="D149" i="50"/>
  <c r="J36" i="2"/>
  <c r="I32" i="40"/>
  <c r="D150" i="50"/>
  <c r="C78" i="50"/>
  <c r="D56" i="50"/>
  <c r="E32" i="40"/>
  <c r="F30" i="40" s="1"/>
  <c r="E23" i="40"/>
  <c r="C77" i="50"/>
  <c r="C80" i="50" s="1"/>
  <c r="E11" i="20"/>
  <c r="F36" i="2"/>
  <c r="G82" i="42"/>
  <c r="D55" i="50"/>
  <c r="G25" i="43"/>
  <c r="G30" i="43" s="1"/>
  <c r="G33" i="43" s="1"/>
  <c r="G37" i="43" s="1"/>
  <c r="B5" i="60"/>
  <c r="F62" i="2"/>
  <c r="F68" i="2" s="1"/>
  <c r="E35" i="61" s="1"/>
  <c r="E13" i="36"/>
  <c r="E15" i="36" s="1"/>
  <c r="E18" i="36" s="1"/>
  <c r="E10" i="54"/>
  <c r="F23" i="59"/>
  <c r="E15" i="41"/>
  <c r="G62" i="42" s="1"/>
  <c r="G29" i="42"/>
  <c r="C101" i="50"/>
  <c r="F32" i="40"/>
  <c r="G30" i="40" s="1"/>
  <c r="D78" i="50"/>
  <c r="F23" i="40"/>
  <c r="C100" i="50"/>
  <c r="D77" i="50"/>
  <c r="F11" i="20"/>
  <c r="G36" i="2"/>
  <c r="H82" i="42"/>
  <c r="H25" i="43"/>
  <c r="H30" i="43" s="1"/>
  <c r="H33" i="43" s="1"/>
  <c r="H37" i="43" s="1"/>
  <c r="B6" i="60"/>
  <c r="F10" i="54"/>
  <c r="G23" i="59"/>
  <c r="G62" i="2"/>
  <c r="G68" i="2" s="1"/>
  <c r="F35" i="61" s="1"/>
  <c r="F13" i="36"/>
  <c r="F15" i="36" s="1"/>
  <c r="F18" i="36" s="1"/>
  <c r="H29" i="42"/>
  <c r="F15" i="41"/>
  <c r="H62" i="42" s="1"/>
  <c r="I22" i="20" l="1"/>
  <c r="I47" i="20" s="1"/>
  <c r="J11" i="59"/>
  <c r="D103" i="50"/>
  <c r="C126" i="50"/>
  <c r="E78" i="50"/>
  <c r="E56" i="50"/>
  <c r="G22" i="20"/>
  <c r="G47" i="20" s="1"/>
  <c r="H11" i="59"/>
  <c r="E101" i="50"/>
  <c r="H22" i="20"/>
  <c r="H47" i="20" s="1"/>
  <c r="I11" i="59"/>
  <c r="G11" i="59"/>
  <c r="F22" i="20"/>
  <c r="F47" i="20" s="1"/>
  <c r="D26" i="45"/>
  <c r="C8" i="60"/>
  <c r="J33" i="42"/>
  <c r="I46" i="2"/>
  <c r="H32" i="61" s="1"/>
  <c r="H11" i="40"/>
  <c r="H15" i="35" s="1"/>
  <c r="H21" i="36"/>
  <c r="H23" i="36" s="1"/>
  <c r="H27" i="61" s="1"/>
  <c r="D131" i="50"/>
  <c r="D134" i="50" s="1"/>
  <c r="C157" i="50"/>
  <c r="I37" i="2"/>
  <c r="H14" i="54"/>
  <c r="H18" i="54"/>
  <c r="H28" i="54" s="1"/>
  <c r="H30" i="54" s="1"/>
  <c r="H37" i="54"/>
  <c r="I13" i="59"/>
  <c r="J66" i="42"/>
  <c r="J54" i="42" s="1"/>
  <c r="H26" i="40"/>
  <c r="H34" i="35"/>
  <c r="H16" i="20"/>
  <c r="H36" i="20"/>
  <c r="E123" i="50"/>
  <c r="D126" i="50"/>
  <c r="C4" i="60"/>
  <c r="D18" i="45"/>
  <c r="D37" i="54"/>
  <c r="D14" i="54"/>
  <c r="D18" i="54"/>
  <c r="D28" i="54" s="1"/>
  <c r="D30" i="54" s="1"/>
  <c r="E46" i="2"/>
  <c r="D32" i="61" s="1"/>
  <c r="F33" i="42"/>
  <c r="E21" i="59"/>
  <c r="E37" i="2"/>
  <c r="D40" i="50"/>
  <c r="D11" i="40"/>
  <c r="D15" i="35" s="1"/>
  <c r="C62" i="50"/>
  <c r="D21" i="36"/>
  <c r="D23" i="36" s="1"/>
  <c r="D27" i="61" s="1"/>
  <c r="D16" i="20"/>
  <c r="D36" i="20"/>
  <c r="E13" i="59"/>
  <c r="E34" i="59" s="1"/>
  <c r="F66" i="42"/>
  <c r="F54" i="42" s="1"/>
  <c r="E77" i="2" s="1"/>
  <c r="D31" i="61" s="1"/>
  <c r="D36" i="50"/>
  <c r="E33" i="50"/>
  <c r="E36" i="50" s="1"/>
  <c r="D26" i="40"/>
  <c r="D34" i="35"/>
  <c r="C7" i="60"/>
  <c r="D24" i="45"/>
  <c r="I33" i="42"/>
  <c r="H46" i="2"/>
  <c r="G32" i="61" s="1"/>
  <c r="H37" i="2"/>
  <c r="G21" i="36"/>
  <c r="G23" i="36" s="1"/>
  <c r="G27" i="61" s="1"/>
  <c r="C131" i="50"/>
  <c r="D108" i="50"/>
  <c r="D111" i="50" s="1"/>
  <c r="G11" i="40"/>
  <c r="G15" i="35" s="1"/>
  <c r="G37" i="54"/>
  <c r="G18" i="54"/>
  <c r="G28" i="54" s="1"/>
  <c r="G30" i="54" s="1"/>
  <c r="G14" i="54"/>
  <c r="H13" i="59"/>
  <c r="I66" i="42"/>
  <c r="I54" i="42" s="1"/>
  <c r="G26" i="40"/>
  <c r="G34" i="35"/>
  <c r="G16" i="20"/>
  <c r="G36" i="20"/>
  <c r="D28" i="45"/>
  <c r="C9" i="60"/>
  <c r="J46" i="2"/>
  <c r="I32" i="61" s="1"/>
  <c r="K33" i="42"/>
  <c r="J21" i="59"/>
  <c r="D157" i="50"/>
  <c r="D160" i="50" s="1"/>
  <c r="J37" i="2"/>
  <c r="I11" i="40"/>
  <c r="I15" i="35" s="1"/>
  <c r="I21" i="36"/>
  <c r="I23" i="36" s="1"/>
  <c r="I27" i="61" s="1"/>
  <c r="I14" i="54"/>
  <c r="I18" i="54"/>
  <c r="I28" i="54" s="1"/>
  <c r="I30" i="54" s="1"/>
  <c r="I37" i="54"/>
  <c r="J13" i="59"/>
  <c r="K66" i="42"/>
  <c r="K54" i="42" s="1"/>
  <c r="J77" i="2" s="1"/>
  <c r="I31" i="61" s="1"/>
  <c r="I26" i="40"/>
  <c r="I34" i="35"/>
  <c r="I16" i="20"/>
  <c r="I36" i="20"/>
  <c r="E149" i="50"/>
  <c r="D152" i="50"/>
  <c r="E26" i="40"/>
  <c r="E34" i="35"/>
  <c r="E36" i="20"/>
  <c r="E16" i="20"/>
  <c r="G66" i="42"/>
  <c r="G54" i="42" s="1"/>
  <c r="F13" i="59"/>
  <c r="F34" i="59" s="1"/>
  <c r="D58" i="50"/>
  <c r="E55" i="50"/>
  <c r="C5" i="60"/>
  <c r="D20" i="45"/>
  <c r="E37" i="54"/>
  <c r="E14" i="54"/>
  <c r="E18" i="54"/>
  <c r="E28" i="54" s="1"/>
  <c r="E30" i="54" s="1"/>
  <c r="F21" i="59"/>
  <c r="F77" i="2"/>
  <c r="E31" i="61" s="1"/>
  <c r="D62" i="50"/>
  <c r="D65" i="50" s="1"/>
  <c r="E11" i="40"/>
  <c r="E15" i="35" s="1"/>
  <c r="E21" i="36"/>
  <c r="E23" i="36" s="1"/>
  <c r="E27" i="61" s="1"/>
  <c r="F37" i="2"/>
  <c r="C85" i="50"/>
  <c r="G33" i="42"/>
  <c r="F46" i="2"/>
  <c r="E32" i="61" s="1"/>
  <c r="F26" i="40"/>
  <c r="F34" i="35"/>
  <c r="C103" i="50"/>
  <c r="E100" i="50"/>
  <c r="E77" i="50"/>
  <c r="D80" i="50"/>
  <c r="F16" i="20"/>
  <c r="F36" i="20"/>
  <c r="G13" i="59"/>
  <c r="H66" i="42"/>
  <c r="H54" i="42" s="1"/>
  <c r="G77" i="2" s="1"/>
  <c r="F31" i="61" s="1"/>
  <c r="C6" i="60"/>
  <c r="D22" i="45"/>
  <c r="F37" i="54"/>
  <c r="F18" i="54"/>
  <c r="F28" i="54" s="1"/>
  <c r="F30" i="54" s="1"/>
  <c r="F14" i="54"/>
  <c r="G46" i="2"/>
  <c r="F32" i="61" s="1"/>
  <c r="H33" i="42"/>
  <c r="G21" i="59"/>
  <c r="D85" i="50"/>
  <c r="D88" i="50" s="1"/>
  <c r="G37" i="2"/>
  <c r="F21" i="36"/>
  <c r="F23" i="36" s="1"/>
  <c r="F27" i="61" s="1"/>
  <c r="C108" i="50"/>
  <c r="F11" i="40"/>
  <c r="F15" i="35" s="1"/>
  <c r="E124" i="50"/>
  <c r="C152" i="50"/>
  <c r="E150" i="50"/>
  <c r="E11" i="59"/>
  <c r="D22" i="20"/>
  <c r="D47" i="20" s="1"/>
  <c r="E22" i="20"/>
  <c r="E47" i="20" s="1"/>
  <c r="F11" i="59"/>
  <c r="D113" i="50" l="1"/>
  <c r="E80" i="50"/>
  <c r="G20" i="54"/>
  <c r="G24" i="54" s="1"/>
  <c r="G39" i="54" s="1"/>
  <c r="G43" i="54" s="1"/>
  <c r="G45" i="54" s="1"/>
  <c r="G47" i="54" s="1"/>
  <c r="E58" i="50"/>
  <c r="F26" i="59"/>
  <c r="J38" i="2"/>
  <c r="J34" i="2"/>
  <c r="I34" i="61" s="1"/>
  <c r="E103" i="50"/>
  <c r="E26" i="59"/>
  <c r="E126" i="50"/>
  <c r="I38" i="2"/>
  <c r="I34" i="2"/>
  <c r="H34" i="61" s="1"/>
  <c r="J37" i="42"/>
  <c r="I16" i="2"/>
  <c r="I11" i="2" s="1"/>
  <c r="E157" i="50"/>
  <c r="E160" i="50" s="1"/>
  <c r="C160" i="50"/>
  <c r="C162" i="50" s="1"/>
  <c r="I26" i="59"/>
  <c r="I34" i="59"/>
  <c r="I19" i="59"/>
  <c r="I32" i="59" s="1"/>
  <c r="H17" i="61"/>
  <c r="I77" i="2"/>
  <c r="H31" i="61" s="1"/>
  <c r="I101" i="2"/>
  <c r="H19" i="20"/>
  <c r="H24" i="20" s="1"/>
  <c r="H26" i="20"/>
  <c r="H44" i="20"/>
  <c r="H41" i="20"/>
  <c r="D20" i="54"/>
  <c r="D24" i="54" s="1"/>
  <c r="D39" i="54" s="1"/>
  <c r="D43" i="54" s="1"/>
  <c r="D45" i="54" s="1"/>
  <c r="D47" i="54" s="1"/>
  <c r="E16" i="2"/>
  <c r="E11" i="2" s="1"/>
  <c r="F37" i="42"/>
  <c r="E15" i="58" s="1"/>
  <c r="E40" i="50"/>
  <c r="E43" i="50" s="1"/>
  <c r="E47" i="50" s="1"/>
  <c r="D43" i="50"/>
  <c r="D45" i="50" s="1"/>
  <c r="C47" i="50" s="1"/>
  <c r="C65" i="50"/>
  <c r="C67" i="50" s="1"/>
  <c r="E62" i="50"/>
  <c r="E65" i="50" s="1"/>
  <c r="D26" i="20"/>
  <c r="D19" i="20"/>
  <c r="D24" i="20" s="1"/>
  <c r="D44" i="20"/>
  <c r="D41" i="20"/>
  <c r="E101" i="2"/>
  <c r="D17" i="61"/>
  <c r="E19" i="59"/>
  <c r="E32" i="59" s="1"/>
  <c r="I37" i="42"/>
  <c r="H16" i="2"/>
  <c r="H11" i="2" s="1"/>
  <c r="E131" i="50"/>
  <c r="E134" i="50" s="1"/>
  <c r="C134" i="50"/>
  <c r="C136" i="50" s="1"/>
  <c r="H26" i="59"/>
  <c r="H34" i="59"/>
  <c r="H19" i="59"/>
  <c r="H32" i="59" s="1"/>
  <c r="H77" i="2"/>
  <c r="G31" i="61" s="1"/>
  <c r="H101" i="2"/>
  <c r="G17" i="61"/>
  <c r="G19" i="20"/>
  <c r="G24" i="20" s="1"/>
  <c r="G26" i="20"/>
  <c r="G41" i="20"/>
  <c r="G44" i="20"/>
  <c r="K37" i="42"/>
  <c r="J16" i="2"/>
  <c r="J11" i="2" s="1"/>
  <c r="I29" i="61" s="1"/>
  <c r="J26" i="59"/>
  <c r="J34" i="59"/>
  <c r="J19" i="59"/>
  <c r="J32" i="59" s="1"/>
  <c r="J101" i="2"/>
  <c r="I17" i="61"/>
  <c r="I19" i="20"/>
  <c r="I24" i="20" s="1"/>
  <c r="I26" i="20"/>
  <c r="I41" i="20"/>
  <c r="I44" i="20"/>
  <c r="E44" i="20"/>
  <c r="E41" i="20"/>
  <c r="E26" i="20"/>
  <c r="E19" i="20"/>
  <c r="E24" i="20" s="1"/>
  <c r="E28" i="20" s="1"/>
  <c r="E25" i="61" s="1"/>
  <c r="E17" i="61"/>
  <c r="F101" i="2"/>
  <c r="F19" i="59"/>
  <c r="F32" i="59" s="1"/>
  <c r="E20" i="54"/>
  <c r="E24" i="54" s="1"/>
  <c r="E39" i="54" s="1"/>
  <c r="E43" i="54" s="1"/>
  <c r="E45" i="54" s="1"/>
  <c r="E47" i="54" s="1"/>
  <c r="C88" i="50"/>
  <c r="C90" i="50" s="1"/>
  <c r="E85" i="50"/>
  <c r="E88" i="50" s="1"/>
  <c r="F16" i="2"/>
  <c r="F11" i="2" s="1"/>
  <c r="G37" i="42"/>
  <c r="F15" i="58" s="1"/>
  <c r="F26" i="20"/>
  <c r="F19" i="20"/>
  <c r="F24" i="20" s="1"/>
  <c r="F28" i="20" s="1"/>
  <c r="F25" i="61" s="1"/>
  <c r="F41" i="20"/>
  <c r="F44" i="20"/>
  <c r="G34" i="59"/>
  <c r="G26" i="59"/>
  <c r="F17" i="61"/>
  <c r="G101" i="2"/>
  <c r="G19" i="59"/>
  <c r="G32" i="59" s="1"/>
  <c r="F20" i="54"/>
  <c r="F24" i="54" s="1"/>
  <c r="F39" i="54" s="1"/>
  <c r="F43" i="54" s="1"/>
  <c r="F45" i="54" s="1"/>
  <c r="F47" i="54" s="1"/>
  <c r="G16" i="2"/>
  <c r="G11" i="2" s="1"/>
  <c r="H37" i="42"/>
  <c r="G15" i="58" s="1"/>
  <c r="E108" i="50"/>
  <c r="E111" i="50" s="1"/>
  <c r="C111" i="50"/>
  <c r="C113" i="50" s="1"/>
  <c r="C115" i="50" s="1"/>
  <c r="I20" i="54"/>
  <c r="I24" i="54" s="1"/>
  <c r="I39" i="54" s="1"/>
  <c r="I43" i="54" s="1"/>
  <c r="I45" i="54" s="1"/>
  <c r="I47" i="54" s="1"/>
  <c r="E152" i="50"/>
  <c r="D162" i="50"/>
  <c r="D136" i="50"/>
  <c r="D67" i="50"/>
  <c r="D90" i="50"/>
  <c r="H20" i="54"/>
  <c r="H24" i="54" s="1"/>
  <c r="H39" i="54" s="1"/>
  <c r="H43" i="54" s="1"/>
  <c r="H45" i="54" s="1"/>
  <c r="H47" i="54" s="1"/>
  <c r="E38" i="2"/>
  <c r="E34" i="2"/>
  <c r="D34" i="61" s="1"/>
  <c r="H38" i="2"/>
  <c r="H34" i="2"/>
  <c r="G34" i="61" s="1"/>
  <c r="F34" i="2"/>
  <c r="E34" i="61" s="1"/>
  <c r="F38" i="2"/>
  <c r="G34" i="2"/>
  <c r="F34" i="61" s="1"/>
  <c r="G38" i="2"/>
  <c r="E92" i="50" l="1"/>
  <c r="E69" i="50"/>
  <c r="I28" i="20"/>
  <c r="I25" i="61" s="1"/>
  <c r="C69" i="50"/>
  <c r="E138" i="50"/>
  <c r="E115" i="50"/>
  <c r="E164" i="50"/>
  <c r="C164" i="50"/>
  <c r="J41" i="42"/>
  <c r="H8" i="40"/>
  <c r="H15" i="40" s="1"/>
  <c r="H28" i="40" s="1"/>
  <c r="H31" i="40" s="1"/>
  <c r="H34" i="40" s="1"/>
  <c r="H35" i="40" s="1"/>
  <c r="I17" i="59"/>
  <c r="I30" i="59" s="1"/>
  <c r="H9" i="35"/>
  <c r="I119" i="2"/>
  <c r="I117" i="2" s="1"/>
  <c r="I15" i="58"/>
  <c r="H29" i="61"/>
  <c r="AK21" i="1"/>
  <c r="H51" i="20"/>
  <c r="H49" i="20"/>
  <c r="H53" i="20" s="1"/>
  <c r="H26" i="61" s="1"/>
  <c r="AG21" i="1"/>
  <c r="D29" i="61"/>
  <c r="E119" i="2"/>
  <c r="E117" i="2" s="1"/>
  <c r="D8" i="40"/>
  <c r="D15" i="40" s="1"/>
  <c r="D28" i="40" s="1"/>
  <c r="D31" i="40" s="1"/>
  <c r="D34" i="40" s="1"/>
  <c r="D35" i="40" s="1"/>
  <c r="E17" i="59"/>
  <c r="E30" i="59" s="1"/>
  <c r="D9" i="35"/>
  <c r="F41" i="42"/>
  <c r="E30" i="58" s="1"/>
  <c r="E43" i="58" s="1"/>
  <c r="D51" i="20"/>
  <c r="D49" i="20"/>
  <c r="D53" i="20" s="1"/>
  <c r="D26" i="61" s="1"/>
  <c r="I41" i="42"/>
  <c r="G8" i="40"/>
  <c r="G15" i="40" s="1"/>
  <c r="G28" i="40" s="1"/>
  <c r="G31" i="40" s="1"/>
  <c r="G34" i="40" s="1"/>
  <c r="G35" i="40" s="1"/>
  <c r="H17" i="59"/>
  <c r="H30" i="59" s="1"/>
  <c r="G9" i="35"/>
  <c r="H119" i="2"/>
  <c r="H117" i="2" s="1"/>
  <c r="H15" i="58"/>
  <c r="G29" i="61"/>
  <c r="AJ21" i="1"/>
  <c r="G49" i="20"/>
  <c r="G51" i="20"/>
  <c r="K41" i="42"/>
  <c r="I8" i="40"/>
  <c r="I15" i="40" s="1"/>
  <c r="I28" i="40" s="1"/>
  <c r="I31" i="40" s="1"/>
  <c r="I34" i="40" s="1"/>
  <c r="I35" i="40" s="1"/>
  <c r="J17" i="59"/>
  <c r="J30" i="59" s="1"/>
  <c r="J119" i="2"/>
  <c r="J117" i="2" s="1"/>
  <c r="I9" i="35"/>
  <c r="J15" i="58"/>
  <c r="I49" i="20"/>
  <c r="I51" i="20"/>
  <c r="E51" i="20"/>
  <c r="E49" i="20"/>
  <c r="E53" i="20" s="1"/>
  <c r="E26" i="61" s="1"/>
  <c r="AH21" i="1"/>
  <c r="E29" i="61"/>
  <c r="E8" i="40"/>
  <c r="E15" i="40" s="1"/>
  <c r="E28" i="40" s="1"/>
  <c r="E31" i="40" s="1"/>
  <c r="E34" i="40" s="1"/>
  <c r="E35" i="40" s="1"/>
  <c r="E9" i="35"/>
  <c r="G41" i="42"/>
  <c r="F30" i="58" s="1"/>
  <c r="F43" i="58" s="1"/>
  <c r="F17" i="59"/>
  <c r="F30" i="59" s="1"/>
  <c r="F119" i="2"/>
  <c r="F117" i="2" s="1"/>
  <c r="F49" i="20"/>
  <c r="F51" i="20"/>
  <c r="F29" i="61"/>
  <c r="AI21" i="1"/>
  <c r="F9" i="35"/>
  <c r="F8" i="40"/>
  <c r="F15" i="40" s="1"/>
  <c r="F28" i="40" s="1"/>
  <c r="F31" i="40" s="1"/>
  <c r="F34" i="40" s="1"/>
  <c r="F35" i="40" s="1"/>
  <c r="H41" i="42"/>
  <c r="G30" i="58" s="1"/>
  <c r="G43" i="58" s="1"/>
  <c r="G119" i="2"/>
  <c r="G117" i="2" s="1"/>
  <c r="G17" i="59"/>
  <c r="G30" i="59" s="1"/>
  <c r="H28" i="20"/>
  <c r="H25" i="61" s="1"/>
  <c r="D28" i="20"/>
  <c r="D25" i="61" s="1"/>
  <c r="G28" i="20"/>
  <c r="G25" i="61" s="1"/>
  <c r="C138" i="50"/>
  <c r="C92" i="50"/>
  <c r="F53" i="20" l="1"/>
  <c r="F26" i="61" s="1"/>
  <c r="I85" i="2"/>
  <c r="I15" i="59"/>
  <c r="I28" i="59" s="1"/>
  <c r="I37" i="59" s="1"/>
  <c r="I54" i="2"/>
  <c r="H33" i="61" s="1"/>
  <c r="H15" i="61"/>
  <c r="I109" i="2"/>
  <c r="I30" i="58"/>
  <c r="I43" i="58" s="1"/>
  <c r="H37" i="40"/>
  <c r="H38" i="35" s="1"/>
  <c r="H41" i="35" s="1"/>
  <c r="H36" i="40"/>
  <c r="H19" i="35" s="1"/>
  <c r="H22" i="35" s="1"/>
  <c r="D36" i="40"/>
  <c r="D19" i="35" s="1"/>
  <c r="D22" i="35" s="1"/>
  <c r="D37" i="40"/>
  <c r="D38" i="35" s="1"/>
  <c r="D41" i="35" s="1"/>
  <c r="E85" i="2"/>
  <c r="E109" i="2"/>
  <c r="E54" i="2"/>
  <c r="D33" i="61" s="1"/>
  <c r="E15" i="59"/>
  <c r="E28" i="59" s="1"/>
  <c r="E37" i="59" s="1"/>
  <c r="D15" i="61"/>
  <c r="H15" i="59"/>
  <c r="H28" i="59" s="1"/>
  <c r="H37" i="59" s="1"/>
  <c r="H54" i="2"/>
  <c r="G33" i="61" s="1"/>
  <c r="H109" i="2"/>
  <c r="G15" i="61"/>
  <c r="H85" i="2"/>
  <c r="H30" i="58"/>
  <c r="H43" i="58" s="1"/>
  <c r="G37" i="40"/>
  <c r="G38" i="35" s="1"/>
  <c r="G41" i="35" s="1"/>
  <c r="G36" i="40"/>
  <c r="G19" i="35" s="1"/>
  <c r="G22" i="35" s="1"/>
  <c r="J15" i="59"/>
  <c r="J28" i="59" s="1"/>
  <c r="J37" i="59" s="1"/>
  <c r="J54" i="2"/>
  <c r="I33" i="61" s="1"/>
  <c r="J109" i="2"/>
  <c r="I15" i="61"/>
  <c r="J85" i="2"/>
  <c r="J30" i="58"/>
  <c r="J43" i="58" s="1"/>
  <c r="I37" i="40"/>
  <c r="I38" i="35" s="1"/>
  <c r="I41" i="35" s="1"/>
  <c r="I36" i="40"/>
  <c r="I19" i="35" s="1"/>
  <c r="I22" i="35" s="1"/>
  <c r="E36" i="40"/>
  <c r="E19" i="35" s="1"/>
  <c r="E22" i="35" s="1"/>
  <c r="E37" i="40"/>
  <c r="E38" i="35" s="1"/>
  <c r="E41" i="35" s="1"/>
  <c r="F15" i="59"/>
  <c r="F28" i="59" s="1"/>
  <c r="F37" i="59" s="1"/>
  <c r="E15" i="61"/>
  <c r="F109" i="2"/>
  <c r="F85" i="2"/>
  <c r="F54" i="2"/>
  <c r="E33" i="61" s="1"/>
  <c r="F36" i="40"/>
  <c r="F19" i="35" s="1"/>
  <c r="F22" i="35" s="1"/>
  <c r="F37" i="40"/>
  <c r="F38" i="35" s="1"/>
  <c r="F41" i="35" s="1"/>
  <c r="G85" i="2"/>
  <c r="G109" i="2"/>
  <c r="G54" i="2"/>
  <c r="F33" i="61" s="1"/>
  <c r="G15" i="59"/>
  <c r="G28" i="59" s="1"/>
  <c r="G37" i="59" s="1"/>
  <c r="F15" i="61"/>
  <c r="G53" i="20"/>
  <c r="G26" i="61" s="1"/>
  <c r="I53" i="20"/>
  <c r="I26" i="61" s="1"/>
  <c r="G45" i="35" l="1"/>
  <c r="H45" i="35"/>
  <c r="I45" i="35"/>
  <c r="G29" i="34" s="1"/>
  <c r="E45" i="35"/>
  <c r="F45" i="35"/>
  <c r="D45" i="35"/>
  <c r="G23" i="48" l="1"/>
  <c r="F16" i="57"/>
  <c r="G16" i="57" s="1"/>
  <c r="G27" i="47"/>
  <c r="G17" i="49"/>
  <c r="G25" i="47"/>
  <c r="G22" i="61"/>
  <c r="G25" i="34"/>
  <c r="G16" i="49"/>
  <c r="G27" i="34"/>
  <c r="G27" i="46"/>
  <c r="F17" i="57"/>
  <c r="G17" i="57" s="1"/>
  <c r="H51" i="35"/>
  <c r="H52" i="35" s="1"/>
  <c r="G25" i="48"/>
  <c r="H22" i="61"/>
  <c r="G51" i="35"/>
  <c r="G52" i="35" s="1"/>
  <c r="G25" i="46"/>
  <c r="I22" i="61"/>
  <c r="G18" i="49"/>
  <c r="I51" i="35"/>
  <c r="I52" i="35" s="1"/>
  <c r="G29" i="46"/>
  <c r="G27" i="48"/>
  <c r="G29" i="47"/>
  <c r="F18" i="57"/>
  <c r="G18" i="57" s="1"/>
  <c r="G14" i="49"/>
  <c r="G21" i="34"/>
  <c r="F14" i="57"/>
  <c r="G14" i="57" s="1"/>
  <c r="G19" i="48"/>
  <c r="E22" i="61"/>
  <c r="G21" i="47"/>
  <c r="G21" i="46"/>
  <c r="E51" i="35"/>
  <c r="E52" i="35" s="1"/>
  <c r="F22" i="61"/>
  <c r="F15" i="57"/>
  <c r="G15" i="57" s="1"/>
  <c r="G23" i="46"/>
  <c r="G15" i="49"/>
  <c r="G23" i="34"/>
  <c r="G21" i="48"/>
  <c r="G23" i="47"/>
  <c r="F51" i="35"/>
  <c r="F52" i="35" s="1"/>
  <c r="D22" i="61"/>
  <c r="G19" i="47"/>
  <c r="G19" i="46"/>
  <c r="F13" i="57"/>
  <c r="G13" i="57" s="1"/>
  <c r="H13" i="57" s="1"/>
  <c r="G13" i="49"/>
  <c r="H13" i="49" s="1"/>
  <c r="G19" i="34"/>
  <c r="G17" i="48"/>
  <c r="D51" i="35"/>
  <c r="D52" i="35" s="1"/>
  <c r="G31" i="47" l="1"/>
  <c r="F34" i="47" s="1"/>
  <c r="G29" i="48"/>
  <c r="G33" i="48" s="1"/>
  <c r="H20" i="57" a="1"/>
  <c r="H20" i="57" s="1"/>
  <c r="H14" i="57"/>
  <c r="H15" i="57" s="1"/>
  <c r="H16" i="57" s="1"/>
  <c r="H17" i="57" s="1"/>
  <c r="H18" i="57" s="1"/>
  <c r="H14" i="49"/>
  <c r="H15" i="49" s="1"/>
  <c r="H16" i="49" s="1"/>
  <c r="H17" i="49" s="1"/>
  <c r="H18" i="49" s="1"/>
  <c r="H20" i="49" s="1" a="1"/>
  <c r="H20" i="49" s="1"/>
  <c r="G31" i="46"/>
  <c r="G31" i="34"/>
</calcChain>
</file>

<file path=xl/sharedStrings.xml><?xml version="1.0" encoding="utf-8"?>
<sst xmlns="http://schemas.openxmlformats.org/spreadsheetml/2006/main" count="1591" uniqueCount="941">
  <si>
    <t>PARTICULARS</t>
  </si>
  <si>
    <t>Opening Stock</t>
  </si>
  <si>
    <t>Closing Stock</t>
  </si>
  <si>
    <t>Interest</t>
  </si>
  <si>
    <t>SOURCES OF FUNDS:</t>
  </si>
  <si>
    <t>APPLICATION OF FUNDS:</t>
  </si>
  <si>
    <t>BALANCE SHEET AS ON</t>
  </si>
  <si>
    <t xml:space="preserve">* No. of  Days  Assumed  as </t>
  </si>
  <si>
    <t>(No of days/debtor turnover ratio)</t>
  </si>
  <si>
    <t>collection.</t>
  </si>
  <si>
    <t>Credit sales / Average debtors</t>
  </si>
  <si>
    <t>*Sales assumed as credit sales</t>
  </si>
  <si>
    <t>RATIO ANALYSIS</t>
  </si>
  <si>
    <t>Netprofit / Sales * 100</t>
  </si>
  <si>
    <t>Particulars</t>
  </si>
  <si>
    <t>PAT / Average total assets</t>
  </si>
  <si>
    <t>Partiiculars</t>
  </si>
  <si>
    <t>Capital / Total Assets</t>
  </si>
  <si>
    <t>Fixed Assets / Long Term Funds</t>
  </si>
  <si>
    <t>PAT / (Capital+Long Term loan)</t>
  </si>
  <si>
    <t>Less: Interest</t>
  </si>
  <si>
    <t>EBI</t>
  </si>
  <si>
    <t>E B I   / Interest</t>
  </si>
  <si>
    <t>Sch 1</t>
  </si>
  <si>
    <t>Schedule 2  - Interest Statement</t>
  </si>
  <si>
    <t>Sch 2</t>
  </si>
  <si>
    <t>Turnover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</si>
  <si>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</si>
  <si>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</si>
  <si>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</si>
  <si>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</si>
  <si>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</si>
  <si>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</si>
  <si>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</si>
  <si>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</si>
  <si>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</si>
  <si>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</si>
  <si>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</si>
  <si>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</si>
  <si>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Total</t>
  </si>
  <si>
    <t>EMI</t>
  </si>
  <si>
    <t>Name of the Guarantor</t>
  </si>
  <si>
    <t>V.Yesodamma</t>
  </si>
  <si>
    <t>J.Malleswari</t>
  </si>
  <si>
    <t>D.Ammulu</t>
  </si>
  <si>
    <t>K.Sunil Kumar</t>
  </si>
  <si>
    <t>H Ganganna</t>
  </si>
  <si>
    <t>D.R.Jayasheela</t>
  </si>
  <si>
    <t>Y.Lakshmi Kanthamma</t>
  </si>
  <si>
    <t>Fathers/Husbands Name</t>
  </si>
  <si>
    <t>S/o. Y Raja reddy</t>
  </si>
  <si>
    <t>S/o.K.Sudheer</t>
  </si>
  <si>
    <t>Plot No.401, SV Pride</t>
  </si>
  <si>
    <t>W/O.K.Sunil Kumar</t>
  </si>
  <si>
    <t>W/o.Namdev</t>
  </si>
  <si>
    <t>22-69/4-1</t>
  </si>
  <si>
    <t>W/o.Y.Raja Reddy</t>
  </si>
  <si>
    <t>Flat No.301, MIGH - 5</t>
  </si>
  <si>
    <t>E-136, RTPP, Kalamalla colony,</t>
  </si>
  <si>
    <t>Plot No.72, LF Nagar</t>
  </si>
  <si>
    <t>Birla Compound,</t>
  </si>
  <si>
    <t>Flat No.72, LF Nagar</t>
  </si>
  <si>
    <t># 16-5-400</t>
  </si>
  <si>
    <t>Op.KVR college</t>
  </si>
  <si>
    <t>Udaynagar Colony</t>
  </si>
  <si>
    <t xml:space="preserve">RTPP, kalamalla, </t>
  </si>
  <si>
    <t>Tirupati Rural</t>
  </si>
  <si>
    <t>Kurnool</t>
  </si>
  <si>
    <t>Kasturibai Lane</t>
  </si>
  <si>
    <t>Nandigama</t>
  </si>
  <si>
    <t>BK Guda</t>
  </si>
  <si>
    <t xml:space="preserve">Yerraguntla Mandal, </t>
  </si>
  <si>
    <t>Chittoor Dt - 517502</t>
  </si>
  <si>
    <t>Kurnool Dt.</t>
  </si>
  <si>
    <t>Tirupati - 517501</t>
  </si>
  <si>
    <t>Krishna Dt.</t>
  </si>
  <si>
    <t>Hydarabad - 500038</t>
  </si>
  <si>
    <t>Kadapa Dt.(A.P.)</t>
  </si>
  <si>
    <t>Date of Birth</t>
  </si>
  <si>
    <t>60Years</t>
  </si>
  <si>
    <t>Gender</t>
  </si>
  <si>
    <t>Male</t>
  </si>
  <si>
    <t>Female</t>
  </si>
  <si>
    <t>Marital Status</t>
  </si>
  <si>
    <t>Married</t>
  </si>
  <si>
    <t>Educational Qualifications</t>
  </si>
  <si>
    <t>B.Tech</t>
  </si>
  <si>
    <t>Diploma</t>
  </si>
  <si>
    <t>B.Tech, MBA</t>
  </si>
  <si>
    <t>MA, B.Ed</t>
  </si>
  <si>
    <t>SSC</t>
  </si>
  <si>
    <t>-----</t>
  </si>
  <si>
    <t>M.Tech, MBA</t>
  </si>
  <si>
    <t>Occupations</t>
  </si>
  <si>
    <t xml:space="preserve">Employee, RTPP, </t>
  </si>
  <si>
    <t xml:space="preserve">Employee </t>
  </si>
  <si>
    <t>Employee ADE, APTRANSCO</t>
  </si>
  <si>
    <t>School Asst.</t>
  </si>
  <si>
    <t>House Wife</t>
  </si>
  <si>
    <t>Employee (BSNL)</t>
  </si>
  <si>
    <t>PAN</t>
  </si>
  <si>
    <t>AAYPY9926D</t>
  </si>
  <si>
    <t>AKWPK4001H</t>
  </si>
  <si>
    <t>ABFPH8341H</t>
  </si>
  <si>
    <t>AJGPJ3825P</t>
  </si>
  <si>
    <t>ARRPJ7908G</t>
  </si>
  <si>
    <t>AGHPA6225C</t>
  </si>
  <si>
    <t>Pass Port No</t>
  </si>
  <si>
    <t>J8977476</t>
  </si>
  <si>
    <t>Voter Card No.</t>
  </si>
  <si>
    <t>RGS0012344</t>
  </si>
  <si>
    <t>AYM0026039</t>
  </si>
  <si>
    <t>AYM0047175</t>
  </si>
  <si>
    <t>Annual Income</t>
  </si>
  <si>
    <t>Net worth (Rs.in lakhs)</t>
  </si>
  <si>
    <t xml:space="preserve"> 1. Total current assets</t>
  </si>
  <si>
    <t xml:space="preserve"> 2. Other  current liabilities</t>
  </si>
  <si>
    <t xml:space="preserve"> 3. Working capital gap</t>
  </si>
  <si>
    <t xml:space="preserve"> 5. Actual/projected net working capital</t>
  </si>
  <si>
    <t xml:space="preserve"> 6.Item 3 minus item 4</t>
  </si>
  <si>
    <t xml:space="preserve"> 7.Item 3 minus item 5</t>
  </si>
  <si>
    <t xml:space="preserve"> 8. Maximum permissible bank</t>
  </si>
  <si>
    <t xml:space="preserve">    finance(lower of 6 or 7 )</t>
  </si>
  <si>
    <t>WDVat the end of 4th Year</t>
  </si>
  <si>
    <t>CALCULATION OF DEPRECIATION AS PER INCOME TAX  ACT</t>
  </si>
  <si>
    <t>DSCR  ( A / B )</t>
  </si>
  <si>
    <t>Average DSCR</t>
  </si>
  <si>
    <t xml:space="preserve">  Interest and Installment</t>
  </si>
  <si>
    <t xml:space="preserve"> A .Earnings Before Interest ,Depreciation</t>
  </si>
  <si>
    <t xml:space="preserve"> B .Interest and Installment</t>
  </si>
  <si>
    <t xml:space="preserve">    Total Interest (CC &amp; TL) </t>
  </si>
  <si>
    <t xml:space="preserve">    Installment</t>
  </si>
  <si>
    <t>EBIT</t>
  </si>
  <si>
    <t>EBDIT</t>
  </si>
  <si>
    <t>Less : Depreciation</t>
  </si>
  <si>
    <t>CALCULATION OF B.E.P.</t>
  </si>
  <si>
    <t xml:space="preserve">Sales </t>
  </si>
  <si>
    <t>Variable Exp</t>
  </si>
  <si>
    <t xml:space="preserve">     Materials</t>
  </si>
  <si>
    <t xml:space="preserve">     Power &amp; Fuel</t>
  </si>
  <si>
    <t xml:space="preserve">     Direct Labour</t>
  </si>
  <si>
    <t>Tota Variable Exp.</t>
  </si>
  <si>
    <t>Contribution</t>
  </si>
  <si>
    <t>Fixed Expenses</t>
  </si>
  <si>
    <t xml:space="preserve">     Interest</t>
  </si>
  <si>
    <t xml:space="preserve">     Depreciation</t>
  </si>
  <si>
    <t xml:space="preserve">     Administrative Exp.</t>
  </si>
  <si>
    <t>Total Fixed Exp.</t>
  </si>
  <si>
    <t>BEP Sales</t>
  </si>
  <si>
    <t>Sales at 100% Operating Level</t>
  </si>
  <si>
    <t xml:space="preserve">BEP </t>
  </si>
  <si>
    <t>P/V ratio</t>
  </si>
  <si>
    <t>Amount</t>
  </si>
  <si>
    <t>EMI STATEMENT</t>
  </si>
  <si>
    <t>LOAN AMOUNT</t>
  </si>
  <si>
    <t>RATE OF INTEREST PER ANNUM</t>
  </si>
  <si>
    <t>RATE OF INTEREST PER MONTH</t>
  </si>
  <si>
    <t>CALCULATION OF DETAILS OF EMI</t>
  </si>
  <si>
    <t>MONTHS</t>
  </si>
  <si>
    <t>INTEREST</t>
  </si>
  <si>
    <t>PRINCIPAL REPAYMENT</t>
  </si>
  <si>
    <t>Present Value Annuity Factor Table</t>
  </si>
  <si>
    <t>ANNUITY</t>
  </si>
  <si>
    <t>Repayment Schedule - Proposed Term Loan</t>
  </si>
  <si>
    <t>12 m</t>
  </si>
  <si>
    <t>24 M</t>
  </si>
  <si>
    <t>36 M</t>
  </si>
  <si>
    <t>48 m</t>
  </si>
  <si>
    <t xml:space="preserve">PARTICULARS OF GUARANTOR/S </t>
  </si>
  <si>
    <t>Relationship with Applicant</t>
  </si>
  <si>
    <t>Yeddula Vijaya Bhaskar</t>
  </si>
  <si>
    <t>CALCULATION OF MAXIMUM PERMISSIBLE BANK FINANCE</t>
  </si>
  <si>
    <t xml:space="preserve"> 4. Min. stipulated Networking capital</t>
  </si>
  <si>
    <t xml:space="preserve">    (25% of WCG excluding export</t>
  </si>
  <si>
    <t xml:space="preserve">     receivables)</t>
  </si>
  <si>
    <r>
      <t>NOTES :</t>
    </r>
    <r>
      <rPr>
        <sz val="10"/>
        <rFont val="Trebuchet MS"/>
        <family val="2"/>
      </rPr>
      <t xml:space="preserve"> Indicates overall Profitability of the Business.</t>
    </r>
  </si>
  <si>
    <r>
      <rPr>
        <b/>
        <sz val="10"/>
        <rFont val="Trebuchet MS"/>
        <family val="2"/>
      </rPr>
      <t>NOTES :</t>
    </r>
    <r>
      <rPr>
        <sz val="10"/>
        <rFont val="Trebuchet MS"/>
        <family val="2"/>
      </rPr>
      <t xml:space="preserve"> Indicates Extent of own funds used in business.</t>
    </r>
  </si>
  <si>
    <r>
      <rPr>
        <b/>
        <sz val="10"/>
        <rFont val="Trebuchet MS"/>
        <family val="2"/>
      </rPr>
      <t>NOTES</t>
    </r>
    <r>
      <rPr>
        <sz val="10"/>
        <rFont val="Trebuchet MS"/>
        <family val="2"/>
      </rPr>
      <t xml:space="preserve"> : Shows proportion of Fixed Assets Financed by Long Term funds .</t>
    </r>
  </si>
  <si>
    <r>
      <rPr>
        <b/>
        <sz val="10"/>
        <rFont val="Trebuchet MS"/>
        <family val="2"/>
      </rPr>
      <t xml:space="preserve">NOTES </t>
    </r>
    <r>
      <rPr>
        <sz val="10"/>
        <rFont val="Trebuchet MS"/>
        <family val="2"/>
      </rPr>
      <t>: Shows extent of Owners funds utilised in financing assets .</t>
    </r>
  </si>
  <si>
    <r>
      <rPr>
        <b/>
        <sz val="10"/>
        <rFont val="Trebuchet MS"/>
        <family val="2"/>
      </rPr>
      <t>NOTE</t>
    </r>
    <r>
      <rPr>
        <sz val="10"/>
        <rFont val="Trebuchet MS"/>
        <family val="2"/>
      </rPr>
      <t xml:space="preserve"> : Indicates Net Income on Average Assets .</t>
    </r>
  </si>
  <si>
    <r>
      <rPr>
        <b/>
        <sz val="10"/>
        <rFont val="Trebuchet MS"/>
        <family val="2"/>
      </rPr>
      <t>NOTE :</t>
    </r>
    <r>
      <rPr>
        <sz val="10"/>
        <rFont val="Trebuchet MS"/>
        <family val="2"/>
      </rPr>
      <t xml:space="preserve"> Indicates overall profitability of Business for capital employed .</t>
    </r>
  </si>
  <si>
    <r>
      <t xml:space="preserve">  </t>
    </r>
    <r>
      <rPr>
        <u/>
        <sz val="10"/>
        <rFont val="Trebuchet MS"/>
        <family val="2"/>
      </rPr>
      <t>Earnings before Interest,Depreciation</t>
    </r>
    <r>
      <rPr>
        <sz val="10"/>
        <rFont val="Trebuchet MS"/>
        <family val="2"/>
      </rPr>
      <t xml:space="preserve"> </t>
    </r>
  </si>
  <si>
    <r>
      <rPr>
        <b/>
        <sz val="10"/>
        <rFont val="Trebuchet MS"/>
        <family val="2"/>
      </rPr>
      <t>NOTE :</t>
    </r>
    <r>
      <rPr>
        <sz val="10"/>
        <rFont val="Trebuchet MS"/>
        <family val="2"/>
      </rPr>
      <t xml:space="preserve"> Indicates extent of current Earnings Available for meeting commitments towards interest and  Instalment .</t>
    </r>
  </si>
  <si>
    <r>
      <rPr>
        <b/>
        <sz val="10"/>
        <rFont val="Trebuchet MS"/>
        <family val="2"/>
      </rPr>
      <t>NOTE :</t>
    </r>
    <r>
      <rPr>
        <sz val="10"/>
        <rFont val="Trebuchet MS"/>
        <family val="2"/>
      </rPr>
      <t xml:space="preserve"> Indicates ability to meet Interest Obligation of the current year .</t>
    </r>
  </si>
  <si>
    <t>A . DEBT SERVICE COVERAGE RATIO</t>
  </si>
  <si>
    <r>
      <rPr>
        <b/>
        <sz val="10"/>
        <color indexed="8"/>
        <rFont val="Trebuchet MS"/>
        <family val="2"/>
      </rPr>
      <t xml:space="preserve">NOTES : </t>
    </r>
    <r>
      <rPr>
        <sz val="10"/>
        <color indexed="8"/>
        <rFont val="Trebuchet MS"/>
        <family val="2"/>
      </rPr>
      <t xml:space="preserve">It indicates velocity of debt collection. Higer the DTR indicates good vellocity of debt </t>
    </r>
  </si>
  <si>
    <t>DEBTORS COLLECTION PERIOD :</t>
  </si>
  <si>
    <t>Cash and Cash Equivalents</t>
  </si>
  <si>
    <t>Term Loan</t>
  </si>
  <si>
    <t xml:space="preserve">Repayment Schedule - Term Loan </t>
  </si>
  <si>
    <t>OUTSTANDING PRINCIPAL</t>
  </si>
  <si>
    <t>TERM LOANS :</t>
  </si>
  <si>
    <t>PROJECT COST AND MEANS OF FINANCE</t>
  </si>
  <si>
    <t>A. COST OF THE PROJECT</t>
  </si>
  <si>
    <t>B. MEANS OF FINANCE</t>
  </si>
  <si>
    <t>Equity Capital</t>
  </si>
  <si>
    <t>Granuels</t>
  </si>
  <si>
    <t>Sales</t>
  </si>
  <si>
    <t>Year</t>
  </si>
  <si>
    <t>Granuels Price</t>
  </si>
  <si>
    <t>LD Covers Price</t>
  </si>
  <si>
    <t>Utilised Capacity</t>
  </si>
  <si>
    <t>1600 Kgs Per Day*25 days*12 Months</t>
  </si>
  <si>
    <t>Out of Above</t>
  </si>
  <si>
    <t>Full Production in Kgs</t>
  </si>
  <si>
    <t xml:space="preserve">LD Covers  </t>
  </si>
  <si>
    <t>Output</t>
  </si>
  <si>
    <t>2019-20</t>
  </si>
  <si>
    <t>Purchases</t>
  </si>
  <si>
    <t>Waste Paper</t>
  </si>
  <si>
    <t>Over heads</t>
  </si>
  <si>
    <t>Closing Stock 10% of</t>
  </si>
  <si>
    <t>purchases</t>
  </si>
  <si>
    <t>STATEMENT SHOWING CALCULATION OF SALES,PRODUCTION AND CLOSING STOCK</t>
  </si>
  <si>
    <t xml:space="preserve">Granuels 85% </t>
  </si>
  <si>
    <t>LD Covers 15 %</t>
  </si>
  <si>
    <t>Rs in Lakhs</t>
  </si>
  <si>
    <t xml:space="preserve">    (25% of Current Assets)</t>
  </si>
  <si>
    <t>Rs in lacs</t>
  </si>
  <si>
    <t xml:space="preserve">Interest on Term Loan </t>
  </si>
  <si>
    <t>Sch</t>
  </si>
  <si>
    <t>CURRENT LIABILITIES :</t>
  </si>
  <si>
    <t>CURRENT ASSETS :</t>
  </si>
  <si>
    <t xml:space="preserve">CASH OUTFLOWS </t>
  </si>
  <si>
    <t xml:space="preserve"> </t>
  </si>
  <si>
    <t>Amount (Rs)</t>
  </si>
  <si>
    <t>Net Capital</t>
  </si>
  <si>
    <t>PROJECTED CASH FLOW STATEMENTS</t>
  </si>
  <si>
    <t>In flows:</t>
  </si>
  <si>
    <t>Increase in Depreciation</t>
  </si>
  <si>
    <t>Increase in Term Loan</t>
  </si>
  <si>
    <t>Increase In Capital</t>
  </si>
  <si>
    <t>Outflows:</t>
  </si>
  <si>
    <t>Increase in Capital expenditure</t>
  </si>
  <si>
    <t xml:space="preserve">Increase in Term Loan interest </t>
  </si>
  <si>
    <t xml:space="preserve">Decrease in Term Loan </t>
  </si>
  <si>
    <t>Opening balance of cash</t>
  </si>
  <si>
    <t>Closing balance of cash</t>
  </si>
  <si>
    <t>Profit before Bank Interest &amp; Tax but after depreciation</t>
  </si>
  <si>
    <t>Increase in Drawings</t>
  </si>
  <si>
    <t>Processing fees</t>
  </si>
  <si>
    <t>Gross Surplus during the year</t>
  </si>
  <si>
    <t>Net Surplus during the year</t>
  </si>
  <si>
    <t>months</t>
  </si>
  <si>
    <t>WORKING CAPITAL ASSESSMENT - TURNOVER METHOD</t>
  </si>
  <si>
    <t>(25% of Turnover)</t>
  </si>
  <si>
    <t>Minimum WC Limit</t>
  </si>
  <si>
    <t>(80%of WC Requirment)</t>
  </si>
  <si>
    <t>Drawing Power</t>
  </si>
  <si>
    <t>Maximum Bank CC Loan</t>
  </si>
  <si>
    <t>Notes :</t>
  </si>
  <si>
    <t>1. Maximum Working capital Limit Must not exceed Drawing power .</t>
  </si>
  <si>
    <t>2. Four Operating cycles per Annum is Assumed.</t>
  </si>
  <si>
    <t>Question</t>
  </si>
  <si>
    <t>Answer</t>
  </si>
  <si>
    <t>Adhar number(Optional)</t>
  </si>
  <si>
    <t xml:space="preserve">Gender </t>
  </si>
  <si>
    <t>Nature of Business</t>
  </si>
  <si>
    <t>Address of office/Factory</t>
  </si>
  <si>
    <t>Furniture and Fittings</t>
  </si>
  <si>
    <t>Animals</t>
  </si>
  <si>
    <t>Other Assets</t>
  </si>
  <si>
    <t>Capital Required(Own Funds)</t>
  </si>
  <si>
    <t>Eligible Term Loan amount</t>
  </si>
  <si>
    <t>Total Project cost</t>
  </si>
  <si>
    <t>Term Loan Tenure</t>
  </si>
  <si>
    <t>Moratorium period , if any (In months)</t>
  </si>
  <si>
    <t>OF</t>
  </si>
  <si>
    <t xml:space="preserve">                                    </t>
  </si>
  <si>
    <t>Line of  Activity :</t>
  </si>
  <si>
    <t>UNIT ADDRESS :</t>
  </si>
  <si>
    <t xml:space="preserve">                       </t>
  </si>
  <si>
    <t xml:space="preserve">                                                 </t>
  </si>
  <si>
    <t>REQUIREMENT:</t>
  </si>
  <si>
    <t>Lacs</t>
  </si>
  <si>
    <t>PREPARED BY</t>
  </si>
  <si>
    <t>PROJECT PROFILE AT A GLANCE</t>
  </si>
  <si>
    <t>Name of the proprietor</t>
  </si>
  <si>
    <t>:</t>
  </si>
  <si>
    <t>Address Unit</t>
  </si>
  <si>
    <t>Location of Unit</t>
  </si>
  <si>
    <t>Manufacturing / Service / Trading Concern</t>
  </si>
  <si>
    <t>Constitution</t>
  </si>
  <si>
    <t>Age of Proprietor</t>
  </si>
  <si>
    <t>Caste</t>
  </si>
  <si>
    <t>Pan No</t>
  </si>
  <si>
    <t>Adhar No</t>
  </si>
  <si>
    <t>Mobile No</t>
  </si>
  <si>
    <t>DISCLAIMER :</t>
  </si>
  <si>
    <t>The views expressed in this Project Report are advisory in nature. We assume no</t>
  </si>
  <si>
    <t>financial liability to anyone using the content for any purpose. All the materials</t>
  </si>
  <si>
    <t>and content contained in Project report is for educational purpose and reflect the</t>
  </si>
  <si>
    <t xml:space="preserve">views of the industry which are drawn from various research material sources from </t>
  </si>
  <si>
    <t>internet, experts, suppliers and various other sources. The actual cost of the</t>
  </si>
  <si>
    <t>project or industry will have to be taken on case to case basis considering</t>
  </si>
  <si>
    <t>specific requirement of the project, capacity and type of plant and other specific</t>
  </si>
  <si>
    <t>factors/cost directly related to the implementation of project. It is intended for</t>
  </si>
  <si>
    <t>general guidance only and must not be considered a substitute for a competent</t>
  </si>
  <si>
    <t>legal advice provided by a licensed industry professional. We hereby disclaims</t>
  </si>
  <si>
    <t>any and all liability to any party for any direct, indirect, implied, punitive, special,</t>
  </si>
  <si>
    <t>incidental or other consequential damages arising directly or indirectly from any</t>
  </si>
  <si>
    <t>use of the Project Report Content, which is provided as is, and without warranties.</t>
  </si>
  <si>
    <t>Nature of Business :</t>
  </si>
  <si>
    <t>TOL / TW</t>
  </si>
  <si>
    <t>Total Project Cost</t>
  </si>
  <si>
    <t>Average DSCR ratio required</t>
  </si>
  <si>
    <t>IDEAL RATIO - 1.75 TO 3 Times</t>
  </si>
  <si>
    <t>Project covered under which Scheme</t>
  </si>
  <si>
    <t>Vehicles</t>
  </si>
  <si>
    <t>Education Qualification</t>
  </si>
  <si>
    <t>No of months Turnover done in first Financial year</t>
  </si>
  <si>
    <t>Manual entry</t>
  </si>
  <si>
    <t>Autogenerated</t>
  </si>
  <si>
    <t>Direct expenses</t>
  </si>
  <si>
    <t>Gross reciepts</t>
  </si>
  <si>
    <t>Yes</t>
  </si>
  <si>
    <t>Question Type</t>
  </si>
  <si>
    <t>Editable</t>
  </si>
  <si>
    <t>Min and Max</t>
  </si>
  <si>
    <t>No</t>
  </si>
  <si>
    <t>General information</t>
  </si>
  <si>
    <t>Cost of Project details</t>
  </si>
  <si>
    <t>Means of Finance details</t>
  </si>
  <si>
    <t>Other Details of the project</t>
  </si>
  <si>
    <t>Section</t>
  </si>
  <si>
    <t xml:space="preserve">Manual entry </t>
  </si>
  <si>
    <t>Options</t>
  </si>
  <si>
    <t>Status of Concern</t>
  </si>
  <si>
    <t>Rural,Urban</t>
  </si>
  <si>
    <t xml:space="preserve">Unit location </t>
  </si>
  <si>
    <t>Paticulars</t>
  </si>
  <si>
    <t>Recievables</t>
  </si>
  <si>
    <t>PROFIT &amp; LOSS ACCOUNT FOR YEAR ENDED</t>
  </si>
  <si>
    <t>Gross Revenue</t>
  </si>
  <si>
    <t>Less:</t>
  </si>
  <si>
    <t>Increase in Recievables</t>
  </si>
  <si>
    <t>DETAILED PROJECT REPORT</t>
  </si>
  <si>
    <t>Skilled employees</t>
  </si>
  <si>
    <t>Semi Skilled Employees</t>
  </si>
  <si>
    <t>Unskiled Employees</t>
  </si>
  <si>
    <t>Contact No : 9618221011</t>
  </si>
  <si>
    <t>Plant and Machinery</t>
  </si>
  <si>
    <t>Service Equipment</t>
  </si>
  <si>
    <t>Land</t>
  </si>
  <si>
    <t>Electronic Items</t>
  </si>
  <si>
    <t>Not applicable since Autogenrated</t>
  </si>
  <si>
    <t>Increase in Capital during the year</t>
  </si>
  <si>
    <t>Back ground Working Notes: (Not to be visible to end user and Also not part of project report)</t>
  </si>
  <si>
    <t xml:space="preserve">Electrical Items &amp; fittings                    </t>
  </si>
  <si>
    <t>Live stock</t>
  </si>
  <si>
    <t>Sector</t>
  </si>
  <si>
    <t>EMI or Principal Amount shared Equally over loan Term period</t>
  </si>
  <si>
    <t>Term Loan Rate of Interest</t>
  </si>
  <si>
    <t>CASH INFLOWS</t>
  </si>
  <si>
    <t>Administrative and Selling Expenses</t>
  </si>
  <si>
    <t>Male,Female,Others</t>
  </si>
  <si>
    <t>Sole Proprietorship / Partnership Firm / Private limited Company,LLP,Society,Trust,Federation</t>
  </si>
  <si>
    <t>OC,SC,ST,BC,Minority</t>
  </si>
  <si>
    <t>Below 8th,Above 8th,SSC 10th+2,Graduate,Post Graduate</t>
  </si>
  <si>
    <t>Of previous year</t>
  </si>
  <si>
    <t>month</t>
  </si>
  <si>
    <t>per month</t>
  </si>
  <si>
    <t>of loan amount</t>
  </si>
  <si>
    <t>Closing stock</t>
  </si>
  <si>
    <t>Gross profit</t>
  </si>
  <si>
    <t>Margin money for Working capital requirement</t>
  </si>
  <si>
    <t>Eligible Working Capital Loan</t>
  </si>
  <si>
    <t>Working capital Loan Rate of Interest</t>
  </si>
  <si>
    <t>Margin money amount for Fixed Assets</t>
  </si>
  <si>
    <t>Working capital Requirement</t>
  </si>
  <si>
    <t>Total Loan amount (Term loan + Working capital Loan)</t>
  </si>
  <si>
    <t>Working capital Loan</t>
  </si>
  <si>
    <t>Interest on CC Loan</t>
  </si>
  <si>
    <t>Working Capital interest growth</t>
  </si>
  <si>
    <t>Purchases value</t>
  </si>
  <si>
    <t>Salary per Month</t>
  </si>
  <si>
    <t>No of Months EMI paid in 1st financial year</t>
  </si>
  <si>
    <t>Earnings before Tax (EBT)</t>
  </si>
  <si>
    <t>Increase in Stock</t>
  </si>
  <si>
    <t>Increase in working capital loan</t>
  </si>
  <si>
    <t xml:space="preserve">Increase in CC Loan interest </t>
  </si>
  <si>
    <t>Net profit ratio</t>
  </si>
  <si>
    <t>Name of proprietor / Managing Partner / Managing Director</t>
  </si>
  <si>
    <t>Mobile Number of proprietor / Managing Partner / Managing Director</t>
  </si>
  <si>
    <t>PAN of proprietor / Managing Partner / Managing Director(Optional)</t>
  </si>
  <si>
    <t>Age of Proprietorship / Managing Partner / Managing Director</t>
  </si>
  <si>
    <t>Name of Firm / Company (Optional)</t>
  </si>
  <si>
    <t>PAN of Firm / Company (Optional)</t>
  </si>
  <si>
    <t>No of Months EMI paid in Next financial year</t>
  </si>
  <si>
    <t>No of months Turnover done in Next Financial year</t>
  </si>
  <si>
    <t>Rs in Lacs</t>
  </si>
  <si>
    <t>Interest on Term Loan</t>
  </si>
  <si>
    <t>Please refer "Repayment Sheet"</t>
  </si>
  <si>
    <t>Total Principal amount Repayment</t>
  </si>
  <si>
    <t xml:space="preserve">Term Loan Outstanding (Including Short term loan) </t>
  </si>
  <si>
    <t>Short Term Loan Oustanding</t>
  </si>
  <si>
    <t>Term Loan (Only Long Term) Outstanding</t>
  </si>
  <si>
    <t>Total Fixed Asset Value arrived</t>
  </si>
  <si>
    <t>Total Interest</t>
  </si>
  <si>
    <t>No of Months in a financial year</t>
  </si>
  <si>
    <t>CC Loan Outstanding as on</t>
  </si>
  <si>
    <t>Total Outside Liabilities to Total Networth</t>
  </si>
  <si>
    <t xml:space="preserve">Arrived DSCR </t>
  </si>
  <si>
    <t>Required DSCR Ratio</t>
  </si>
  <si>
    <t>1st year multiplying factor</t>
  </si>
  <si>
    <t>Next year Multifying factor</t>
  </si>
  <si>
    <t>Debtors as a % of Sale</t>
  </si>
  <si>
    <t>1st Financial Year</t>
  </si>
  <si>
    <t>2nd Financial Year</t>
  </si>
  <si>
    <t>3rd Financial Year</t>
  </si>
  <si>
    <t>4th Financial Year</t>
  </si>
  <si>
    <t>5th Financial Year</t>
  </si>
  <si>
    <t>6th Financial Year</t>
  </si>
  <si>
    <t>7th Financial Year</t>
  </si>
  <si>
    <t>8th Financial Year</t>
  </si>
  <si>
    <t>Times of Gross profit</t>
  </si>
  <si>
    <t>Total Depreciation</t>
  </si>
  <si>
    <t>Net Fixed Assets</t>
  </si>
  <si>
    <t>Gross Fixed Assets</t>
  </si>
  <si>
    <t>STEP 1</t>
  </si>
  <si>
    <t>Back ground Verfication             ( Not to be visible to customer)</t>
  </si>
  <si>
    <t>Dropdown Option to be provided</t>
  </si>
  <si>
    <t>Estimated</t>
  </si>
  <si>
    <t>Projected</t>
  </si>
  <si>
    <t>Financial years</t>
  </si>
  <si>
    <t>WDV at the end of 1st Year</t>
  </si>
  <si>
    <t>WDV in the beginning of year 1</t>
  </si>
  <si>
    <t>Less: Depreciation</t>
  </si>
  <si>
    <t>Add : Additions during year</t>
  </si>
  <si>
    <t>WDV at the end of 2nd Year</t>
  </si>
  <si>
    <t>WDV at the end of 3rd Year</t>
  </si>
  <si>
    <t>WDV at the end of 5th Year</t>
  </si>
  <si>
    <t>WDV at the end of 6th Year</t>
  </si>
  <si>
    <t>WDV at the end of 7th Year</t>
  </si>
  <si>
    <t>WDV at the end of 8th Year</t>
  </si>
  <si>
    <t>Total Term Loan Paid</t>
  </si>
  <si>
    <t>Short Term Loan Outstanding</t>
  </si>
  <si>
    <t>First year Closing stock % of Working capital loan</t>
  </si>
  <si>
    <t>Next year Closing stock % of Working capital loan</t>
  </si>
  <si>
    <t>Closing stock growth every year</t>
  </si>
  <si>
    <t>First year Opening stock</t>
  </si>
  <si>
    <t>EBT</t>
  </si>
  <si>
    <t>WORKINGS FOR PROFIT AND LOSS ACCOUNT ,BALANCE SHEET , EXPENDITURE AND INTEREST</t>
  </si>
  <si>
    <t>Total Selling &amp; Adminstrative expenses</t>
  </si>
  <si>
    <t>Total Liabilities</t>
  </si>
  <si>
    <t>Total Assets</t>
  </si>
  <si>
    <t>Fixed Assets</t>
  </si>
  <si>
    <t xml:space="preserve">Short Term Loan </t>
  </si>
  <si>
    <t>No.of Employees</t>
  </si>
  <si>
    <t>of Working capital Loan</t>
  </si>
  <si>
    <t>Interest on working capital Loan growth rate</t>
  </si>
  <si>
    <t>1.EMI shared equally over loan period, 2. Principal amount shared Equally over Loan Term period</t>
  </si>
  <si>
    <t>Operating Expenses</t>
  </si>
  <si>
    <t>First Year Opening cash balance</t>
  </si>
  <si>
    <t>FINANCIALS AND RATIOS AT A GLANCE</t>
  </si>
  <si>
    <t>Please refer "Dep IT Act" Sheet</t>
  </si>
  <si>
    <t>Total (Principal + Interest)</t>
  </si>
  <si>
    <t>STEP 2: Calculation of Interest,Repayment Schedule,Loan Outstanding , Depreciation Schedule</t>
  </si>
  <si>
    <r>
      <t xml:space="preserve">Recievables / Debtors </t>
    </r>
    <r>
      <rPr>
        <b/>
        <sz val="11"/>
        <color indexed="10"/>
        <rFont val="Trebuchet MS"/>
        <family val="2"/>
      </rPr>
      <t>(Editable)</t>
    </r>
  </si>
  <si>
    <t>MSME &amp; DPR Consultants</t>
  </si>
  <si>
    <t>FINVOIS OPEN BUSINESS SOLUTIONS LLP</t>
  </si>
  <si>
    <t>Direct Material/Expenses</t>
  </si>
  <si>
    <t>STEP 2 : BACK GROUND CALCULATION . NOT TO BE VISIBLE TO CUSTOMER</t>
  </si>
  <si>
    <t>Gross Profit Ratio</t>
  </si>
  <si>
    <t>C . GROSS PROFIT RATIO</t>
  </si>
  <si>
    <t>Gross Profit / Sales * 100</t>
  </si>
  <si>
    <t>D . NETPROFIT RATIO</t>
  </si>
  <si>
    <t>E  . DEBTORS / RECIEVABLES TURNOVER RATIO</t>
  </si>
  <si>
    <t>F . TOTAL OUTSIDE LIABILITIES TO TOTAL NETWORTH</t>
  </si>
  <si>
    <t>G. RETURN ON CAPITAL EMPLOYED</t>
  </si>
  <si>
    <t>H. FIXED ASSETS TO LONGTERM FUND RATIO</t>
  </si>
  <si>
    <t>I . PROPRIETORY RATIO</t>
  </si>
  <si>
    <t>J . RETURN ON ASSETS</t>
  </si>
  <si>
    <t xml:space="preserve">SENSITIVITY ANALYSIS </t>
  </si>
  <si>
    <t>If Selling Price decrease by</t>
  </si>
  <si>
    <t xml:space="preserve"> Interest Statement</t>
  </si>
  <si>
    <t>Interest Statement</t>
  </si>
  <si>
    <t xml:space="preserve"> Administrative &amp; Selling Expenses</t>
  </si>
  <si>
    <t>Back ground calculation (Not to be visible to customer)</t>
  </si>
  <si>
    <t>BACK GROUND CALCULATION . NOT TO BE VISIBLE TO CUSTOMER</t>
  </si>
  <si>
    <t>WORKINGS FOR CASH FLOW STATEMENTS</t>
  </si>
  <si>
    <t>Base value for Calculating EBDIT</t>
  </si>
  <si>
    <r>
      <t xml:space="preserve">Closing Cash and Cash Equivalents </t>
    </r>
    <r>
      <rPr>
        <b/>
        <sz val="11"/>
        <color indexed="10"/>
        <rFont val="Trebuchet MS"/>
        <family val="2"/>
      </rPr>
      <t>(Editable)</t>
    </r>
  </si>
  <si>
    <t>EARNINGS BEFORE TAX</t>
  </si>
  <si>
    <t>WORKINGS FOR CALCULATION OF SENSITIVITY ANALYSIS WHEN SALES DECREASE</t>
  </si>
  <si>
    <t>WORKINGS FOR CALCULATION OF SENSITIVITY ANALYSIS WHEN DIRECT EXPENSES INCREASE</t>
  </si>
  <si>
    <t>MULTIPLYING FACTOR</t>
  </si>
  <si>
    <t>DEPRECIATION RATES</t>
  </si>
  <si>
    <t>OTHER ASSUMPTIONS</t>
  </si>
  <si>
    <t>Predefined or Autogenerated , Hence Not Editable</t>
  </si>
  <si>
    <t>ASSUMPTIONS (NOT TO BE VISIBLE TO CUSTOMER)</t>
  </si>
  <si>
    <t xml:space="preserve">Cash&amp; Cash Equivalents as a % of Sales </t>
  </si>
  <si>
    <t>PROFITABILITY INDEX</t>
  </si>
  <si>
    <t>Additional Value</t>
  </si>
  <si>
    <t>PRESENT VALUE OF FUTURE CASH FLOWS AND NET PRESENT VALUE</t>
  </si>
  <si>
    <t>PRESENT VALUE OF FUTURE CASH FLOWS</t>
  </si>
  <si>
    <t>NET PRESENT VALUE</t>
  </si>
  <si>
    <t>Cummulative Cash flows (Rs)</t>
  </si>
  <si>
    <t>Current Assets</t>
  </si>
  <si>
    <t>Current Liabilities</t>
  </si>
  <si>
    <t>Net Current Assets</t>
  </si>
  <si>
    <t>Current Ratio</t>
  </si>
  <si>
    <t xml:space="preserve">    (Other than Working capital Loan )</t>
  </si>
  <si>
    <t>Method 1 : Working Capital method</t>
  </si>
  <si>
    <t>Method 2 : Total Current Assets Method</t>
  </si>
  <si>
    <t>Working Capital Requirment</t>
  </si>
  <si>
    <t>INTERNAL RATE OF RETURN (IRR)</t>
  </si>
  <si>
    <t>MODIFIED INTERNAL RATE OF RETURN (MIRR)</t>
  </si>
  <si>
    <t>FUNDS FLOW STATEMENT</t>
  </si>
  <si>
    <t>Statement of Changes in Working capital</t>
  </si>
  <si>
    <t>Changes in Working capital</t>
  </si>
  <si>
    <t>Total Current Liabilities (B)</t>
  </si>
  <si>
    <t>NET WORKING CAPITAL (A-B)</t>
  </si>
  <si>
    <t>Increase in Working capital</t>
  </si>
  <si>
    <t>Recievables / Debtors</t>
  </si>
  <si>
    <t>Note:</t>
  </si>
  <si>
    <t xml:space="preserve">From the above PI arived , Every 1 Rs invested in this project creates </t>
  </si>
  <si>
    <t>Note :</t>
  </si>
  <si>
    <t>Cash flows Discounted at Bank Interest Rate.</t>
  </si>
  <si>
    <t xml:space="preserve">    =LET(k,MATCH(TRUE,G1:G11&gt;0,0),(k-1)+ABS(INDEX(G1:G11,k-1))/INDEX(F1:F11,k))
</t>
  </si>
  <si>
    <t>OR</t>
  </si>
  <si>
    <t xml:space="preserve">     =(MATCH(TRUE,H11:H18&gt;0,0)-1) + ABS(INDEX(H11:H18,MATCH(TRUE,H11:H18&gt;0,0)-1))/INDEX(G10:G18,MATCH(TRUE,H11:H18&gt;0,0))</t>
  </si>
  <si>
    <t>B .CURRENT ASSETS RATIO</t>
  </si>
  <si>
    <t>K . INTEREST COVERAGE RATIO</t>
  </si>
  <si>
    <t>Equity Capital (Margin)</t>
  </si>
  <si>
    <t>WDV in the beginning of year 8</t>
  </si>
  <si>
    <t>WDV in the beginning of year 7</t>
  </si>
  <si>
    <t>WDV in the beginning of year 6</t>
  </si>
  <si>
    <t>WDV in the beginning of year 5</t>
  </si>
  <si>
    <t>WDV in the beginning of year 4</t>
  </si>
  <si>
    <t>WDV in the beginning of year 3</t>
  </si>
  <si>
    <t>WDV in the beginning of year 2</t>
  </si>
  <si>
    <t>MONTH</t>
  </si>
  <si>
    <t>INDEX</t>
  </si>
  <si>
    <t>PROJECTED PROFIT AND LOSS ACCOUNT &amp; BALANCE SHEET</t>
  </si>
  <si>
    <t>DEPRECIATION SCHEDULE</t>
  </si>
  <si>
    <t>TERM LOAN SCHEDULE</t>
  </si>
  <si>
    <t>CASH FLOW STATEMENT</t>
  </si>
  <si>
    <t>PROFITABILITY INDEX (PI)</t>
  </si>
  <si>
    <t>NET PRESENT VALUE (NPV)</t>
  </si>
  <si>
    <t>SENSITIVITY ANALYSIS</t>
  </si>
  <si>
    <t>CALCULATION OF MAXIMUM PERMISSABLE BANK FINANCE LIMIT</t>
  </si>
  <si>
    <t>a) Method 1 - Working Capital Method</t>
  </si>
  <si>
    <t>b) Method 2 - Total Current Assets Method</t>
  </si>
  <si>
    <r>
      <t xml:space="preserve">Finvois Factor </t>
    </r>
    <r>
      <rPr>
        <b/>
        <sz val="11"/>
        <color indexed="10"/>
        <rFont val="Trebuchet MS"/>
        <family val="2"/>
      </rPr>
      <t>(Predefined and Editable)</t>
    </r>
  </si>
  <si>
    <r>
      <t xml:space="preserve">Closing stock / Closing WIP </t>
    </r>
    <r>
      <rPr>
        <b/>
        <sz val="11"/>
        <color indexed="10"/>
        <rFont val="Trebuchet MS"/>
        <family val="2"/>
      </rPr>
      <t>(Editable)</t>
    </r>
  </si>
  <si>
    <t>WHEN MORATORIUM,EMI AND SALE BILL IN SAME YEAR</t>
  </si>
  <si>
    <t>First year 12 month period</t>
  </si>
  <si>
    <t>Moratorium period</t>
  </si>
  <si>
    <t>CASE 1</t>
  </si>
  <si>
    <t>Moratorium Interest</t>
  </si>
  <si>
    <t>EMI period</t>
  </si>
  <si>
    <t>Sale bill period</t>
  </si>
  <si>
    <t>CASE 2</t>
  </si>
  <si>
    <t>WHEN MORATORIUM,EMI AND SALE BILL IN 2 YEARS</t>
  </si>
  <si>
    <t>First year 6 month period</t>
  </si>
  <si>
    <t>Balance covered in 2nd year</t>
  </si>
  <si>
    <t>CASE 3</t>
  </si>
  <si>
    <t>CASE 4</t>
  </si>
  <si>
    <t>CASE 5</t>
  </si>
  <si>
    <t>First year 3 month period</t>
  </si>
  <si>
    <t>CASE 6</t>
  </si>
  <si>
    <t>6(3)</t>
  </si>
  <si>
    <t>12(3)</t>
  </si>
  <si>
    <t>CASE 7</t>
  </si>
  <si>
    <t>CASE 8</t>
  </si>
  <si>
    <t xml:space="preserve">When there is No sale in financial year , </t>
  </si>
  <si>
    <t>Profit and Loss figures:</t>
  </si>
  <si>
    <t>Direct Material and Expenses</t>
  </si>
  <si>
    <t>Negative</t>
  </si>
  <si>
    <t>Balance sheet figures:</t>
  </si>
  <si>
    <t>Cash and cash Equivalents</t>
  </si>
  <si>
    <t>First year columns will be deleted from Ratio Analysis.</t>
  </si>
  <si>
    <t>When there is Moratorium period given by banker</t>
  </si>
  <si>
    <t xml:space="preserve">  When EMI is shared equally over loan term period formulae is =-PMT(E12,E14,E8)</t>
  </si>
  <si>
    <t>CURRENT ASSETS:</t>
  </si>
  <si>
    <t>CURRENT LIABILITIES:</t>
  </si>
  <si>
    <t>Total Current Assets (A)</t>
  </si>
  <si>
    <t>Step 3 first year column in step 3 to be zero</t>
  </si>
  <si>
    <t>First year column in step 2 calculations can be ignored (They turn negative and can be ignored since not relevant)</t>
  </si>
  <si>
    <t>If Excel 365/2021</t>
  </si>
  <si>
    <t>If Excel 97-2003</t>
  </si>
  <si>
    <t>Less : Cost of Goods Sold / Direct Costs</t>
  </si>
  <si>
    <t>Cost of Goods Sold / Direct Costs</t>
  </si>
  <si>
    <t>Less :Cost of Goods Sold / Direct Costs</t>
  </si>
  <si>
    <t xml:space="preserve">Selling price per </t>
  </si>
  <si>
    <t>Fixed Costs</t>
  </si>
  <si>
    <t>Debtors / Recievables Turnover Ratio (Days)</t>
  </si>
  <si>
    <t>Asset Category</t>
  </si>
  <si>
    <t>Sl.No</t>
  </si>
  <si>
    <t>Component</t>
  </si>
  <si>
    <t>SCHEDULES TO FIXED ASSETS</t>
  </si>
  <si>
    <t>TOTAL VALUE</t>
  </si>
  <si>
    <t>Shed Construction and Civil works</t>
  </si>
  <si>
    <t>Autogenerated and also manually edited</t>
  </si>
  <si>
    <t>Net Amount (Rs in Lacs)</t>
  </si>
  <si>
    <t>Gross Amount             (Rs in Lacs)</t>
  </si>
  <si>
    <t>Purchases to be increased in Third year for uniformity</t>
  </si>
  <si>
    <t>Only interest amount will be paid during moratorium period . No EMI will be paid , So Loan outstanding will reduced to the extent principal amount paid.</t>
  </si>
  <si>
    <t>NO OF INSTALLMENT (Excluding Moratorium period)</t>
  </si>
  <si>
    <t>BALANCE SHEET Items at a Glance:</t>
  </si>
  <si>
    <t>PROFIT AND LOSS ACCOUNT Items at a Glance:</t>
  </si>
  <si>
    <t>Reinvest rate (In case of MIRR Caculation)</t>
  </si>
  <si>
    <t>First year coloumn in BEP to be blank</t>
  </si>
  <si>
    <t>First year column in sheets "MPBF" and "Nayak" to be blank</t>
  </si>
  <si>
    <t>WACC</t>
  </si>
  <si>
    <t>Portion %</t>
  </si>
  <si>
    <t xml:space="preserve">Cost </t>
  </si>
  <si>
    <t>Cost of Equity capital (Risk free Rate)</t>
  </si>
  <si>
    <t>Calculation of Weighted Average Cost of Capital (WACC)</t>
  </si>
  <si>
    <t xml:space="preserve">WACC (Minimum Return Required or Cost of Money) is </t>
  </si>
  <si>
    <t>(NAYAK COMMITTEE RECOMONDATIONS)</t>
  </si>
  <si>
    <r>
      <t xml:space="preserve">This formulae automatically detect </t>
    </r>
    <r>
      <rPr>
        <b/>
        <sz val="10"/>
        <rFont val="Trebuchet MS"/>
        <family val="2"/>
      </rPr>
      <t>k</t>
    </r>
    <r>
      <rPr>
        <sz val="10"/>
        <rFont val="Trebuchet MS"/>
        <family val="2"/>
      </rPr>
      <t xml:space="preserve"> (the year of recovery).</t>
    </r>
  </si>
  <si>
    <r>
      <t xml:space="preserve">       After typing the above, press </t>
    </r>
    <r>
      <rPr>
        <b/>
        <sz val="10"/>
        <rFont val="Trebuchet MS"/>
        <family val="2"/>
      </rPr>
      <t>CTRL+SHIFT+ENTER</t>
    </r>
    <r>
      <rPr>
        <sz val="10"/>
        <rFont val="Trebuchet MS"/>
        <family val="2"/>
      </rPr>
      <t xml:space="preserve"> instead of just Enter.</t>
    </r>
  </si>
  <si>
    <t>c) Method 3 - Nayak Committee Recommandation Method</t>
  </si>
  <si>
    <t>WEIGHTED AVERAGE COST OF CAPITAL (WACC)</t>
  </si>
  <si>
    <t>YEAR</t>
  </si>
  <si>
    <t>Discounted Cash Flows (Rs)</t>
  </si>
  <si>
    <t>Cummulative Discounted Cash flows (Rs)</t>
  </si>
  <si>
    <t>INVESTMENT PAYBACK PERIOD (SIMPLE METHOD)</t>
  </si>
  <si>
    <t>INVESTMENT PAYBACK PERIOD (DISCOUNTED CASHFLOWS METHOD)</t>
  </si>
  <si>
    <t>PAYBACK PERIOD (YEARS)</t>
  </si>
  <si>
    <t>Actual Sales</t>
  </si>
  <si>
    <t>MOS Value</t>
  </si>
  <si>
    <t>MOS Ratio</t>
  </si>
  <si>
    <t>MOS Percentage</t>
  </si>
  <si>
    <t>CALCULATION OF MARGIN OF SAFETY (MOS)</t>
  </si>
  <si>
    <t>MARGIN OF SAFETY:</t>
  </si>
  <si>
    <t>CALCULATION OF BREAK EVEN POINT (BEP)</t>
  </si>
  <si>
    <t>Break even point calculation is only for manufacturing units</t>
  </si>
  <si>
    <t>The operating Leverage of 1.2 means that 1% increase in sales would result into 1.2% increase in operating profit</t>
  </si>
  <si>
    <r>
      <rPr>
        <b/>
        <sz val="9"/>
        <rFont val="Trebuchet MS"/>
        <family val="2"/>
      </rPr>
      <t>NOTE</t>
    </r>
    <r>
      <rPr>
        <sz val="9"/>
        <rFont val="Trebuchet MS"/>
        <family val="2"/>
      </rPr>
      <t xml:space="preserve"> : Indicates Firms ability to use fixed operating costs to magnify effects of changes in sales on its earnings before increase and taxes</t>
    </r>
  </si>
  <si>
    <t xml:space="preserve">The FL is favourable when the firms earns more on the investment/assets financed by the sources having fixed charges.  </t>
  </si>
  <si>
    <t xml:space="preserve">Shareholders gain in a situation where the company earns a high rate of return and pays a lower rate </t>
  </si>
  <si>
    <t>of return to the supplier of long-term funds.  FL is such easer is also called “Trading on Equity”.</t>
  </si>
  <si>
    <t>CALCULATION OF OPERATING LEVERAGE</t>
  </si>
  <si>
    <t>Operating Leverage  * Financial Leverage</t>
  </si>
  <si>
    <t xml:space="preserve">make extremely high profit for it and shareholders . But even a small fall in the level of operation would result in tremendous fall in </t>
  </si>
  <si>
    <t>Earnings. Proper Balance should be maintained.</t>
  </si>
  <si>
    <t>A high OL and low FL indicate that management is careful since the higher amount of risk involved in high OL has been sought to be</t>
  </si>
  <si>
    <t>A high Operating and Financial Leverage Combination is very risky.  If the company is producing and selling at a high level , it will</t>
  </si>
  <si>
    <t>CALCULATION OF FINANCIAL LEVERAGE</t>
  </si>
  <si>
    <t>CALCULATION OF COMBINED LEVERAGE</t>
  </si>
  <si>
    <t>LEVERAGE RATIO ANALYSIS</t>
  </si>
  <si>
    <t>If operating leverage is high, it means that break even point will be reached at a higher level of sales and the margin of safety is low.</t>
  </si>
  <si>
    <r>
      <t xml:space="preserve">balanced by low FL.  </t>
    </r>
    <r>
      <rPr>
        <sz val="10"/>
        <color indexed="8"/>
        <rFont val="Trebuchet MS"/>
        <family val="2"/>
      </rPr>
      <t>Preferable situation will be low OL and high FL. Low FL results in equivalent Break even sales.</t>
    </r>
  </si>
  <si>
    <t>Operating Leverage (OL)</t>
  </si>
  <si>
    <t>Financial Leverage (FL)</t>
  </si>
  <si>
    <t>(EBIT / EBT)</t>
  </si>
  <si>
    <t>(Contribution / EBIT)</t>
  </si>
  <si>
    <t>Earning before Tax</t>
  </si>
  <si>
    <t>A.Working capital / Total Assets</t>
  </si>
  <si>
    <t>B.Earning / Total Assets</t>
  </si>
  <si>
    <t>C.EBIT / Total Assets</t>
  </si>
  <si>
    <t>D.Equity Capital / Total Liabilities</t>
  </si>
  <si>
    <t>E.Sales / Total Assets</t>
  </si>
  <si>
    <t>Net Working capital</t>
  </si>
  <si>
    <t>Altman Z Score Formulae</t>
  </si>
  <si>
    <t>(To Determine the financial health of a Company)</t>
  </si>
  <si>
    <t>(To Determine the Financial Health of a Company)</t>
  </si>
  <si>
    <t xml:space="preserve">Calculation of Altman Z Score </t>
  </si>
  <si>
    <t xml:space="preserve">Processing fees rate </t>
  </si>
  <si>
    <t>Net Equity (Net Capital)</t>
  </si>
  <si>
    <t>Excel 365/2021</t>
  </si>
  <si>
    <r>
      <t xml:space="preserve">This formulae automatically detect </t>
    </r>
    <r>
      <rPr>
        <b/>
        <sz val="10"/>
        <rFont val="Arial"/>
        <family val="2"/>
      </rPr>
      <t>k</t>
    </r>
    <r>
      <rPr>
        <sz val="10"/>
        <rFont val="Arial"/>
        <family val="2"/>
      </rPr>
      <t xml:space="preserve"> (the year of recovery).</t>
    </r>
  </si>
  <si>
    <t>FOR Excel 97-2003</t>
  </si>
  <si>
    <r>
      <t xml:space="preserve">       After typing the above, press </t>
    </r>
    <r>
      <rPr>
        <b/>
        <sz val="10"/>
        <rFont val="Arial"/>
        <family val="2"/>
      </rPr>
      <t>CTRL+SHIFT+ENTER</t>
    </r>
    <r>
      <rPr>
        <sz val="10"/>
        <rFont val="Arial"/>
      </rPr>
      <t xml:space="preserve"> instead of just Enter.</t>
    </r>
  </si>
  <si>
    <t>If Direct Material / Expenses increase by</t>
  </si>
  <si>
    <t>ALTMAN Z SCORE</t>
  </si>
  <si>
    <t>INVESTMENT PAYBACK PERIOD - SIMPLE METHOD &amp; DISCOUNTED CASHFLOW METHOD</t>
  </si>
  <si>
    <t>BREAK EVEN POINT (BEP) &amp; MARGIN OF SAFETY (MOS)</t>
  </si>
  <si>
    <t>FIRM CONSTITUTION , PROPRIETOR PROFILE &amp; BACKGROUND</t>
  </si>
  <si>
    <t>INTRODUCTION AND FEATURES OF RAW MATERIAL AND FINISHED PRODUCT, DEMAND SUPPLY AND ITS MARKETABILITY, SWOT ANALYSIS,STATUTORY GOVERNMENT APPROVALS,POWER REQUIREMENTS.</t>
  </si>
  <si>
    <t>PROJECT PROFILE OVERVIEW</t>
  </si>
  <si>
    <t>PRINCIPAL REPAYMENT SCHEDULE</t>
  </si>
  <si>
    <t>AP IDP 4.0,Industrial park Land Allotment,PMEGP,Mudra,Other MSME</t>
  </si>
  <si>
    <t>Working Capital Loan</t>
  </si>
  <si>
    <t>From the above project data/profile available ,Please prepare the following</t>
  </si>
  <si>
    <t>√</t>
  </si>
  <si>
    <t>The Constitution of the firm</t>
  </si>
  <si>
    <t>Proprietors/Partners background and experience</t>
  </si>
  <si>
    <t>Manually enter the description</t>
  </si>
  <si>
    <t>Education back ground of each partner</t>
  </si>
  <si>
    <t>DETAILS OF PRODUCT MANUFACTURED / FINISHED PRODUCT:</t>
  </si>
  <si>
    <t>Introduction of product being manufactured / Service</t>
  </si>
  <si>
    <t>(Sub Component) Ex: Manufacturing of Chilly powder</t>
  </si>
  <si>
    <t>Key charecteristics of product manufactured / Service</t>
  </si>
  <si>
    <t>Manufacturing capacity of the product</t>
  </si>
  <si>
    <t>(Ex : 80 tonnes per hour/day/month)</t>
  </si>
  <si>
    <t>Flowchart of product manufactured</t>
  </si>
  <si>
    <t>SWOT Analysis of product/Service</t>
  </si>
  <si>
    <t>Competitors data</t>
  </si>
  <si>
    <t>Market trend for this product/Service</t>
  </si>
  <si>
    <t>Statutory government approvals</t>
  </si>
  <si>
    <t>Marketing Techniques applied</t>
  </si>
  <si>
    <t>Have previous experience in the same line of business</t>
  </si>
  <si>
    <t>Manual Enter the description</t>
  </si>
  <si>
    <t>Have Purchase orders</t>
  </si>
  <si>
    <t>Will market the products through Marketing team</t>
  </si>
  <si>
    <t>Other Marketing technique</t>
  </si>
  <si>
    <t xml:space="preserve">Targeted Customers/Audience </t>
  </si>
  <si>
    <t>RAW MATERIALS DETAILS:( Applicable to only manufacturing units)</t>
  </si>
  <si>
    <t xml:space="preserve">Following Raw Materials required  </t>
  </si>
  <si>
    <t xml:space="preserve">Quanity required </t>
  </si>
  <si>
    <t>(Ex : 100 tonnes per day/month)</t>
  </si>
  <si>
    <t>Description regarding the Raw Materials , Demand , supply , availability nearer to your unit.</t>
  </si>
  <si>
    <t>Raw Material suppliers details</t>
  </si>
  <si>
    <t>(Share details like Name of supplier,place of purchase etc)</t>
  </si>
  <si>
    <t>PRODUCTION CAPACITY</t>
  </si>
  <si>
    <t>S.No</t>
  </si>
  <si>
    <t>Product Name</t>
  </si>
  <si>
    <t>Production capacity per Annum (Specify the capacity along with units of measurement)</t>
  </si>
  <si>
    <t>Ex:U Bolts - 20MM to 300MM</t>
  </si>
  <si>
    <t>(Ex:10-15Tonnes per year)</t>
  </si>
  <si>
    <t>Ex:U Clamps - 20MM to 300MM</t>
  </si>
  <si>
    <t>(Ex:5-7 Tonnes per year)</t>
  </si>
  <si>
    <t>Ex:Anchor Fastners - 8MM to 20MM</t>
  </si>
  <si>
    <t>INVENTORY / STOCK DETAILS</t>
  </si>
  <si>
    <t>Type of Material</t>
  </si>
  <si>
    <t>Quanitity to be manufactured per month</t>
  </si>
  <si>
    <t>Quanitity to be Stored per month</t>
  </si>
  <si>
    <t>No of Days of Stock</t>
  </si>
  <si>
    <t>Justification,if any</t>
  </si>
  <si>
    <t>Raw material</t>
  </si>
  <si>
    <t>Finished product</t>
  </si>
  <si>
    <t>MANPOWER:</t>
  </si>
  <si>
    <t>Employment</t>
  </si>
  <si>
    <t>Category of Employment</t>
  </si>
  <si>
    <t>Salary per month per employee</t>
  </si>
  <si>
    <t>Total Salary per Month</t>
  </si>
  <si>
    <t xml:space="preserve">Skilled </t>
  </si>
  <si>
    <t>a.(Ex:Managerial Staff)</t>
  </si>
  <si>
    <t>b.(Ex:Engineering Staff)</t>
  </si>
  <si>
    <t>c.(Ex:Technical Staff)</t>
  </si>
  <si>
    <t>d.(Ex:Administrative Staff)</t>
  </si>
  <si>
    <t>e.</t>
  </si>
  <si>
    <t xml:space="preserve">Total </t>
  </si>
  <si>
    <t>Semi Skilled</t>
  </si>
  <si>
    <t>a.</t>
  </si>
  <si>
    <t>b.</t>
  </si>
  <si>
    <t>c.</t>
  </si>
  <si>
    <t>d.</t>
  </si>
  <si>
    <t>Unskilled</t>
  </si>
  <si>
    <t xml:space="preserve">Direct </t>
  </si>
  <si>
    <t xml:space="preserve">Indirect </t>
  </si>
  <si>
    <t xml:space="preserve">Most of which are from rural area. Thus, it fulfills the Government motto and interest in rural employment generation. </t>
  </si>
  <si>
    <t xml:space="preserve">There are skilled and semiskilled workers available in the surrounding area, so there is no problem in getting the manpower for the unit. </t>
  </si>
  <si>
    <t>The promoters have already gathered required number of skilled workers who are experienced in the same line of activity.</t>
  </si>
  <si>
    <t>IMPLEMENTATION TIMELINE OF THE PROJECT</t>
  </si>
  <si>
    <t>Sl.no</t>
  </si>
  <si>
    <t>Description</t>
  </si>
  <si>
    <t>Time Line</t>
  </si>
  <si>
    <t>Start Date</t>
  </si>
  <si>
    <t>End Date</t>
  </si>
  <si>
    <t>Construction</t>
  </si>
  <si>
    <t>Machinery/Equipment Erection</t>
  </si>
  <si>
    <t>Machinery/Equipment Trail Run</t>
  </si>
  <si>
    <t>Commercial Run start date</t>
  </si>
  <si>
    <t>LAND REQUIREMENT DETAILS FOR THE PROJECT:</t>
  </si>
  <si>
    <t>Land required for Plant and factory building</t>
  </si>
  <si>
    <t>Sq meters/Sq Feet/Sq Yards</t>
  </si>
  <si>
    <t>Land required for Administrative building</t>
  </si>
  <si>
    <t>Land required for storage and warehousing</t>
  </si>
  <si>
    <t>Land required for Internal roads,water storage,sub station etc.</t>
  </si>
  <si>
    <t>Land required for Open areas and greenery</t>
  </si>
  <si>
    <t>PLANT AND MACHINERY / EQUIPMENT DETAILS:</t>
  </si>
  <si>
    <t>Supplier Quotations taken ?</t>
  </si>
  <si>
    <t>(Enter Supplier complete details)</t>
  </si>
  <si>
    <t>Indegeneous Machinery</t>
  </si>
  <si>
    <t>Imported Machinery</t>
  </si>
  <si>
    <t>Due Diligence Verification Report of Applicants Residential and Office Address</t>
  </si>
  <si>
    <t>Browse Residential address pics of Applicant</t>
  </si>
  <si>
    <t>Browse Office/Factory/Unit address pics of Applicant</t>
  </si>
  <si>
    <t>DO YOU WISH TO MAKE ANY ATTACHMENTS TO YOUR PROJECT REPORT</t>
  </si>
  <si>
    <t>KYC details of proprietor/partners</t>
  </si>
  <si>
    <t>KYC of Company (GST RC,other licences,Certificate of incorporation/AOA/MOA etc)</t>
  </si>
  <si>
    <t>Here for making attachments Browse option to be provided</t>
  </si>
  <si>
    <t>Machinery Quotations , if any</t>
  </si>
  <si>
    <t>Other attachments if any (Plan copy,Pollution certificate etc)</t>
  </si>
  <si>
    <t>Closing stock (130%)</t>
  </si>
  <si>
    <t>Closing stock(65%)</t>
  </si>
  <si>
    <t>Final Closing stock value</t>
  </si>
  <si>
    <t>From which month first EMI (Term Loan) will be paid</t>
  </si>
  <si>
    <t xml:space="preserve">In which month first sale bill will be generated </t>
  </si>
  <si>
    <t xml:space="preserve">Closing stock + Debtors </t>
  </si>
  <si>
    <t>(Rounded off to 0000)</t>
  </si>
  <si>
    <t xml:space="preserve">Closing stock </t>
  </si>
  <si>
    <t>Debtors / Recievables</t>
  </si>
  <si>
    <t>Rounded off to 0000</t>
  </si>
  <si>
    <t>Working capital Req</t>
  </si>
  <si>
    <t>WC Eligibility arrived</t>
  </si>
  <si>
    <t>Max permissable WC</t>
  </si>
  <si>
    <t>2 nd year closing stock</t>
  </si>
  <si>
    <r>
      <t xml:space="preserve">Turnover </t>
    </r>
    <r>
      <rPr>
        <b/>
        <sz val="11"/>
        <color indexed="10"/>
        <rFont val="Trebuchet MS"/>
        <family val="2"/>
      </rPr>
      <t>(Editable)</t>
    </r>
  </si>
  <si>
    <r>
      <t xml:space="preserve">Direct Material / Expenses </t>
    </r>
    <r>
      <rPr>
        <b/>
        <sz val="11"/>
        <color indexed="10"/>
        <rFont val="Trebuchet MS"/>
        <family val="2"/>
      </rPr>
      <t>(Editable)</t>
    </r>
  </si>
  <si>
    <r>
      <t>(Finvois Value - EBDIT</t>
    </r>
    <r>
      <rPr>
        <sz val="11"/>
        <color indexed="17"/>
        <rFont val="Trebuchet MS"/>
        <family val="2"/>
      </rPr>
      <t xml:space="preserve"> )</t>
    </r>
  </si>
  <si>
    <t xml:space="preserve">Purchases </t>
  </si>
  <si>
    <r>
      <t xml:space="preserve">Earnings before Tax </t>
    </r>
    <r>
      <rPr>
        <b/>
        <sz val="11"/>
        <color indexed="17"/>
        <rFont val="Trebuchet MS"/>
        <family val="2"/>
      </rPr>
      <t>(Not Editable since Autogenerated &amp; Visible to customer)</t>
    </r>
  </si>
  <si>
    <r>
      <t xml:space="preserve">RATIO ANALYSIS at a Glance: </t>
    </r>
    <r>
      <rPr>
        <b/>
        <u/>
        <sz val="11"/>
        <color indexed="17"/>
        <rFont val="Trebuchet MS"/>
        <family val="2"/>
      </rPr>
      <t>(Auto generated and Not Editable but displayed to customer)</t>
    </r>
  </si>
  <si>
    <t>Installment period</t>
  </si>
  <si>
    <t>Monthly / Quarterly / Half yearly / Yearly</t>
  </si>
  <si>
    <t>Non Current Assets</t>
  </si>
  <si>
    <t>(Ex:Residential address details , Previous work experience,personal Networth, etc)</t>
  </si>
  <si>
    <t>Other Assets (Nil Depreciation)</t>
  </si>
  <si>
    <t>FIXED ASSETS:</t>
  </si>
  <si>
    <t>Loan Amount(Rs in lacs)</t>
  </si>
  <si>
    <t>Loan % (Manual entry)</t>
  </si>
  <si>
    <t>Other Assets (Nil depreciation)</t>
  </si>
  <si>
    <r>
      <t xml:space="preserve">Non Current Assets  </t>
    </r>
    <r>
      <rPr>
        <b/>
        <sz val="11"/>
        <color indexed="10"/>
        <rFont val="Trebuchet MS"/>
        <family val="2"/>
      </rPr>
      <t>(Editable)</t>
    </r>
  </si>
  <si>
    <t xml:space="preserve">Reinvestment Rate is assumed at </t>
  </si>
  <si>
    <t>INDIRECT EXPENSES :</t>
  </si>
  <si>
    <t>INDIRECT EXPENSES INCREAMENT:</t>
  </si>
  <si>
    <t>SCHEDULE FOR INDIRECT EXPENSES : (PER MONTH)</t>
  </si>
  <si>
    <t>Per Month</t>
  </si>
  <si>
    <t>Schedule</t>
  </si>
  <si>
    <t xml:space="preserve">Component </t>
  </si>
  <si>
    <t>Gross Total (Rs)</t>
  </si>
  <si>
    <t>Net Total (Rs)</t>
  </si>
  <si>
    <t>Administrative &amp; Office Expenses</t>
  </si>
  <si>
    <t>Office rent</t>
  </si>
  <si>
    <t>Electricity and water charges</t>
  </si>
  <si>
    <t>Telephone, mobile &amp; internet expenses</t>
  </si>
  <si>
    <t>Postage and courier charges</t>
  </si>
  <si>
    <t>Printing and stationery</t>
  </si>
  <si>
    <t>Office maintenance &amp; repairs</t>
  </si>
  <si>
    <t>Computer maintenance &amp; AMC</t>
  </si>
  <si>
    <t>Legal and professional fees</t>
  </si>
  <si>
    <t>Audit fees</t>
  </si>
  <si>
    <t>Consultancy charges</t>
  </si>
  <si>
    <t>License and registration fees</t>
  </si>
  <si>
    <t>Bank charges</t>
  </si>
  <si>
    <t>Software subscription fees</t>
  </si>
  <si>
    <t>Security expenses</t>
  </si>
  <si>
    <t>Office cleaning expenses</t>
  </si>
  <si>
    <t>Staff welfare expenses</t>
  </si>
  <si>
    <t>Conveyance expenses</t>
  </si>
  <si>
    <t>Travelling expenses (non-production staff)</t>
  </si>
  <si>
    <t>Meeting &amp; conference expenses</t>
  </si>
  <si>
    <t>Other Administrative and Office Expenses</t>
  </si>
  <si>
    <t>Employee Related Expenses</t>
  </si>
  <si>
    <t>Salaries and wages (office &amp; admin staff)</t>
  </si>
  <si>
    <t>Provident fund and ESI contribution</t>
  </si>
  <si>
    <t>Gratuity and pension</t>
  </si>
  <si>
    <t>Staff training and development</t>
  </si>
  <si>
    <t>Recruitment expenses</t>
  </si>
  <si>
    <t>Employee insurance</t>
  </si>
  <si>
    <t>Refreshments &amp; canteen expenses (office staff)</t>
  </si>
  <si>
    <t>Other Employee related expenses</t>
  </si>
  <si>
    <t>Selling and Distribution Expenses</t>
  </si>
  <si>
    <t>Advertising &amp; publicity</t>
  </si>
  <si>
    <t>Sales promotion expenses</t>
  </si>
  <si>
    <t>Trade show / exhibition expenses</t>
  </si>
  <si>
    <t>Freight and forwarding (outward)</t>
  </si>
  <si>
    <t>Packing and delivery expenses</t>
  </si>
  <si>
    <t>Customer discounts / rebates</t>
  </si>
  <si>
    <t>Warranty &amp; after-sales service expenses</t>
  </si>
  <si>
    <t>Bad debts written off</t>
  </si>
  <si>
    <t>Business entertainment expenses</t>
  </si>
  <si>
    <t>Other Selling and Distribution Expenses</t>
  </si>
  <si>
    <t>General Overheads</t>
  </si>
  <si>
    <t>Insurance (office, employee, general liability)</t>
  </si>
  <si>
    <t>Repairs &amp; maintenance (non-production)</t>
  </si>
  <si>
    <t>Subscription &amp; membership fees</t>
  </si>
  <si>
    <t>Vehicle running expenses (admin vehicles)</t>
  </si>
  <si>
    <t>Fuel &amp; maintenance for delivery vehicles</t>
  </si>
  <si>
    <t>Rent, rates, and taxes (non-factory premises)</t>
  </si>
  <si>
    <t>AMC (Annual Maintenance Contracts)</t>
  </si>
  <si>
    <t>Other General Overhead expenses</t>
  </si>
  <si>
    <t>Miscellaneous Expenses</t>
  </si>
  <si>
    <t>Donation &amp; charity (if not CSR)</t>
  </si>
  <si>
    <t>CSR expenses</t>
  </si>
  <si>
    <t>Loss on sale of fixed assets</t>
  </si>
  <si>
    <t>Provision for doubtful debts</t>
  </si>
  <si>
    <t>Entertainment &amp; hospitality</t>
  </si>
  <si>
    <t>Gifts and samples</t>
  </si>
  <si>
    <t>Internet domain renewal &amp; web hosting</t>
  </si>
  <si>
    <t>Other Miscellaneous expenses</t>
  </si>
  <si>
    <t>Net Capital Including Net Reserves and Surplus</t>
  </si>
  <si>
    <t xml:space="preserve">Quantity Manufactured </t>
  </si>
  <si>
    <t>Total Contribution</t>
  </si>
  <si>
    <t xml:space="preserve">Contribution (Per) </t>
  </si>
  <si>
    <t>BREAK EVEN POINT (Quantity)</t>
  </si>
  <si>
    <t>Plant Installed capacity  (Quantity)</t>
  </si>
  <si>
    <t>Plant Operating capacity (Quantity)</t>
  </si>
  <si>
    <t>Must read from "profile" sheet</t>
  </si>
  <si>
    <t xml:space="preserve">Manufacturing sector / Service Sector (With stock) / Service sector (Without stock) </t>
  </si>
  <si>
    <t>Applicable to Manufacturing or Service Sector (With Stock)</t>
  </si>
  <si>
    <t>(Main component of Product Manufactured / Service provided) Ex:Manufacturing of food Products</t>
  </si>
  <si>
    <t>(Ex:Fruits , Vegetables , wood etc)</t>
  </si>
  <si>
    <t>(Ex: Will Market product through Marketing team or  Retail stores or Wholesalers etc)</t>
  </si>
  <si>
    <t>(Ex: food processing units , farmers etc)</t>
  </si>
  <si>
    <t>Share PO details (Ex: Purchaser details,Monthly Quantity etc)</t>
  </si>
  <si>
    <t xml:space="preserve">Share past experience details if any (Ex: Company name ,designation,experience in years), previous successful projects done etc </t>
  </si>
  <si>
    <t>Commission</t>
  </si>
  <si>
    <t>Non Current Assets (Deposits , Advances etc)</t>
  </si>
  <si>
    <r>
      <t xml:space="preserve">General Overheads </t>
    </r>
    <r>
      <rPr>
        <b/>
        <sz val="11"/>
        <color indexed="10"/>
        <rFont val="Trebuchet MS"/>
        <family val="2"/>
      </rPr>
      <t>(Editable)</t>
    </r>
  </si>
  <si>
    <r>
      <t xml:space="preserve">Selling and Distribution Expenses </t>
    </r>
    <r>
      <rPr>
        <b/>
        <sz val="11"/>
        <color indexed="10"/>
        <rFont val="Trebuchet MS"/>
        <family val="2"/>
      </rPr>
      <t>(Editable)</t>
    </r>
  </si>
  <si>
    <r>
      <t xml:space="preserve">Administrative &amp; Office Expenses </t>
    </r>
    <r>
      <rPr>
        <b/>
        <sz val="11"/>
        <color indexed="10"/>
        <rFont val="Trebuchet MS"/>
        <family val="2"/>
      </rPr>
      <t>(Editable)</t>
    </r>
  </si>
  <si>
    <r>
      <t xml:space="preserve">Employee Related Expenses </t>
    </r>
    <r>
      <rPr>
        <b/>
        <sz val="11"/>
        <color indexed="10"/>
        <rFont val="Trebuchet MS"/>
        <family val="2"/>
      </rPr>
      <t>(Editable)</t>
    </r>
  </si>
  <si>
    <t>Expected Employment Generation :</t>
  </si>
  <si>
    <t>Closing stock / WIP</t>
  </si>
  <si>
    <t>Schedule 1  -  Indirect Expenses</t>
  </si>
  <si>
    <t>Petrol , Deseil and Gas Expenses</t>
  </si>
  <si>
    <t>CASH FLOW (Surplus / Deficiet) at a Glance:</t>
  </si>
  <si>
    <t>Less: Indirect Expenses</t>
  </si>
  <si>
    <t>(Opening capital + Net profit - Drawings)</t>
  </si>
  <si>
    <t>MAXIMUM PERMISSABLE BANK FINANCE LIMIT:</t>
  </si>
  <si>
    <t>Method 1 - Working capital Method</t>
  </si>
  <si>
    <t>Method 2 - Total Current Assets &lt;ethod</t>
  </si>
  <si>
    <t>Method 3 - Nayak Committee recommandaions</t>
  </si>
  <si>
    <r>
      <t xml:space="preserve">Net Capital Inluding Net Reserves and Surplus (Opening capital + Net Profit - Drawings) </t>
    </r>
    <r>
      <rPr>
        <b/>
        <sz val="11"/>
        <color indexed="17"/>
        <rFont val="Trebuchet MS"/>
        <family val="2"/>
      </rPr>
      <t>(Autogenerated , Not Editable)</t>
    </r>
  </si>
  <si>
    <r>
      <t xml:space="preserve">Net Surplus during the year                                 </t>
    </r>
    <r>
      <rPr>
        <b/>
        <sz val="11"/>
        <color indexed="17"/>
        <rFont val="Trebuchet MS"/>
        <family val="2"/>
      </rPr>
      <t>(Not Editable but Displayed)</t>
    </r>
  </si>
  <si>
    <t>Sources of Funds (Rs in Lacs)</t>
  </si>
  <si>
    <t>Break Even Sales</t>
  </si>
  <si>
    <t>Operating Capacity (%)</t>
  </si>
  <si>
    <t>Freight Inward</t>
  </si>
  <si>
    <t>Years</t>
  </si>
  <si>
    <t>Sole Proprietorship</t>
  </si>
  <si>
    <t>John Doe</t>
  </si>
  <si>
    <t>ABCDE1234F</t>
  </si>
  <si>
    <t>Manufacturing sector</t>
  </si>
  <si>
    <t>Textile Manufacturing</t>
  </si>
  <si>
    <t>123 Industrial Area, City</t>
  </si>
  <si>
    <t>Doe Textiles</t>
  </si>
  <si>
    <t>Graduate</t>
  </si>
  <si>
    <t>PMEGP</t>
  </si>
  <si>
    <t>OC</t>
  </si>
  <si>
    <t>Urban</t>
  </si>
  <si>
    <t>Per month</t>
  </si>
  <si>
    <t>1. EMI shared equally over loan Term period</t>
  </si>
  <si>
    <t>2024-25</t>
  </si>
  <si>
    <t>2025-26</t>
  </si>
  <si>
    <t>2026-27</t>
  </si>
  <si>
    <t>2027-28</t>
  </si>
  <si>
    <t>2028-29</t>
  </si>
  <si>
    <t>2029-30</t>
  </si>
  <si>
    <t>2030-31</t>
  </si>
  <si>
    <t>2031-32</t>
  </si>
  <si>
    <t>Sewing Machine</t>
  </si>
  <si>
    <t>Cutting Table</t>
  </si>
  <si>
    <t>Office Chair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</si>
</sst>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8" formatCode="&quot;₹&quot;\ #,##0.00;[Red]&quot;₹&quot;\ \-#,##0.00"/>
    <numFmt numFmtId="164" formatCode="_(* #,##0.00_);_(* \(#,##0.00\);_(* &quot;-&quot;??_);_(@_)"/>
    <numFmt numFmtId="165" formatCode="0.00000"/>
    <numFmt numFmtId="166" formatCode="0.0000"/>
    <numFmt numFmtId="167" formatCode="0.000"/>
    <numFmt numFmtId="168" formatCode="0.0"/>
    <numFmt numFmtId="169" formatCode="0.000%"/>
    <numFmt numFmtId="170" formatCode="#,##0.00;[Red]#,##0.00"/>
    <numFmt numFmtId="171" formatCode="_(* #,##0_);_(* \(#,##0\);_(* &quot;-&quot;??_);_(@_)"/>
  </numFmts>
  <fonts count="98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20"/>
      <name val="Trebuchet MS"/>
      <family val="2"/>
    </font>
    <font>
      <sz val="20"/>
      <name val="Trebuchet MS"/>
      <family val="2"/>
    </font>
    <font>
      <b/>
      <i/>
      <sz val="20"/>
      <name val="Trebuchet MS"/>
      <family val="2"/>
    </font>
    <font>
      <i/>
      <sz val="20"/>
      <name val="Trebuchet MS"/>
      <family val="2"/>
    </font>
    <font>
      <b/>
      <u/>
      <sz val="10"/>
      <name val="Trebuchet MS"/>
      <family val="2"/>
    </font>
    <font>
      <sz val="10"/>
      <name val="Trebuchet MS"/>
      <family val="2"/>
    </font>
    <font>
      <b/>
      <sz val="10"/>
      <name val="Trebuchet MS"/>
      <family val="2"/>
    </font>
    <font>
      <b/>
      <sz val="11"/>
      <color indexed="8"/>
      <name val="Trebuchet MS"/>
      <family val="2"/>
    </font>
    <font>
      <sz val="11"/>
      <color indexed="8"/>
      <name val="Trebuchet MS"/>
      <family val="2"/>
    </font>
    <font>
      <b/>
      <i/>
      <sz val="10"/>
      <name val="Trebuchet MS"/>
      <family val="2"/>
    </font>
    <font>
      <u/>
      <sz val="10"/>
      <name val="Trebuchet MS"/>
      <family val="2"/>
    </font>
    <font>
      <b/>
      <sz val="11"/>
      <name val="Trebuchet MS"/>
      <family val="2"/>
    </font>
    <font>
      <sz val="11"/>
      <name val="Trebuchet MS"/>
      <family val="2"/>
    </font>
    <font>
      <b/>
      <u/>
      <sz val="11"/>
      <name val="Trebuchet MS"/>
      <family val="2"/>
    </font>
    <font>
      <b/>
      <sz val="10"/>
      <color indexed="10"/>
      <name val="Trebuchet MS"/>
      <family val="2"/>
    </font>
    <font>
      <b/>
      <sz val="10"/>
      <color indexed="48"/>
      <name val="Trebuchet MS"/>
      <family val="2"/>
    </font>
    <font>
      <sz val="10"/>
      <color indexed="10"/>
      <name val="Trebuchet MS"/>
      <family val="2"/>
    </font>
    <font>
      <b/>
      <sz val="10"/>
      <color indexed="63"/>
      <name val="Trebuchet MS"/>
      <family val="2"/>
    </font>
    <font>
      <b/>
      <sz val="11"/>
      <color indexed="10"/>
      <name val="Trebuchet MS"/>
      <family val="2"/>
    </font>
    <font>
      <b/>
      <i/>
      <u/>
      <sz val="20"/>
      <name val="Trebuchet MS"/>
      <family val="2"/>
    </font>
    <font>
      <b/>
      <sz val="10"/>
      <color indexed="8"/>
      <name val="Trebuchet MS"/>
      <family val="2"/>
    </font>
    <font>
      <b/>
      <i/>
      <sz val="10"/>
      <color indexed="8"/>
      <name val="Trebuchet MS"/>
      <family val="2"/>
    </font>
    <font>
      <sz val="10"/>
      <color indexed="8"/>
      <name val="Trebuchet MS"/>
      <family val="2"/>
    </font>
    <font>
      <b/>
      <sz val="12"/>
      <name val="Trebuchet MS"/>
      <family val="2"/>
    </font>
    <font>
      <b/>
      <u/>
      <sz val="12"/>
      <name val="Trebuchet MS"/>
      <family val="2"/>
    </font>
    <font>
      <sz val="12"/>
      <name val="Trebuchet MS"/>
      <family val="2"/>
    </font>
    <font>
      <b/>
      <sz val="10"/>
      <name val="Arial"/>
      <family val="2"/>
    </font>
    <font>
      <b/>
      <u/>
      <sz val="11"/>
      <name val="Arial"/>
      <family val="2"/>
    </font>
    <font>
      <b/>
      <u/>
      <sz val="16"/>
      <name val="Trebuchet MS"/>
      <family val="2"/>
    </font>
    <font>
      <b/>
      <sz val="12"/>
      <name val="Arial"/>
      <family val="2"/>
    </font>
    <font>
      <b/>
      <u/>
      <sz val="14"/>
      <name val="Trebuchet MS"/>
      <family val="2"/>
    </font>
    <font>
      <b/>
      <sz val="11"/>
      <name val="Arial"/>
      <family val="2"/>
    </font>
    <font>
      <sz val="16"/>
      <name val="Trebuchet MS"/>
      <family val="2"/>
    </font>
    <font>
      <b/>
      <sz val="16"/>
      <name val="Trebuchet MS"/>
      <family val="2"/>
    </font>
    <font>
      <b/>
      <i/>
      <sz val="11"/>
      <name val="Trebuchet MS"/>
      <family val="2"/>
    </font>
    <font>
      <b/>
      <sz val="18"/>
      <name val="Arial"/>
      <family val="2"/>
    </font>
    <font>
      <b/>
      <sz val="24"/>
      <name val="Trebuchet MS"/>
      <family val="2"/>
    </font>
    <font>
      <b/>
      <sz val="14"/>
      <name val="Trebuchet MS"/>
      <family val="2"/>
    </font>
    <font>
      <b/>
      <sz val="9"/>
      <name val="Trebuchet MS"/>
      <family val="2"/>
    </font>
    <font>
      <b/>
      <sz val="11"/>
      <color indexed="10"/>
      <name val="Trebuchet MS"/>
      <family val="2"/>
    </font>
    <font>
      <b/>
      <sz val="11"/>
      <color indexed="17"/>
      <name val="Trebuchet MS"/>
      <family val="2"/>
    </font>
    <font>
      <b/>
      <u/>
      <sz val="11"/>
      <color indexed="17"/>
      <name val="Trebuchet MS"/>
      <family val="2"/>
    </font>
    <font>
      <b/>
      <i/>
      <sz val="14"/>
      <name val="Trebuchet MS"/>
      <family val="2"/>
    </font>
    <font>
      <b/>
      <sz val="13"/>
      <name val="Trebuchet MS"/>
      <family val="2"/>
    </font>
    <font>
      <b/>
      <sz val="16"/>
      <name val="Arial"/>
      <family val="2"/>
    </font>
    <font>
      <b/>
      <sz val="18"/>
      <name val="Trebuchet MS"/>
      <family val="2"/>
    </font>
    <font>
      <sz val="9"/>
      <name val="Trebuchet MS"/>
      <family val="2"/>
    </font>
    <font>
      <b/>
      <sz val="14"/>
      <name val="Arial"/>
      <family val="2"/>
    </font>
    <font>
      <sz val="11"/>
      <color indexed="17"/>
      <name val="Trebuchet MS"/>
      <family val="2"/>
    </font>
    <font>
      <u/>
      <sz val="10"/>
      <name val="Arial"/>
      <family val="2"/>
    </font>
    <font>
      <b/>
      <sz val="22"/>
      <name val="Trebuchet MS"/>
      <family val="2"/>
    </font>
    <font>
      <b/>
      <sz val="11"/>
      <color indexed="17"/>
      <name val="Trebuchet MS"/>
      <family val="2"/>
    </font>
    <font>
      <b/>
      <i/>
      <u/>
      <sz val="11"/>
      <name val="Trebuchet MS"/>
      <family val="2"/>
    </font>
    <font>
      <b/>
      <i/>
      <u/>
      <sz val="12"/>
      <name val="Trebuchet MS"/>
      <family val="2"/>
    </font>
    <font>
      <b/>
      <u/>
      <sz val="22"/>
      <name val="Trebuchet MS"/>
      <family val="2"/>
    </font>
    <font>
      <i/>
      <sz val="10"/>
      <name val="Arial"/>
      <family val="2"/>
    </font>
    <font>
      <sz val="10"/>
      <name val="CIDFont+F2"/>
    </font>
    <font>
      <b/>
      <sz val="11"/>
      <color indexed="10"/>
      <name val="Trebuchet MS"/>
      <family val="2"/>
    </font>
    <font>
      <b/>
      <sz val="11"/>
      <color indexed="10"/>
      <name val="Trebuchet MS"/>
      <family val="2"/>
    </font>
    <font>
      <b/>
      <sz val="11"/>
      <color indexed="10"/>
      <name val="Trebuchet MS"/>
      <family val="2"/>
    </font>
    <font>
      <b/>
      <i/>
      <sz val="9"/>
      <name val="Trebuchet MS"/>
      <family val="2"/>
    </font>
    <font>
      <sz val="8"/>
      <name val="Trebuchet MS"/>
      <family val="2"/>
    </font>
    <font>
      <b/>
      <i/>
      <sz val="10"/>
      <color theme="9" tint="-0.499984740745262"/>
      <name val="Trebuchet MS"/>
      <family val="2"/>
    </font>
    <font>
      <sz val="11"/>
      <color theme="1"/>
      <name val="Trebuchet MS"/>
      <family val="2"/>
    </font>
    <font>
      <b/>
      <sz val="11"/>
      <color theme="1"/>
      <name val="Trebuchet MS"/>
      <family val="2"/>
    </font>
    <font>
      <b/>
      <sz val="10"/>
      <color theme="9" tint="-0.499984740745262"/>
      <name val="Trebuchet MS"/>
      <family val="2"/>
    </font>
    <font>
      <b/>
      <i/>
      <u/>
      <sz val="10"/>
      <color theme="9" tint="-0.499984740745262"/>
      <name val="Trebuchet MS"/>
      <family val="2"/>
    </font>
    <font>
      <b/>
      <i/>
      <u/>
      <sz val="14"/>
      <color rgb="FF00B050"/>
      <name val="Trebuchet MS"/>
      <family val="2"/>
    </font>
    <font>
      <b/>
      <i/>
      <u/>
      <sz val="14"/>
      <color rgb="FFFF0000"/>
      <name val="Trebuchet MS"/>
      <family val="2"/>
    </font>
    <font>
      <b/>
      <sz val="11"/>
      <color rgb="FF00B050"/>
      <name val="Trebuchet MS"/>
      <family val="2"/>
    </font>
    <font>
      <sz val="20"/>
      <color theme="0"/>
      <name val="Trebuchet MS"/>
      <family val="2"/>
    </font>
    <font>
      <b/>
      <i/>
      <sz val="20"/>
      <color rgb="FFFF0000"/>
      <name val="Trebuchet MS"/>
      <family val="2"/>
    </font>
    <font>
      <sz val="20"/>
      <color rgb="FFFFFF00"/>
      <name val="Trebuchet MS"/>
      <family val="2"/>
    </font>
    <font>
      <b/>
      <sz val="12"/>
      <color theme="0"/>
      <name val="Trebuchet MS"/>
      <family val="2"/>
    </font>
    <font>
      <b/>
      <sz val="10"/>
      <color theme="0"/>
      <name val="Trebuchet MS"/>
      <family val="2"/>
    </font>
    <font>
      <b/>
      <sz val="10"/>
      <color theme="0"/>
      <name val="Arial"/>
      <family val="2"/>
    </font>
    <font>
      <b/>
      <sz val="10"/>
      <color rgb="FF00B050"/>
      <name val="Trebuchet MS"/>
      <family val="2"/>
    </font>
    <font>
      <sz val="12"/>
      <color rgb="FF000000"/>
      <name val="Trebuchet MS"/>
      <family val="2"/>
    </font>
    <font>
      <sz val="12"/>
      <color rgb="FF000000"/>
      <name val="Times New Roman"/>
      <family val="1"/>
    </font>
    <font>
      <sz val="10"/>
      <color rgb="FF000000"/>
      <name val="Trebuchet MS"/>
      <family val="2"/>
    </font>
    <font>
      <b/>
      <sz val="10"/>
      <color rgb="FF000000"/>
      <name val="Trebuchet MS"/>
      <family val="2"/>
    </font>
    <font>
      <u/>
      <sz val="10"/>
      <color rgb="FF000000"/>
      <name val="Trebuchet MS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.5"/>
      <color rgb="FF000000"/>
      <name val="CIDFont+F1"/>
    </font>
    <font>
      <b/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Trebuchet MS"/>
      <family val="2"/>
    </font>
    <font>
      <b/>
      <sz val="24"/>
      <color rgb="FFFF0000"/>
      <name val="Trebuchet MS"/>
      <family val="2"/>
    </font>
    <font>
      <b/>
      <sz val="11"/>
      <color rgb="FFFF0000"/>
      <name val="Trebuchet MS"/>
      <family val="2"/>
    </font>
    <font>
      <b/>
      <sz val="20"/>
      <color rgb="FFFF0000"/>
      <name val="Trebuchet MS"/>
      <family val="2"/>
    </font>
    <font>
      <sz val="8"/>
      <color theme="0" tint="-0.499984740745262"/>
      <name val="Trebuchet MS"/>
      <family val="2"/>
    </font>
    <font>
      <b/>
      <sz val="11"/>
      <color theme="0"/>
      <name val="Trebuchet MS"/>
      <family val="2"/>
    </font>
    <font>
      <sz val="9"/>
      <color theme="0" tint="-0.499984740745262"/>
      <name val="Trebuchet MS"/>
      <family val="2"/>
    </font>
  </fonts>
  <fills count="13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6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66">
    <xf numFmtId="0" fontId="0" fillId="0" borderId="0" xfId="0"/>
    <xf numFmtId="0" fontId="8" fillId="0" borderId="0" xfId="0" applyFont="1" applyAlignment="1">
      <alignment horizontal="center"/>
    </xf>
    <xf numFmtId="0" fontId="9" fillId="0" borderId="0" xfId="0" applyFont="1"/>
    <xf numFmtId="0" fontId="9" fillId="0" borderId="1" xfId="0" applyFont="1" applyBorder="1"/>
    <xf numFmtId="0" fontId="66" fillId="0" borderId="0" xfId="0" applyFont="1"/>
    <xf numFmtId="0" fontId="11" fillId="0" borderId="0" xfId="0" applyFont="1" applyBorder="1"/>
    <xf numFmtId="0" fontId="9" fillId="0" borderId="0" xfId="0" applyFont="1" applyBorder="1"/>
    <xf numFmtId="0" fontId="10" fillId="0" borderId="0" xfId="0" applyFont="1" applyBorder="1" applyAlignment="1">
      <alignment horizontal="right"/>
    </xf>
    <xf numFmtId="2" fontId="9" fillId="0" borderId="0" xfId="0" applyNumberFormat="1" applyFont="1"/>
    <xf numFmtId="0" fontId="9" fillId="0" borderId="0" xfId="0" applyFont="1" applyAlignment="1"/>
    <xf numFmtId="0" fontId="12" fillId="0" borderId="0" xfId="0" applyFont="1" applyBorder="1" applyAlignment="1"/>
    <xf numFmtId="1" fontId="10" fillId="0" borderId="0" xfId="0" applyNumberFormat="1" applyFont="1"/>
    <xf numFmtId="0" fontId="13" fillId="0" borderId="1" xfId="0" applyFont="1" applyBorder="1"/>
    <xf numFmtId="0" fontId="13" fillId="0" borderId="0" xfId="0" applyFont="1"/>
    <xf numFmtId="1" fontId="9" fillId="0" borderId="0" xfId="0" applyNumberFormat="1" applyFont="1"/>
    <xf numFmtId="0" fontId="10" fillId="0" borderId="1" xfId="0" applyFont="1" applyBorder="1"/>
    <xf numFmtId="0" fontId="66" fillId="0" borderId="0" xfId="0" applyFont="1" applyBorder="1"/>
    <xf numFmtId="2" fontId="10" fillId="0" borderId="0" xfId="0" applyNumberFormat="1" applyFont="1" applyAlignment="1"/>
    <xf numFmtId="2" fontId="10" fillId="0" borderId="0" xfId="0" applyNumberFormat="1" applyFont="1" applyAlignment="1">
      <alignment horizontal="center"/>
    </xf>
    <xf numFmtId="0" fontId="10" fillId="0" borderId="0" xfId="0" applyFont="1"/>
    <xf numFmtId="1" fontId="9" fillId="0" borderId="0" xfId="0" applyNumberFormat="1" applyFont="1" applyBorder="1"/>
    <xf numFmtId="1" fontId="9" fillId="0" borderId="1" xfId="0" applyNumberFormat="1" applyFont="1" applyBorder="1"/>
    <xf numFmtId="0" fontId="16" fillId="0" borderId="0" xfId="0" applyFont="1"/>
    <xf numFmtId="0" fontId="16" fillId="0" borderId="0" xfId="0" applyFont="1" applyBorder="1"/>
    <xf numFmtId="0" fontId="16" fillId="0" borderId="0" xfId="0" applyFont="1" applyBorder="1" applyAlignment="1">
      <alignment horizontal="center"/>
    </xf>
    <xf numFmtId="2" fontId="16" fillId="0" borderId="0" xfId="0" applyNumberFormat="1" applyFont="1" applyBorder="1"/>
    <xf numFmtId="2" fontId="9" fillId="0" borderId="0" xfId="0" applyNumberFormat="1" applyFont="1" applyBorder="1" applyAlignment="1">
      <alignment horizontal="right"/>
    </xf>
    <xf numFmtId="2" fontId="9" fillId="0" borderId="0" xfId="0" applyNumberFormat="1" applyFont="1" applyBorder="1"/>
    <xf numFmtId="0" fontId="9" fillId="0" borderId="0" xfId="0" applyFont="1" applyBorder="1" applyAlignment="1">
      <alignment horizontal="left"/>
    </xf>
    <xf numFmtId="0" fontId="15" fillId="0" borderId="0" xfId="0" applyFont="1" applyBorder="1"/>
    <xf numFmtId="0" fontId="16" fillId="0" borderId="0" xfId="0" applyFont="1" applyFill="1"/>
    <xf numFmtId="0" fontId="16" fillId="0" borderId="0" xfId="0" applyFont="1" applyFill="1" applyBorder="1"/>
    <xf numFmtId="0" fontId="15" fillId="0" borderId="0" xfId="0" applyFont="1"/>
    <xf numFmtId="0" fontId="18" fillId="0" borderId="0" xfId="0" applyFont="1" applyFill="1" applyBorder="1" applyAlignment="1">
      <alignment horizontal="left"/>
    </xf>
    <xf numFmtId="0" fontId="15" fillId="0" borderId="0" xfId="0" applyFont="1" applyAlignment="1">
      <alignment horizontal="center"/>
    </xf>
    <xf numFmtId="0" fontId="15" fillId="0" borderId="0" xfId="0" applyFont="1" applyBorder="1" applyAlignment="1">
      <alignment horizontal="left"/>
    </xf>
    <xf numFmtId="0" fontId="67" fillId="0" borderId="0" xfId="1" applyNumberFormat="1" applyFont="1" applyAlignment="1">
      <alignment horizontal="left"/>
    </xf>
    <xf numFmtId="0" fontId="16" fillId="0" borderId="0" xfId="0" quotePrefix="1" applyFont="1"/>
    <xf numFmtId="0" fontId="17" fillId="0" borderId="0" xfId="0" applyFont="1" applyBorder="1" applyAlignment="1">
      <alignment horizontal="center"/>
    </xf>
    <xf numFmtId="0" fontId="15" fillId="3" borderId="2" xfId="0" applyFont="1" applyFill="1" applyBorder="1" applyAlignment="1">
      <alignment horizontal="center"/>
    </xf>
    <xf numFmtId="0" fontId="15" fillId="3" borderId="2" xfId="0" applyFont="1" applyFill="1" applyBorder="1" applyAlignment="1">
      <alignment horizontal="right"/>
    </xf>
    <xf numFmtId="164" fontId="16" fillId="0" borderId="0" xfId="0" applyNumberFormat="1" applyFont="1" applyBorder="1"/>
    <xf numFmtId="9" fontId="16" fillId="0" borderId="0" xfId="2" applyFont="1" applyBorder="1"/>
    <xf numFmtId="0" fontId="16" fillId="0" borderId="0" xfId="0" applyFont="1" applyAlignment="1">
      <alignment horizontal="left"/>
    </xf>
    <xf numFmtId="0" fontId="15" fillId="3" borderId="2" xfId="0" applyFont="1" applyFill="1" applyBorder="1"/>
    <xf numFmtId="0" fontId="68" fillId="0" borderId="0" xfId="0" applyFont="1"/>
    <xf numFmtId="14" fontId="16" fillId="0" borderId="0" xfId="0" applyNumberFormat="1" applyFont="1" applyAlignment="1">
      <alignment horizontal="left"/>
    </xf>
    <xf numFmtId="14" fontId="16" fillId="0" borderId="0" xfId="0" quotePrefix="1" applyNumberFormat="1" applyFont="1" applyAlignment="1">
      <alignment horizontal="left"/>
    </xf>
    <xf numFmtId="0" fontId="16" fillId="0" borderId="0" xfId="0" quotePrefix="1" applyFont="1" applyAlignment="1">
      <alignment horizontal="left"/>
    </xf>
    <xf numFmtId="2" fontId="67" fillId="0" borderId="0" xfId="1" applyNumberFormat="1" applyFont="1" applyAlignment="1">
      <alignment horizontal="left"/>
    </xf>
    <xf numFmtId="2" fontId="16" fillId="0" borderId="0" xfId="0" applyNumberFormat="1" applyFont="1" applyAlignment="1">
      <alignment horizontal="left"/>
    </xf>
    <xf numFmtId="2" fontId="67" fillId="0" borderId="0" xfId="1" quotePrefix="1" applyNumberFormat="1" applyFont="1" applyAlignment="1">
      <alignment horizontal="left"/>
    </xf>
    <xf numFmtId="0" fontId="22" fillId="0" borderId="0" xfId="0" applyFont="1"/>
    <xf numFmtId="0" fontId="15" fillId="3" borderId="3" xfId="0" applyFont="1" applyFill="1" applyBorder="1"/>
    <xf numFmtId="0" fontId="16" fillId="0" borderId="3" xfId="0" applyFont="1" applyBorder="1"/>
    <xf numFmtId="166" fontId="16" fillId="0" borderId="3" xfId="0" applyNumberFormat="1" applyFont="1" applyBorder="1" applyProtection="1">
      <protection locked="0"/>
    </xf>
    <xf numFmtId="0" fontId="16" fillId="2" borderId="3" xfId="0" applyFont="1" applyFill="1" applyBorder="1"/>
    <xf numFmtId="165" fontId="16" fillId="2" borderId="3" xfId="0" applyNumberFormat="1" applyFont="1" applyFill="1" applyBorder="1"/>
    <xf numFmtId="0" fontId="15" fillId="3" borderId="3" xfId="0" applyNumberFormat="1" applyFont="1" applyFill="1" applyBorder="1" applyAlignment="1">
      <alignment horizontal="right" wrapText="1"/>
    </xf>
    <xf numFmtId="0" fontId="13" fillId="0" borderId="0" xfId="0" applyFont="1" applyBorder="1"/>
    <xf numFmtId="0" fontId="9" fillId="0" borderId="0" xfId="0" applyFont="1" applyFill="1"/>
    <xf numFmtId="2" fontId="9" fillId="0" borderId="0" xfId="0" applyNumberFormat="1" applyFont="1" applyFill="1"/>
    <xf numFmtId="0" fontId="9" fillId="0" borderId="0" xfId="0" applyFont="1" applyFill="1" applyBorder="1"/>
    <xf numFmtId="0" fontId="69" fillId="0" borderId="0" xfId="0" applyFont="1" applyFill="1" applyBorder="1" applyAlignment="1">
      <alignment horizontal="right"/>
    </xf>
    <xf numFmtId="0" fontId="8" fillId="0" borderId="0" xfId="0" applyFont="1" applyFill="1" applyAlignment="1">
      <alignment horizontal="center"/>
    </xf>
    <xf numFmtId="0" fontId="66" fillId="0" borderId="0" xfId="0" applyFont="1" applyFill="1"/>
    <xf numFmtId="0" fontId="70" fillId="0" borderId="0" xfId="0" applyFont="1"/>
    <xf numFmtId="0" fontId="70" fillId="0" borderId="0" xfId="0" applyFont="1" applyFill="1"/>
    <xf numFmtId="0" fontId="70" fillId="4" borderId="0" xfId="0" applyFont="1" applyFill="1"/>
    <xf numFmtId="0" fontId="70" fillId="0" borderId="0" xfId="0" applyFont="1" applyBorder="1"/>
    <xf numFmtId="0" fontId="24" fillId="0" borderId="4" xfId="0" applyFont="1" applyBorder="1"/>
    <xf numFmtId="0" fontId="26" fillId="0" borderId="4" xfId="0" applyFont="1" applyBorder="1" applyAlignment="1">
      <alignment horizontal="left"/>
    </xf>
    <xf numFmtId="1" fontId="16" fillId="0" borderId="0" xfId="0" applyNumberFormat="1" applyFont="1" applyFill="1" applyBorder="1"/>
    <xf numFmtId="0" fontId="10" fillId="0" borderId="0" xfId="0" applyFont="1" applyFill="1" applyBorder="1" applyAlignment="1"/>
    <xf numFmtId="171" fontId="10" fillId="0" borderId="3" xfId="1" applyNumberFormat="1" applyFont="1" applyFill="1" applyBorder="1" applyProtection="1">
      <protection locked="0"/>
    </xf>
    <xf numFmtId="0" fontId="19" fillId="0" borderId="0" xfId="0" applyFont="1" applyFill="1" applyAlignment="1">
      <alignment vertical="center"/>
    </xf>
    <xf numFmtId="0" fontId="10" fillId="0" borderId="0" xfId="0" applyFont="1" applyFill="1"/>
    <xf numFmtId="10" fontId="10" fillId="0" borderId="3" xfId="0" applyNumberFormat="1" applyFont="1" applyFill="1" applyBorder="1"/>
    <xf numFmtId="0" fontId="19" fillId="0" borderId="0" xfId="0" applyFont="1" applyFill="1" applyAlignment="1">
      <alignment horizontal="left"/>
    </xf>
    <xf numFmtId="9" fontId="10" fillId="0" borderId="0" xfId="0" applyNumberFormat="1" applyFont="1" applyFill="1"/>
    <xf numFmtId="169" fontId="10" fillId="0" borderId="3" xfId="0" applyNumberFormat="1" applyFont="1" applyFill="1" applyBorder="1"/>
    <xf numFmtId="169" fontId="10" fillId="0" borderId="0" xfId="0" applyNumberFormat="1" applyFont="1" applyFill="1"/>
    <xf numFmtId="40" fontId="9" fillId="0" borderId="0" xfId="0" applyNumberFormat="1" applyFont="1" applyFill="1"/>
    <xf numFmtId="38" fontId="10" fillId="0" borderId="0" xfId="0" applyNumberFormat="1" applyFont="1" applyFill="1" applyBorder="1"/>
    <xf numFmtId="170" fontId="9" fillId="0" borderId="0" xfId="0" applyNumberFormat="1" applyFont="1" applyFill="1"/>
    <xf numFmtId="0" fontId="9" fillId="0" borderId="3" xfId="0" applyFont="1" applyFill="1" applyBorder="1" applyAlignment="1">
      <alignment horizontal="right"/>
    </xf>
    <xf numFmtId="38" fontId="9" fillId="0" borderId="3" xfId="0" applyNumberFormat="1" applyFont="1" applyFill="1" applyBorder="1" applyAlignment="1">
      <alignment horizontal="right"/>
    </xf>
    <xf numFmtId="168" fontId="9" fillId="0" borderId="0" xfId="0" applyNumberFormat="1" applyFont="1" applyFill="1"/>
    <xf numFmtId="167" fontId="9" fillId="0" borderId="0" xfId="0" applyNumberFormat="1" applyFont="1" applyFill="1"/>
    <xf numFmtId="1" fontId="5" fillId="0" borderId="0" xfId="0" applyNumberFormat="1" applyFont="1" applyFill="1"/>
    <xf numFmtId="0" fontId="5" fillId="0" borderId="0" xfId="0" applyFont="1" applyFill="1"/>
    <xf numFmtId="0" fontId="4" fillId="0" borderId="0" xfId="0" applyFont="1" applyFill="1" applyAlignment="1">
      <alignment horizontal="center"/>
    </xf>
    <xf numFmtId="0" fontId="4" fillId="0" borderId="0" xfId="0" applyFont="1" applyFill="1"/>
    <xf numFmtId="0" fontId="5" fillId="0" borderId="0" xfId="0" applyFont="1" applyFill="1" applyBorder="1"/>
    <xf numFmtId="0" fontId="4" fillId="0" borderId="0" xfId="0" applyFont="1" applyFill="1" applyBorder="1"/>
    <xf numFmtId="0" fontId="4" fillId="0" borderId="0" xfId="0" applyFont="1" applyFill="1" applyBorder="1" applyAlignment="1">
      <alignment horizontal="right"/>
    </xf>
    <xf numFmtId="0" fontId="6" fillId="0" borderId="0" xfId="0" applyFont="1" applyFill="1" applyBorder="1"/>
    <xf numFmtId="0" fontId="6" fillId="0" borderId="0" xfId="0" applyFont="1" applyFill="1"/>
    <xf numFmtId="1" fontId="4" fillId="0" borderId="0" xfId="0" applyNumberFormat="1" applyFont="1" applyFill="1"/>
    <xf numFmtId="0" fontId="6" fillId="0" borderId="0" xfId="0" applyFont="1" applyFill="1" applyAlignment="1">
      <alignment horizontal="center"/>
    </xf>
    <xf numFmtId="1" fontId="6" fillId="0" borderId="0" xfId="0" applyNumberFormat="1" applyFont="1" applyFill="1"/>
    <xf numFmtId="0" fontId="7" fillId="0" borderId="0" xfId="0" applyFont="1" applyFill="1"/>
    <xf numFmtId="0" fontId="6" fillId="0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1" fontId="4" fillId="0" borderId="5" xfId="0" applyNumberFormat="1" applyFont="1" applyFill="1" applyBorder="1" applyAlignment="1">
      <alignment vertical="center"/>
    </xf>
    <xf numFmtId="0" fontId="5" fillId="0" borderId="1" xfId="0" applyFont="1" applyFill="1" applyBorder="1"/>
    <xf numFmtId="0" fontId="23" fillId="0" borderId="0" xfId="0" applyFont="1" applyFill="1"/>
    <xf numFmtId="0" fontId="5" fillId="0" borderId="0" xfId="0" applyFont="1" applyFill="1" applyAlignment="1">
      <alignment horizontal="center"/>
    </xf>
    <xf numFmtId="1" fontId="5" fillId="0" borderId="0" xfId="0" applyNumberFormat="1" applyFont="1" applyFill="1" applyAlignment="1">
      <alignment horizontal="right"/>
    </xf>
    <xf numFmtId="1" fontId="4" fillId="0" borderId="5" xfId="0" applyNumberFormat="1" applyFont="1" applyFill="1" applyBorder="1"/>
    <xf numFmtId="1" fontId="5" fillId="0" borderId="0" xfId="0" applyNumberFormat="1" applyFont="1" applyFill="1" applyBorder="1" applyAlignment="1">
      <alignment horizontal="right"/>
    </xf>
    <xf numFmtId="1" fontId="5" fillId="0" borderId="0" xfId="0" applyNumberFormat="1" applyFont="1" applyFill="1" applyAlignment="1"/>
    <xf numFmtId="1" fontId="4" fillId="0" borderId="5" xfId="0" applyNumberFormat="1" applyFont="1" applyFill="1" applyBorder="1" applyAlignment="1"/>
    <xf numFmtId="0" fontId="27" fillId="0" borderId="0" xfId="0" applyFont="1" applyBorder="1" applyAlignment="1">
      <alignment horizontal="center"/>
    </xf>
    <xf numFmtId="0" fontId="29" fillId="0" borderId="0" xfId="0" applyFont="1" applyBorder="1"/>
    <xf numFmtId="0" fontId="27" fillId="0" borderId="0" xfId="0" applyFont="1" applyBorder="1"/>
    <xf numFmtId="2" fontId="29" fillId="0" borderId="0" xfId="0" applyNumberFormat="1" applyFont="1" applyBorder="1"/>
    <xf numFmtId="0" fontId="29" fillId="0" borderId="0" xfId="0" applyFont="1" applyFill="1" applyBorder="1"/>
    <xf numFmtId="0" fontId="29" fillId="0" borderId="6" xfId="0" applyFont="1" applyBorder="1" applyAlignment="1">
      <alignment horizontal="center"/>
    </xf>
    <xf numFmtId="0" fontId="29" fillId="0" borderId="6" xfId="0" applyFont="1" applyBorder="1"/>
    <xf numFmtId="2" fontId="29" fillId="0" borderId="6" xfId="0" applyNumberFormat="1" applyFont="1" applyBorder="1"/>
    <xf numFmtId="0" fontId="30" fillId="0" borderId="0" xfId="0" applyFont="1"/>
    <xf numFmtId="0" fontId="3" fillId="0" borderId="0" xfId="0" applyFont="1"/>
    <xf numFmtId="9" fontId="0" fillId="0" borderId="0" xfId="0" applyNumberFormat="1"/>
    <xf numFmtId="1" fontId="0" fillId="0" borderId="0" xfId="0" applyNumberFormat="1"/>
    <xf numFmtId="2" fontId="4" fillId="0" borderId="0" xfId="0" applyNumberFormat="1" applyFont="1" applyFill="1" applyBorder="1" applyAlignment="1">
      <alignment vertical="center"/>
    </xf>
    <xf numFmtId="2" fontId="29" fillId="0" borderId="0" xfId="0" applyNumberFormat="1" applyFont="1" applyFill="1" applyBorder="1"/>
    <xf numFmtId="0" fontId="9" fillId="0" borderId="1" xfId="0" applyFont="1" applyFill="1" applyBorder="1"/>
    <xf numFmtId="2" fontId="9" fillId="0" borderId="0" xfId="0" applyNumberFormat="1" applyFont="1" applyAlignment="1"/>
    <xf numFmtId="0" fontId="0" fillId="0" borderId="0" xfId="0" applyBorder="1"/>
    <xf numFmtId="0" fontId="0" fillId="0" borderId="0" xfId="0" applyFill="1" applyBorder="1"/>
    <xf numFmtId="0" fontId="30" fillId="0" borderId="0" xfId="0" applyFont="1" applyFill="1" applyBorder="1"/>
    <xf numFmtId="0" fontId="30" fillId="0" borderId="0" xfId="0" applyFont="1" applyBorder="1" applyAlignment="1">
      <alignment horizontal="center"/>
    </xf>
    <xf numFmtId="0" fontId="30" fillId="3" borderId="7" xfId="0" applyFont="1" applyFill="1" applyBorder="1"/>
    <xf numFmtId="0" fontId="0" fillId="3" borderId="8" xfId="0" applyFill="1" applyBorder="1"/>
    <xf numFmtId="0" fontId="30" fillId="3" borderId="8" xfId="0" applyFont="1" applyFill="1" applyBorder="1"/>
    <xf numFmtId="0" fontId="0" fillId="0" borderId="1" xfId="0" applyBorder="1"/>
    <xf numFmtId="0" fontId="30" fillId="3" borderId="8" xfId="0" applyFont="1" applyFill="1" applyBorder="1" applyAlignment="1">
      <alignment horizontal="right"/>
    </xf>
    <xf numFmtId="2" fontId="5" fillId="0" borderId="0" xfId="0" applyNumberFormat="1" applyFont="1" applyFill="1"/>
    <xf numFmtId="9" fontId="9" fillId="0" borderId="0" xfId="0" applyNumberFormat="1" applyFont="1"/>
    <xf numFmtId="1" fontId="9" fillId="0" borderId="0" xfId="0" applyNumberFormat="1" applyFont="1" applyBorder="1" applyAlignment="1">
      <alignment horizontal="right"/>
    </xf>
    <xf numFmtId="2" fontId="4" fillId="0" borderId="0" xfId="0" applyNumberFormat="1" applyFont="1" applyFill="1"/>
    <xf numFmtId="0" fontId="27" fillId="0" borderId="0" xfId="0" applyFont="1" applyBorder="1" applyAlignment="1">
      <alignment horizontal="right"/>
    </xf>
    <xf numFmtId="1" fontId="16" fillId="0" borderId="3" xfId="0" applyNumberFormat="1" applyFont="1" applyBorder="1"/>
    <xf numFmtId="9" fontId="29" fillId="0" borderId="0" xfId="0" applyNumberFormat="1" applyFont="1" applyBorder="1"/>
    <xf numFmtId="0" fontId="25" fillId="0" borderId="0" xfId="0" applyFont="1" applyBorder="1" applyAlignment="1">
      <alignment horizontal="left"/>
    </xf>
    <xf numFmtId="0" fontId="10" fillId="0" borderId="0" xfId="0" applyFont="1" applyAlignment="1">
      <alignment wrapText="1"/>
    </xf>
    <xf numFmtId="0" fontId="69" fillId="0" borderId="9" xfId="0" applyFont="1" applyBorder="1" applyAlignment="1">
      <alignment horizontal="right"/>
    </xf>
    <xf numFmtId="0" fontId="1" fillId="0" borderId="0" xfId="0" applyFont="1" applyBorder="1"/>
    <xf numFmtId="9" fontId="5" fillId="0" borderId="0" xfId="0" applyNumberFormat="1" applyFont="1" applyFill="1"/>
    <xf numFmtId="2" fontId="16" fillId="0" borderId="0" xfId="0" applyNumberFormat="1" applyFont="1" applyFill="1"/>
    <xf numFmtId="0" fontId="16" fillId="0" borderId="0" xfId="0" applyFont="1" applyFill="1" applyAlignment="1">
      <alignment horizontal="center"/>
    </xf>
    <xf numFmtId="0" fontId="15" fillId="0" borderId="0" xfId="0" applyFont="1" applyFill="1" applyBorder="1"/>
    <xf numFmtId="0" fontId="15" fillId="0" borderId="0" xfId="0" applyFont="1" applyFill="1" applyBorder="1" applyAlignment="1">
      <alignment horizontal="center"/>
    </xf>
    <xf numFmtId="0" fontId="15" fillId="0" borderId="0" xfId="0" applyFont="1" applyFill="1"/>
    <xf numFmtId="0" fontId="71" fillId="0" borderId="0" xfId="0" applyFont="1" applyFill="1" applyBorder="1"/>
    <xf numFmtId="2" fontId="16" fillId="0" borderId="0" xfId="0" applyNumberFormat="1" applyFont="1" applyFill="1" applyBorder="1"/>
    <xf numFmtId="0" fontId="16" fillId="0" borderId="0" xfId="0" applyFont="1" applyFill="1" applyBorder="1" applyAlignment="1">
      <alignment wrapText="1"/>
    </xf>
    <xf numFmtId="0" fontId="72" fillId="0" borderId="0" xfId="0" applyFont="1" applyFill="1" applyBorder="1"/>
    <xf numFmtId="0" fontId="16" fillId="0" borderId="0" xfId="0" applyFont="1" applyFill="1" applyBorder="1" applyAlignment="1">
      <alignment horizontal="left"/>
    </xf>
    <xf numFmtId="0" fontId="16" fillId="0" borderId="0" xfId="0" applyFont="1" applyFill="1" applyBorder="1" applyAlignment="1">
      <alignment horizontal="left" wrapText="1"/>
    </xf>
    <xf numFmtId="0" fontId="73" fillId="0" borderId="0" xfId="0" applyFont="1" applyFill="1" applyBorder="1"/>
    <xf numFmtId="1" fontId="15" fillId="0" borderId="0" xfId="0" applyNumberFormat="1" applyFont="1" applyFill="1" applyBorder="1"/>
    <xf numFmtId="1" fontId="16" fillId="0" borderId="0" xfId="0" applyNumberFormat="1" applyFont="1"/>
    <xf numFmtId="1" fontId="15" fillId="0" borderId="6" xfId="0" applyNumberFormat="1" applyFont="1" applyFill="1" applyBorder="1"/>
    <xf numFmtId="1" fontId="73" fillId="0" borderId="0" xfId="0" applyNumberFormat="1" applyFont="1" applyFill="1" applyBorder="1"/>
    <xf numFmtId="2" fontId="74" fillId="0" borderId="0" xfId="0" applyNumberFormat="1" applyFont="1" applyFill="1"/>
    <xf numFmtId="0" fontId="74" fillId="0" borderId="0" xfId="0" applyFont="1" applyFill="1" applyAlignment="1">
      <alignment horizontal="right"/>
    </xf>
    <xf numFmtId="0" fontId="1" fillId="0" borderId="0" xfId="0" applyFont="1"/>
    <xf numFmtId="0" fontId="1" fillId="0" borderId="3" xfId="0" applyFont="1" applyBorder="1" applyAlignment="1">
      <alignment wrapText="1"/>
    </xf>
    <xf numFmtId="0" fontId="9" fillId="0" borderId="3" xfId="0" applyFont="1" applyBorder="1"/>
    <xf numFmtId="0" fontId="9" fillId="5" borderId="3" xfId="0" applyFont="1" applyFill="1" applyBorder="1"/>
    <xf numFmtId="0" fontId="9" fillId="0" borderId="3" xfId="0" applyFont="1" applyBorder="1" applyAlignment="1">
      <alignment horizontal="center"/>
    </xf>
    <xf numFmtId="0" fontId="0" fillId="0" borderId="3" xfId="0" applyBorder="1"/>
    <xf numFmtId="0" fontId="1" fillId="0" borderId="3" xfId="0" applyFont="1" applyBorder="1"/>
    <xf numFmtId="0" fontId="9" fillId="6" borderId="3" xfId="0" applyFont="1" applyFill="1" applyBorder="1" applyAlignment="1">
      <alignment horizontal="center"/>
    </xf>
    <xf numFmtId="0" fontId="9" fillId="0" borderId="3" xfId="0" applyFont="1" applyBorder="1" applyAlignment="1">
      <alignment wrapText="1"/>
    </xf>
    <xf numFmtId="0" fontId="0" fillId="5" borderId="3" xfId="0" applyFill="1" applyBorder="1"/>
    <xf numFmtId="0" fontId="9" fillId="0" borderId="3" xfId="0" applyFont="1" applyFill="1" applyBorder="1"/>
    <xf numFmtId="0" fontId="36" fillId="0" borderId="0" xfId="0" applyFont="1"/>
    <xf numFmtId="0" fontId="36" fillId="7" borderId="10" xfId="0" applyFont="1" applyFill="1" applyBorder="1"/>
    <xf numFmtId="0" fontId="36" fillId="7" borderId="11" xfId="0" applyFont="1" applyFill="1" applyBorder="1"/>
    <xf numFmtId="0" fontId="36" fillId="7" borderId="12" xfId="0" applyFont="1" applyFill="1" applyBorder="1"/>
    <xf numFmtId="0" fontId="36" fillId="0" borderId="0" xfId="0" applyFont="1" applyBorder="1"/>
    <xf numFmtId="0" fontId="36" fillId="7" borderId="4" xfId="0" applyFont="1" applyFill="1" applyBorder="1"/>
    <xf numFmtId="0" fontId="36" fillId="7" borderId="0" xfId="0" applyFont="1" applyFill="1" applyBorder="1"/>
    <xf numFmtId="0" fontId="36" fillId="7" borderId="13" xfId="0" applyFont="1" applyFill="1" applyBorder="1"/>
    <xf numFmtId="0" fontId="37" fillId="0" borderId="0" xfId="0" applyFont="1" applyBorder="1" applyAlignment="1">
      <alignment horizontal="center"/>
    </xf>
    <xf numFmtId="0" fontId="37" fillId="7" borderId="13" xfId="0" applyFont="1" applyFill="1" applyBorder="1" applyAlignment="1"/>
    <xf numFmtId="0" fontId="36" fillId="0" borderId="1" xfId="0" applyFont="1" applyBorder="1"/>
    <xf numFmtId="0" fontId="37" fillId="7" borderId="13" xfId="0" applyFont="1" applyFill="1" applyBorder="1" applyAlignment="1">
      <alignment wrapText="1"/>
    </xf>
    <xf numFmtId="0" fontId="37" fillId="0" borderId="0" xfId="0" applyFont="1" applyBorder="1" applyAlignment="1">
      <alignment wrapText="1"/>
    </xf>
    <xf numFmtId="2" fontId="37" fillId="0" borderId="0" xfId="0" applyNumberFormat="1" applyFont="1" applyBorder="1" applyAlignment="1">
      <alignment wrapText="1"/>
    </xf>
    <xf numFmtId="2" fontId="37" fillId="0" borderId="0" xfId="0" applyNumberFormat="1" applyFont="1" applyBorder="1" applyAlignment="1"/>
    <xf numFmtId="0" fontId="37" fillId="0" borderId="0" xfId="0" applyFont="1" applyBorder="1" applyAlignment="1"/>
    <xf numFmtId="0" fontId="37" fillId="0" borderId="0" xfId="0" applyFont="1" applyBorder="1"/>
    <xf numFmtId="0" fontId="36" fillId="7" borderId="14" xfId="0" applyFont="1" applyFill="1" applyBorder="1"/>
    <xf numFmtId="0" fontId="36" fillId="7" borderId="1" xfId="0" applyFont="1" applyFill="1" applyBorder="1"/>
    <xf numFmtId="0" fontId="36" fillId="7" borderId="15" xfId="0" applyFont="1" applyFill="1" applyBorder="1"/>
    <xf numFmtId="0" fontId="10" fillId="0" borderId="0" xfId="0" applyFont="1" applyFill="1" applyAlignment="1"/>
    <xf numFmtId="0" fontId="10" fillId="0" borderId="0" xfId="0" applyFont="1" applyAlignment="1"/>
    <xf numFmtId="0" fontId="8" fillId="0" borderId="0" xfId="0" applyFont="1" applyAlignment="1"/>
    <xf numFmtId="0" fontId="9" fillId="0" borderId="0" xfId="0" applyFont="1" applyFill="1" applyBorder="1" applyAlignment="1"/>
    <xf numFmtId="0" fontId="9" fillId="0" borderId="0" xfId="0" applyFont="1" applyAlignment="1">
      <alignment horizontal="left" vertical="top" wrapText="1"/>
    </xf>
    <xf numFmtId="0" fontId="9" fillId="0" borderId="0" xfId="0" applyFont="1" applyFill="1" applyAlignment="1">
      <alignment vertical="top"/>
    </xf>
    <xf numFmtId="0" fontId="9" fillId="0" borderId="0" xfId="0" applyFont="1" applyAlignment="1">
      <alignment vertical="top" wrapText="1"/>
    </xf>
    <xf numFmtId="0" fontId="9" fillId="0" borderId="0" xfId="0" applyFont="1" applyFill="1" applyBorder="1" applyAlignment="1">
      <alignment horizontal="left"/>
    </xf>
    <xf numFmtId="2" fontId="9" fillId="0" borderId="0" xfId="0" applyNumberFormat="1" applyFont="1" applyFill="1" applyBorder="1" applyAlignment="1">
      <alignment horizontal="left" vertical="top" wrapText="1"/>
    </xf>
    <xf numFmtId="0" fontId="9" fillId="0" borderId="0" xfId="0" applyFont="1" applyFill="1" applyBorder="1" applyAlignment="1">
      <alignment horizontal="left" vertical="top" wrapText="1"/>
    </xf>
    <xf numFmtId="0" fontId="9" fillId="0" borderId="0" xfId="0" applyFont="1" applyFill="1" applyBorder="1" applyAlignment="1">
      <alignment vertical="top" wrapText="1"/>
    </xf>
    <xf numFmtId="1" fontId="9" fillId="0" borderId="0" xfId="0" applyNumberFormat="1" applyFont="1" applyFill="1" applyBorder="1" applyAlignment="1">
      <alignment horizontal="left" vertical="top" wrapText="1"/>
    </xf>
    <xf numFmtId="0" fontId="9" fillId="0" borderId="0" xfId="0" applyFont="1" applyAlignment="1">
      <alignment horizontal="justify"/>
    </xf>
    <xf numFmtId="0" fontId="13" fillId="0" borderId="0" xfId="0" applyFont="1" applyAlignment="1"/>
    <xf numFmtId="1" fontId="9" fillId="0" borderId="0" xfId="0" applyNumberFormat="1" applyFont="1" applyAlignment="1">
      <alignment horizontal="left"/>
    </xf>
    <xf numFmtId="0" fontId="8" fillId="0" borderId="0" xfId="0" applyFont="1"/>
    <xf numFmtId="0" fontId="10" fillId="0" borderId="0" xfId="0" applyFont="1" applyAlignment="1">
      <alignment horizontal="left" wrapText="1"/>
    </xf>
    <xf numFmtId="0" fontId="9" fillId="0" borderId="0" xfId="0" applyFont="1" applyFill="1" applyAlignment="1">
      <alignment horizontal="left"/>
    </xf>
    <xf numFmtId="0" fontId="9" fillId="0" borderId="0" xfId="0" applyFont="1" applyFill="1" applyAlignment="1"/>
    <xf numFmtId="0" fontId="4" fillId="7" borderId="7" xfId="0" applyFont="1" applyFill="1" applyBorder="1" applyAlignment="1">
      <alignment horizontal="center" vertical="center"/>
    </xf>
    <xf numFmtId="0" fontId="4" fillId="7" borderId="7" xfId="0" applyFont="1" applyFill="1" applyBorder="1" applyAlignment="1">
      <alignment vertical="center"/>
    </xf>
    <xf numFmtId="0" fontId="4" fillId="7" borderId="8" xfId="0" applyFont="1" applyFill="1" applyBorder="1" applyAlignment="1">
      <alignment horizontal="center" vertical="center" wrapText="1"/>
    </xf>
    <xf numFmtId="0" fontId="5" fillId="7" borderId="5" xfId="0" applyFont="1" applyFill="1" applyBorder="1"/>
    <xf numFmtId="0" fontId="4" fillId="7" borderId="5" xfId="0" applyFont="1" applyFill="1" applyBorder="1" applyAlignment="1">
      <alignment horizontal="center" vertical="center" wrapText="1"/>
    </xf>
    <xf numFmtId="0" fontId="4" fillId="7" borderId="5" xfId="0" applyFont="1" applyFill="1" applyBorder="1" applyAlignment="1">
      <alignment horizontal="center" vertical="center"/>
    </xf>
    <xf numFmtId="0" fontId="10" fillId="7" borderId="6" xfId="0" applyFont="1" applyFill="1" applyBorder="1" applyAlignment="1">
      <alignment horizontal="center"/>
    </xf>
    <xf numFmtId="0" fontId="10" fillId="7" borderId="6" xfId="0" applyFont="1" applyFill="1" applyBorder="1" applyAlignment="1">
      <alignment horizontal="right" wrapText="1"/>
    </xf>
    <xf numFmtId="0" fontId="10" fillId="7" borderId="6" xfId="0" applyFont="1" applyFill="1" applyBorder="1" applyAlignment="1">
      <alignment horizontal="right"/>
    </xf>
    <xf numFmtId="0" fontId="11" fillId="7" borderId="6" xfId="0" applyFont="1" applyFill="1" applyBorder="1" applyAlignment="1">
      <alignment horizontal="center"/>
    </xf>
    <xf numFmtId="0" fontId="9" fillId="7" borderId="7" xfId="0" applyFont="1" applyFill="1" applyBorder="1"/>
    <xf numFmtId="0" fontId="10" fillId="7" borderId="7" xfId="0" applyFont="1" applyFill="1" applyBorder="1" applyAlignment="1">
      <alignment horizontal="center"/>
    </xf>
    <xf numFmtId="0" fontId="9" fillId="7" borderId="0" xfId="0" applyFont="1" applyFill="1" applyBorder="1"/>
    <xf numFmtId="0" fontId="10" fillId="7" borderId="0" xfId="0" applyFont="1" applyFill="1" applyBorder="1" applyAlignment="1">
      <alignment horizontal="center"/>
    </xf>
    <xf numFmtId="0" fontId="9" fillId="7" borderId="8" xfId="0" applyFont="1" applyFill="1" applyBorder="1"/>
    <xf numFmtId="10" fontId="10" fillId="7" borderId="8" xfId="0" applyNumberFormat="1" applyFont="1" applyFill="1" applyBorder="1" applyAlignment="1">
      <alignment horizontal="center"/>
    </xf>
    <xf numFmtId="0" fontId="10" fillId="7" borderId="8" xfId="0" applyFont="1" applyFill="1" applyBorder="1" applyAlignment="1">
      <alignment horizontal="center"/>
    </xf>
    <xf numFmtId="0" fontId="15" fillId="7" borderId="5" xfId="0" applyFont="1" applyFill="1" applyBorder="1"/>
    <xf numFmtId="0" fontId="15" fillId="7" borderId="5" xfId="0" applyFont="1" applyFill="1" applyBorder="1" applyAlignment="1">
      <alignment horizontal="center" wrapText="1"/>
    </xf>
    <xf numFmtId="0" fontId="27" fillId="0" borderId="0" xfId="0" applyFont="1" applyFill="1" applyBorder="1" applyAlignment="1">
      <alignment horizontal="left"/>
    </xf>
    <xf numFmtId="0" fontId="27" fillId="0" borderId="0" xfId="0" applyFont="1" applyFill="1" applyBorder="1" applyAlignment="1">
      <alignment horizontal="right"/>
    </xf>
    <xf numFmtId="0" fontId="0" fillId="5" borderId="0" xfId="0" applyFill="1"/>
    <xf numFmtId="0" fontId="0" fillId="3" borderId="0" xfId="0" applyFill="1"/>
    <xf numFmtId="0" fontId="0" fillId="0" borderId="0" xfId="0" applyFill="1"/>
    <xf numFmtId="0" fontId="0" fillId="0" borderId="3" xfId="0" applyFill="1" applyBorder="1"/>
    <xf numFmtId="0" fontId="10" fillId="3" borderId="16" xfId="0" applyFont="1" applyFill="1" applyBorder="1"/>
    <xf numFmtId="0" fontId="1" fillId="0" borderId="3" xfId="0" applyFont="1" applyBorder="1" applyAlignment="1">
      <alignment horizontal="center"/>
    </xf>
    <xf numFmtId="0" fontId="9" fillId="8" borderId="3" xfId="0" applyFont="1" applyFill="1" applyBorder="1"/>
    <xf numFmtId="0" fontId="0" fillId="8" borderId="3" xfId="0" applyFill="1" applyBorder="1"/>
    <xf numFmtId="0" fontId="0" fillId="8" borderId="0" xfId="0" applyFill="1"/>
    <xf numFmtId="0" fontId="0" fillId="8" borderId="0" xfId="0" applyFill="1" applyAlignment="1">
      <alignment horizontal="center"/>
    </xf>
    <xf numFmtId="0" fontId="0" fillId="3" borderId="17" xfId="0" applyFill="1" applyBorder="1"/>
    <xf numFmtId="0" fontId="0" fillId="8" borderId="17" xfId="0" applyFill="1" applyBorder="1"/>
    <xf numFmtId="0" fontId="23" fillId="0" borderId="0" xfId="0" applyFont="1" applyFill="1" applyBorder="1"/>
    <xf numFmtId="0" fontId="13" fillId="0" borderId="0" xfId="0" applyFont="1" applyBorder="1" applyAlignment="1">
      <alignment vertical="center" wrapText="1"/>
    </xf>
    <xf numFmtId="0" fontId="75" fillId="0" borderId="0" xfId="0" applyFont="1" applyFill="1" applyAlignment="1">
      <alignment vertical="top"/>
    </xf>
    <xf numFmtId="0" fontId="21" fillId="7" borderId="0" xfId="0" applyFont="1" applyFill="1" applyBorder="1" applyAlignment="1">
      <alignment horizontal="left"/>
    </xf>
    <xf numFmtId="0" fontId="10" fillId="7" borderId="0" xfId="0" applyFont="1" applyFill="1" applyBorder="1" applyAlignment="1">
      <alignment horizontal="left" wrapText="1"/>
    </xf>
    <xf numFmtId="0" fontId="10" fillId="7" borderId="0" xfId="0" applyFont="1" applyFill="1" applyBorder="1" applyAlignment="1">
      <alignment horizontal="left"/>
    </xf>
    <xf numFmtId="0" fontId="15" fillId="0" borderId="0" xfId="0" applyFont="1" applyAlignment="1"/>
    <xf numFmtId="0" fontId="27" fillId="7" borderId="5" xfId="0" applyFont="1" applyFill="1" applyBorder="1" applyAlignment="1">
      <alignment horizontal="left"/>
    </xf>
    <xf numFmtId="0" fontId="29" fillId="7" borderId="5" xfId="0" applyFont="1" applyFill="1" applyBorder="1"/>
    <xf numFmtId="0" fontId="27" fillId="7" borderId="5" xfId="0" applyFont="1" applyFill="1" applyBorder="1" applyAlignment="1">
      <alignment horizontal="right"/>
    </xf>
    <xf numFmtId="0" fontId="27" fillId="7" borderId="5" xfId="0" applyFont="1" applyFill="1" applyBorder="1"/>
    <xf numFmtId="0" fontId="1" fillId="0" borderId="16" xfId="0" applyFont="1" applyBorder="1" applyAlignment="1">
      <alignment wrapText="1"/>
    </xf>
    <xf numFmtId="0" fontId="9" fillId="0" borderId="16" xfId="0" applyFont="1" applyBorder="1" applyAlignment="1">
      <alignment horizontal="center"/>
    </xf>
    <xf numFmtId="0" fontId="9" fillId="5" borderId="16" xfId="0" applyFont="1" applyFill="1" applyBorder="1"/>
    <xf numFmtId="0" fontId="9" fillId="0" borderId="18" xfId="0" applyFont="1" applyBorder="1"/>
    <xf numFmtId="0" fontId="1" fillId="8" borderId="16" xfId="0" applyFont="1" applyFill="1" applyBorder="1" applyAlignment="1">
      <alignment wrapText="1"/>
    </xf>
    <xf numFmtId="0" fontId="1" fillId="8" borderId="16" xfId="0" applyFont="1" applyFill="1" applyBorder="1" applyAlignment="1">
      <alignment horizontal="center"/>
    </xf>
    <xf numFmtId="0" fontId="9" fillId="8" borderId="16" xfId="0" applyFont="1" applyFill="1" applyBorder="1" applyAlignment="1">
      <alignment horizontal="center"/>
    </xf>
    <xf numFmtId="0" fontId="9" fillId="8" borderId="16" xfId="0" applyFont="1" applyFill="1" applyBorder="1"/>
    <xf numFmtId="0" fontId="9" fillId="8" borderId="18" xfId="0" applyFont="1" applyFill="1" applyBorder="1"/>
    <xf numFmtId="0" fontId="17" fillId="0" borderId="0" xfId="0" applyFont="1"/>
    <xf numFmtId="0" fontId="1" fillId="3" borderId="0" xfId="0" applyFont="1" applyFill="1"/>
    <xf numFmtId="0" fontId="1" fillId="8" borderId="0" xfId="0" applyFont="1" applyFill="1"/>
    <xf numFmtId="0" fontId="9" fillId="0" borderId="3" xfId="0" applyFont="1" applyBorder="1" applyAlignment="1">
      <alignment horizontal="center" wrapText="1"/>
    </xf>
    <xf numFmtId="0" fontId="9" fillId="0" borderId="3" xfId="0" applyFont="1" applyFill="1" applyBorder="1" applyAlignment="1">
      <alignment horizontal="center" wrapText="1"/>
    </xf>
    <xf numFmtId="2" fontId="18" fillId="0" borderId="0" xfId="0" applyNumberFormat="1" applyFont="1" applyFill="1" applyBorder="1" applyAlignment="1">
      <alignment horizontal="left"/>
    </xf>
    <xf numFmtId="0" fontId="5" fillId="0" borderId="0" xfId="0" applyFont="1" applyFill="1" applyAlignment="1">
      <alignment wrapText="1"/>
    </xf>
    <xf numFmtId="0" fontId="17" fillId="0" borderId="0" xfId="0" applyFont="1" applyAlignment="1">
      <alignment horizontal="right"/>
    </xf>
    <xf numFmtId="2" fontId="16" fillId="0" borderId="0" xfId="0" applyNumberFormat="1" applyFont="1"/>
    <xf numFmtId="0" fontId="9" fillId="3" borderId="18" xfId="0" applyFont="1" applyFill="1" applyBorder="1"/>
    <xf numFmtId="0" fontId="33" fillId="8" borderId="3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/>
    </xf>
    <xf numFmtId="1" fontId="10" fillId="0" borderId="3" xfId="0" applyNumberFormat="1" applyFont="1" applyFill="1" applyBorder="1"/>
    <xf numFmtId="0" fontId="9" fillId="6" borderId="18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3" xfId="0" applyFont="1" applyFill="1" applyBorder="1" applyAlignment="1">
      <alignment horizontal="center"/>
    </xf>
    <xf numFmtId="1" fontId="16" fillId="0" borderId="0" xfId="0" applyNumberFormat="1" applyFont="1" applyFill="1" applyBorder="1" applyAlignment="1">
      <alignment wrapText="1"/>
    </xf>
    <xf numFmtId="0" fontId="15" fillId="0" borderId="3" xfId="0" applyFont="1" applyBorder="1"/>
    <xf numFmtId="0" fontId="4" fillId="7" borderId="7" xfId="0" applyFont="1" applyFill="1" applyBorder="1" applyAlignment="1">
      <alignment horizontal="center" vertical="center"/>
    </xf>
    <xf numFmtId="1" fontId="16" fillId="0" borderId="0" xfId="0" applyNumberFormat="1" applyFont="1" applyAlignment="1">
      <alignment horizontal="center"/>
    </xf>
    <xf numFmtId="0" fontId="9" fillId="0" borderId="3" xfId="0" applyFont="1" applyFill="1" applyBorder="1" applyAlignment="1">
      <alignment horizontal="center"/>
    </xf>
    <xf numFmtId="0" fontId="15" fillId="9" borderId="6" xfId="0" applyFont="1" applyFill="1" applyBorder="1"/>
    <xf numFmtId="0" fontId="38" fillId="0" borderId="0" xfId="0" applyFont="1"/>
    <xf numFmtId="1" fontId="16" fillId="10" borderId="0" xfId="0" applyNumberFormat="1" applyFont="1" applyFill="1"/>
    <xf numFmtId="1" fontId="16" fillId="0" borderId="0" xfId="0" applyNumberFormat="1" applyFont="1" applyFill="1"/>
    <xf numFmtId="1" fontId="15" fillId="0" borderId="0" xfId="0" applyNumberFormat="1" applyFont="1"/>
    <xf numFmtId="1" fontId="16" fillId="0" borderId="6" xfId="0" applyNumberFormat="1" applyFont="1" applyBorder="1"/>
    <xf numFmtId="2" fontId="16" fillId="0" borderId="3" xfId="0" applyNumberFormat="1" applyFont="1" applyBorder="1"/>
    <xf numFmtId="0" fontId="9" fillId="11" borderId="3" xfId="0" applyFont="1" applyFill="1" applyBorder="1"/>
    <xf numFmtId="0" fontId="0" fillId="11" borderId="3" xfId="0" applyFill="1" applyBorder="1"/>
    <xf numFmtId="0" fontId="76" fillId="0" borderId="0" xfId="0" applyFont="1" applyFill="1"/>
    <xf numFmtId="0" fontId="76" fillId="0" borderId="0" xfId="0" applyFont="1" applyFill="1" applyAlignment="1">
      <alignment horizontal="right"/>
    </xf>
    <xf numFmtId="9" fontId="76" fillId="0" borderId="0" xfId="0" applyNumberFormat="1" applyFont="1" applyFill="1"/>
    <xf numFmtId="2" fontId="76" fillId="0" borderId="0" xfId="0" applyNumberFormat="1" applyFont="1" applyFill="1"/>
    <xf numFmtId="0" fontId="5" fillId="0" borderId="0" xfId="0" applyFont="1" applyFill="1" applyAlignment="1">
      <alignment horizontal="right"/>
    </xf>
    <xf numFmtId="0" fontId="0" fillId="6" borderId="3" xfId="0" applyFill="1" applyBorder="1" applyAlignment="1">
      <alignment horizontal="center"/>
    </xf>
    <xf numFmtId="0" fontId="33" fillId="8" borderId="19" xfId="0" applyFont="1" applyFill="1" applyBorder="1" applyAlignment="1">
      <alignment horizontal="center" vertical="center" wrapText="1"/>
    </xf>
    <xf numFmtId="0" fontId="9" fillId="8" borderId="0" xfId="0" applyFont="1" applyFill="1" applyBorder="1"/>
    <xf numFmtId="0" fontId="9" fillId="8" borderId="0" xfId="0" applyFont="1" applyFill="1" applyBorder="1" applyAlignment="1">
      <alignment horizontal="center"/>
    </xf>
    <xf numFmtId="0" fontId="0" fillId="8" borderId="0" xfId="0" applyFill="1" applyBorder="1"/>
    <xf numFmtId="0" fontId="27" fillId="8" borderId="20" xfId="0" applyFont="1" applyFill="1" applyBorder="1" applyAlignment="1">
      <alignment horizontal="center"/>
    </xf>
    <xf numFmtId="0" fontId="27" fillId="8" borderId="21" xfId="0" applyFont="1" applyFill="1" applyBorder="1" applyAlignment="1">
      <alignment horizontal="center"/>
    </xf>
    <xf numFmtId="0" fontId="27" fillId="8" borderId="19" xfId="0" applyFont="1" applyFill="1" applyBorder="1" applyAlignment="1">
      <alignment horizontal="center"/>
    </xf>
    <xf numFmtId="0" fontId="9" fillId="0" borderId="18" xfId="0" applyFont="1" applyBorder="1" applyAlignment="1">
      <alignment wrapText="1"/>
    </xf>
    <xf numFmtId="0" fontId="9" fillId="0" borderId="17" xfId="0" applyFont="1" applyFill="1" applyBorder="1"/>
    <xf numFmtId="0" fontId="9" fillId="0" borderId="21" xfId="0" applyFont="1" applyBorder="1" applyAlignment="1">
      <alignment wrapText="1"/>
    </xf>
    <xf numFmtId="0" fontId="9" fillId="0" borderId="21" xfId="0" applyFont="1" applyFill="1" applyBorder="1" applyAlignment="1">
      <alignment horizontal="center"/>
    </xf>
    <xf numFmtId="0" fontId="0" fillId="11" borderId="16" xfId="0" applyFill="1" applyBorder="1" applyAlignment="1">
      <alignment horizontal="center"/>
    </xf>
    <xf numFmtId="0" fontId="0" fillId="11" borderId="18" xfId="0" applyFill="1" applyBorder="1" applyAlignment="1">
      <alignment horizontal="center"/>
    </xf>
    <xf numFmtId="0" fontId="77" fillId="0" borderId="0" xfId="0" applyFont="1" applyFill="1"/>
    <xf numFmtId="1" fontId="5" fillId="0" borderId="0" xfId="0" applyNumberFormat="1" applyFont="1"/>
    <xf numFmtId="1" fontId="15" fillId="0" borderId="6" xfId="0" applyNumberFormat="1" applyFont="1" applyBorder="1"/>
    <xf numFmtId="0" fontId="15" fillId="9" borderId="1" xfId="0" applyFont="1" applyFill="1" applyBorder="1" applyAlignment="1">
      <alignment horizontal="center" wrapText="1"/>
    </xf>
    <xf numFmtId="0" fontId="15" fillId="9" borderId="1" xfId="0" applyFont="1" applyFill="1" applyBorder="1" applyAlignment="1">
      <alignment horizontal="center"/>
    </xf>
    <xf numFmtId="0" fontId="15" fillId="9" borderId="1" xfId="0" applyFont="1" applyFill="1" applyBorder="1"/>
    <xf numFmtId="0" fontId="15" fillId="0" borderId="0" xfId="0" applyFont="1" applyFill="1" applyBorder="1" applyAlignment="1">
      <alignment vertical="center" wrapText="1"/>
    </xf>
    <xf numFmtId="1" fontId="16" fillId="0" borderId="3" xfId="0" applyNumberFormat="1" applyFont="1" applyFill="1" applyBorder="1"/>
    <xf numFmtId="0" fontId="15" fillId="0" borderId="6" xfId="0" applyFont="1" applyBorder="1"/>
    <xf numFmtId="1" fontId="16" fillId="0" borderId="6" xfId="0" applyNumberFormat="1" applyFont="1" applyBorder="1" applyAlignment="1">
      <alignment horizontal="center"/>
    </xf>
    <xf numFmtId="1" fontId="15" fillId="0" borderId="0" xfId="0" applyNumberFormat="1" applyFont="1" applyBorder="1"/>
    <xf numFmtId="0" fontId="15" fillId="0" borderId="0" xfId="0" applyFont="1" applyFill="1" applyBorder="1" applyAlignment="1">
      <alignment horizontal="right" wrapText="1"/>
    </xf>
    <xf numFmtId="1" fontId="15" fillId="0" borderId="0" xfId="0" applyNumberFormat="1" applyFont="1" applyFill="1" applyBorder="1" applyAlignment="1">
      <alignment horizontal="right"/>
    </xf>
    <xf numFmtId="1" fontId="15" fillId="0" borderId="3" xfId="0" applyNumberFormat="1" applyFont="1" applyBorder="1"/>
    <xf numFmtId="0" fontId="17" fillId="0" borderId="0" xfId="0" applyFont="1" applyFill="1" applyBorder="1"/>
    <xf numFmtId="0" fontId="15" fillId="9" borderId="6" xfId="0" applyFont="1" applyFill="1" applyBorder="1" applyAlignment="1">
      <alignment horizontal="center" wrapText="1"/>
    </xf>
    <xf numFmtId="0" fontId="4" fillId="7" borderId="7" xfId="0" applyFont="1" applyFill="1" applyBorder="1" applyAlignment="1">
      <alignment vertical="center"/>
    </xf>
    <xf numFmtId="0" fontId="4" fillId="7" borderId="7" xfId="0" applyFont="1" applyFill="1" applyBorder="1" applyAlignment="1">
      <alignment horizontal="center" vertical="center"/>
    </xf>
    <xf numFmtId="0" fontId="16" fillId="0" borderId="7" xfId="0" applyFont="1" applyBorder="1"/>
    <xf numFmtId="10" fontId="16" fillId="0" borderId="7" xfId="0" applyNumberFormat="1" applyFont="1" applyBorder="1" applyAlignment="1">
      <alignment horizontal="center"/>
    </xf>
    <xf numFmtId="0" fontId="28" fillId="10" borderId="4" xfId="0" applyFont="1" applyFill="1" applyBorder="1"/>
    <xf numFmtId="1" fontId="5" fillId="10" borderId="0" xfId="0" applyNumberFormat="1" applyFont="1" applyFill="1"/>
    <xf numFmtId="0" fontId="16" fillId="10" borderId="0" xfId="0" applyFont="1" applyFill="1"/>
    <xf numFmtId="0" fontId="33" fillId="10" borderId="0" xfId="0" applyFont="1" applyFill="1" applyBorder="1" applyAlignment="1">
      <alignment horizontal="left" vertical="center" wrapText="1"/>
    </xf>
    <xf numFmtId="0" fontId="9" fillId="11" borderId="18" xfId="0" applyFont="1" applyFill="1" applyBorder="1" applyAlignment="1">
      <alignment horizontal="center"/>
    </xf>
    <xf numFmtId="0" fontId="27" fillId="0" borderId="0" xfId="0" applyNumberFormat="1" applyFont="1" applyFill="1" applyBorder="1" applyAlignment="1">
      <alignment horizontal="center" wrapText="1"/>
    </xf>
    <xf numFmtId="0" fontId="47" fillId="3" borderId="0" xfId="0" applyFont="1" applyFill="1" applyBorder="1"/>
    <xf numFmtId="0" fontId="0" fillId="8" borderId="20" xfId="0" applyFill="1" applyBorder="1"/>
    <xf numFmtId="0" fontId="9" fillId="11" borderId="2" xfId="0" applyFont="1" applyFill="1" applyBorder="1"/>
    <xf numFmtId="0" fontId="47" fillId="3" borderId="2" xfId="0" applyFont="1" applyFill="1" applyBorder="1"/>
    <xf numFmtId="0" fontId="41" fillId="3" borderId="2" xfId="0" applyFont="1" applyFill="1" applyBorder="1"/>
    <xf numFmtId="0" fontId="41" fillId="8" borderId="2" xfId="0" applyFont="1" applyFill="1" applyBorder="1"/>
    <xf numFmtId="0" fontId="1" fillId="8" borderId="3" xfId="0" applyFont="1" applyFill="1" applyBorder="1"/>
    <xf numFmtId="0" fontId="67" fillId="0" borderId="1" xfId="0" applyFont="1" applyFill="1" applyBorder="1"/>
    <xf numFmtId="0" fontId="16" fillId="0" borderId="1" xfId="0" applyFont="1" applyBorder="1"/>
    <xf numFmtId="0" fontId="15" fillId="7" borderId="6" xfId="0" applyFont="1" applyFill="1" applyBorder="1"/>
    <xf numFmtId="0" fontId="15" fillId="7" borderId="6" xfId="0" applyFont="1" applyFill="1" applyBorder="1" applyAlignment="1">
      <alignment horizontal="right"/>
    </xf>
    <xf numFmtId="0" fontId="27" fillId="0" borderId="0" xfId="0" applyFont="1"/>
    <xf numFmtId="0" fontId="29" fillId="0" borderId="0" xfId="0" applyFont="1"/>
    <xf numFmtId="0" fontId="15" fillId="0" borderId="22" xfId="0" applyFont="1" applyFill="1" applyBorder="1" applyAlignment="1">
      <alignment wrapText="1"/>
    </xf>
    <xf numFmtId="0" fontId="10" fillId="7" borderId="5" xfId="0" applyFont="1" applyFill="1" applyBorder="1"/>
    <xf numFmtId="0" fontId="10" fillId="7" borderId="5" xfId="0" applyFont="1" applyFill="1" applyBorder="1" applyAlignment="1">
      <alignment horizontal="right" wrapText="1"/>
    </xf>
    <xf numFmtId="0" fontId="10" fillId="7" borderId="5" xfId="0" applyFont="1" applyFill="1" applyBorder="1" applyAlignment="1">
      <alignment horizontal="right"/>
    </xf>
    <xf numFmtId="0" fontId="10" fillId="7" borderId="23" xfId="0" applyFont="1" applyFill="1" applyBorder="1" applyAlignment="1">
      <alignment horizontal="center" wrapText="1"/>
    </xf>
    <xf numFmtId="0" fontId="9" fillId="0" borderId="21" xfId="0" applyFont="1" applyBorder="1"/>
    <xf numFmtId="0" fontId="10" fillId="0" borderId="24" xfId="0" applyFont="1" applyFill="1" applyBorder="1"/>
    <xf numFmtId="0" fontId="28" fillId="0" borderId="0" xfId="0" applyFont="1" applyBorder="1"/>
    <xf numFmtId="2" fontId="9" fillId="0" borderId="0" xfId="0" applyNumberFormat="1" applyFont="1" applyBorder="1" applyAlignment="1">
      <alignment horizontal="center"/>
    </xf>
    <xf numFmtId="0" fontId="17" fillId="0" borderId="0" xfId="0" applyFont="1" applyBorder="1"/>
    <xf numFmtId="0" fontId="15" fillId="7" borderId="23" xfId="0" applyFont="1" applyFill="1" applyBorder="1"/>
    <xf numFmtId="0" fontId="15" fillId="7" borderId="23" xfId="0" applyNumberFormat="1" applyFont="1" applyFill="1" applyBorder="1" applyAlignment="1">
      <alignment horizontal="center" vertical="center" wrapText="1"/>
    </xf>
    <xf numFmtId="0" fontId="15" fillId="7" borderId="23" xfId="0" applyNumberFormat="1" applyFont="1" applyFill="1" applyBorder="1" applyAlignment="1">
      <alignment horizontal="center" vertical="center"/>
    </xf>
    <xf numFmtId="0" fontId="9" fillId="0" borderId="19" xfId="0" applyFont="1" applyFill="1" applyBorder="1" applyAlignment="1">
      <alignment horizontal="right"/>
    </xf>
    <xf numFmtId="0" fontId="10" fillId="0" borderId="19" xfId="0" applyFont="1" applyFill="1" applyBorder="1" applyAlignment="1">
      <alignment horizontal="center" wrapText="1"/>
    </xf>
    <xf numFmtId="0" fontId="10" fillId="7" borderId="23" xfId="0" applyFont="1" applyFill="1" applyBorder="1" applyAlignment="1">
      <alignment horizontal="center"/>
    </xf>
    <xf numFmtId="0" fontId="10" fillId="0" borderId="0" xfId="0" applyFont="1" applyBorder="1"/>
    <xf numFmtId="2" fontId="10" fillId="0" borderId="0" xfId="0" applyNumberFormat="1" applyFont="1" applyBorder="1" applyAlignment="1">
      <alignment horizontal="right"/>
    </xf>
    <xf numFmtId="2" fontId="10" fillId="0" borderId="0" xfId="0" applyNumberFormat="1" applyFont="1" applyBorder="1"/>
    <xf numFmtId="17" fontId="9" fillId="0" borderId="3" xfId="0" applyNumberFormat="1" applyFont="1" applyFill="1" applyBorder="1" applyAlignment="1">
      <alignment horizontal="right"/>
    </xf>
    <xf numFmtId="0" fontId="0" fillId="7" borderId="10" xfId="0" applyFill="1" applyBorder="1"/>
    <xf numFmtId="0" fontId="0" fillId="7" borderId="11" xfId="0" applyFill="1" applyBorder="1"/>
    <xf numFmtId="0" fontId="0" fillId="7" borderId="12" xfId="0" applyFill="1" applyBorder="1"/>
    <xf numFmtId="0" fontId="0" fillId="7" borderId="4" xfId="0" applyFill="1" applyBorder="1"/>
    <xf numFmtId="0" fontId="0" fillId="7" borderId="0" xfId="0" applyFill="1" applyBorder="1"/>
    <xf numFmtId="0" fontId="0" fillId="7" borderId="13" xfId="0" applyFill="1" applyBorder="1"/>
    <xf numFmtId="0" fontId="0" fillId="0" borderId="0" xfId="0" applyBorder="1" applyAlignment="1"/>
    <xf numFmtId="0" fontId="48" fillId="0" borderId="0" xfId="0" applyFont="1" applyBorder="1" applyAlignment="1"/>
    <xf numFmtId="0" fontId="48" fillId="7" borderId="13" xfId="0" applyFont="1" applyFill="1" applyBorder="1" applyAlignment="1"/>
    <xf numFmtId="0" fontId="48" fillId="0" borderId="0" xfId="0" applyFont="1" applyFill="1" applyBorder="1" applyAlignment="1">
      <alignment wrapText="1"/>
    </xf>
    <xf numFmtId="0" fontId="48" fillId="7" borderId="13" xfId="0" applyFont="1" applyFill="1" applyBorder="1" applyAlignment="1">
      <alignment wrapText="1"/>
    </xf>
    <xf numFmtId="0" fontId="48" fillId="0" borderId="0" xfId="0" applyFont="1" applyBorder="1" applyAlignment="1">
      <alignment wrapText="1"/>
    </xf>
    <xf numFmtId="0" fontId="51" fillId="7" borderId="13" xfId="0" applyFont="1" applyFill="1" applyBorder="1" applyAlignment="1">
      <alignment wrapText="1"/>
    </xf>
    <xf numFmtId="0" fontId="0" fillId="7" borderId="14" xfId="0" applyFill="1" applyBorder="1"/>
    <xf numFmtId="0" fontId="0" fillId="7" borderId="1" xfId="0" applyFill="1" applyBorder="1"/>
    <xf numFmtId="0" fontId="0" fillId="7" borderId="15" xfId="0" applyFill="1" applyBorder="1"/>
    <xf numFmtId="0" fontId="16" fillId="0" borderId="3" xfId="0" applyFont="1" applyBorder="1" applyAlignment="1">
      <alignment wrapText="1"/>
    </xf>
    <xf numFmtId="0" fontId="0" fillId="0" borderId="20" xfId="0" applyBorder="1"/>
    <xf numFmtId="0" fontId="0" fillId="0" borderId="21" xfId="0" applyBorder="1"/>
    <xf numFmtId="0" fontId="1" fillId="0" borderId="21" xfId="0" applyFont="1" applyBorder="1"/>
    <xf numFmtId="0" fontId="0" fillId="0" borderId="19" xfId="0" applyBorder="1"/>
    <xf numFmtId="0" fontId="1" fillId="0" borderId="3" xfId="0" applyFont="1" applyBorder="1" applyAlignment="1">
      <alignment horizontal="right"/>
    </xf>
    <xf numFmtId="0" fontId="0" fillId="0" borderId="18" xfId="0" applyBorder="1"/>
    <xf numFmtId="0" fontId="0" fillId="0" borderId="3" xfId="0" applyBorder="1" applyAlignment="1">
      <alignment horizontal="right"/>
    </xf>
    <xf numFmtId="0" fontId="53" fillId="0" borderId="0" xfId="0" applyFont="1"/>
    <xf numFmtId="0" fontId="1" fillId="0" borderId="0" xfId="0" applyFont="1" applyAlignment="1">
      <alignment horizontal="right"/>
    </xf>
    <xf numFmtId="0" fontId="17" fillId="0" borderId="3" xfId="0" applyFont="1" applyBorder="1" applyAlignment="1">
      <alignment wrapText="1"/>
    </xf>
    <xf numFmtId="0" fontId="15" fillId="7" borderId="5" xfId="0" applyNumberFormat="1" applyFont="1" applyFill="1" applyBorder="1" applyAlignment="1">
      <alignment horizontal="right" wrapText="1"/>
    </xf>
    <xf numFmtId="0" fontId="10" fillId="7" borderId="7" xfId="0" applyFont="1" applyFill="1" applyBorder="1" applyAlignment="1">
      <alignment horizontal="center" wrapText="1"/>
    </xf>
    <xf numFmtId="0" fontId="10" fillId="7" borderId="0" xfId="0" applyFont="1" applyFill="1" applyBorder="1" applyAlignment="1">
      <alignment horizontal="center" wrapText="1"/>
    </xf>
    <xf numFmtId="0" fontId="30" fillId="0" borderId="25" xfId="0" applyFont="1" applyBorder="1" applyAlignment="1">
      <alignment horizontal="center"/>
    </xf>
    <xf numFmtId="0" fontId="30" fillId="0" borderId="18" xfId="0" applyFont="1" applyBorder="1" applyAlignment="1">
      <alignment horizontal="center"/>
    </xf>
    <xf numFmtId="0" fontId="30" fillId="0" borderId="26" xfId="0" applyFont="1" applyBorder="1" applyAlignment="1">
      <alignment horizontal="center"/>
    </xf>
    <xf numFmtId="0" fontId="30" fillId="0" borderId="27" xfId="0" applyFont="1" applyBorder="1" applyAlignment="1">
      <alignment horizontal="center"/>
    </xf>
    <xf numFmtId="0" fontId="30" fillId="0" borderId="28" xfId="0" applyFont="1" applyBorder="1" applyAlignment="1">
      <alignment horizontal="center"/>
    </xf>
    <xf numFmtId="0" fontId="30" fillId="0" borderId="29" xfId="0" applyFont="1" applyBorder="1" applyAlignment="1">
      <alignment horizontal="center"/>
    </xf>
    <xf numFmtId="0" fontId="30" fillId="0" borderId="30" xfId="0" applyFont="1" applyBorder="1" applyAlignment="1">
      <alignment horizontal="center"/>
    </xf>
    <xf numFmtId="0" fontId="30" fillId="0" borderId="31" xfId="0" applyFont="1" applyBorder="1" applyAlignment="1">
      <alignment horizontal="center"/>
    </xf>
    <xf numFmtId="0" fontId="30" fillId="0" borderId="32" xfId="0" applyFont="1" applyBorder="1" applyAlignment="1">
      <alignment horizontal="center"/>
    </xf>
    <xf numFmtId="0" fontId="30" fillId="0" borderId="33" xfId="0" applyFont="1" applyBorder="1" applyAlignment="1">
      <alignment horizontal="center"/>
    </xf>
    <xf numFmtId="0" fontId="30" fillId="0" borderId="34" xfId="0" applyFont="1" applyBorder="1" applyAlignment="1">
      <alignment horizontal="center"/>
    </xf>
    <xf numFmtId="0" fontId="56" fillId="0" borderId="0" xfId="0" applyFont="1"/>
    <xf numFmtId="2" fontId="56" fillId="0" borderId="0" xfId="0" applyNumberFormat="1" applyFont="1"/>
    <xf numFmtId="0" fontId="57" fillId="0" borderId="0" xfId="0" applyFont="1"/>
    <xf numFmtId="2" fontId="57" fillId="0" borderId="0" xfId="0" applyNumberFormat="1" applyFont="1"/>
    <xf numFmtId="0" fontId="10" fillId="7" borderId="7" xfId="0" applyFont="1" applyFill="1" applyBorder="1" applyAlignment="1">
      <alignment horizontal="center" vertical="center" wrapText="1"/>
    </xf>
    <xf numFmtId="0" fontId="10" fillId="7" borderId="0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wrapText="1"/>
    </xf>
    <xf numFmtId="0" fontId="10" fillId="7" borderId="0" xfId="0" applyFont="1" applyFill="1" applyBorder="1" applyAlignment="1">
      <alignment horizontal="center" wrapText="1"/>
    </xf>
    <xf numFmtId="0" fontId="0" fillId="11" borderId="16" xfId="0" applyFill="1" applyBorder="1" applyAlignment="1">
      <alignment horizontal="center"/>
    </xf>
    <xf numFmtId="0" fontId="0" fillId="11" borderId="18" xfId="0" applyFill="1" applyBorder="1" applyAlignment="1">
      <alignment horizontal="center"/>
    </xf>
    <xf numFmtId="2" fontId="9" fillId="11" borderId="18" xfId="0" applyNumberFormat="1" applyFont="1" applyFill="1" applyBorder="1" applyAlignment="1">
      <alignment horizontal="center"/>
    </xf>
    <xf numFmtId="2" fontId="0" fillId="11" borderId="18" xfId="0" applyNumberFormat="1" applyFill="1" applyBorder="1" applyAlignment="1">
      <alignment horizontal="center"/>
    </xf>
    <xf numFmtId="2" fontId="9" fillId="8" borderId="18" xfId="0" applyNumberFormat="1" applyFont="1" applyFill="1" applyBorder="1"/>
    <xf numFmtId="2" fontId="9" fillId="11" borderId="2" xfId="0" applyNumberFormat="1" applyFont="1" applyFill="1" applyBorder="1" applyAlignment="1">
      <alignment horizontal="center"/>
    </xf>
    <xf numFmtId="0" fontId="78" fillId="5" borderId="3" xfId="0" applyFont="1" applyFill="1" applyBorder="1"/>
    <xf numFmtId="0" fontId="79" fillId="5" borderId="3" xfId="0" applyFont="1" applyFill="1" applyBorder="1"/>
    <xf numFmtId="0" fontId="35" fillId="0" borderId="0" xfId="0" applyFont="1" applyAlignment="1">
      <alignment horizontal="right"/>
    </xf>
    <xf numFmtId="0" fontId="9" fillId="0" borderId="35" xfId="0" applyFont="1" applyFill="1" applyBorder="1" applyAlignment="1">
      <alignment horizontal="center"/>
    </xf>
    <xf numFmtId="0" fontId="0" fillId="11" borderId="16" xfId="0" applyFill="1" applyBorder="1" applyAlignment="1">
      <alignment horizontal="center"/>
    </xf>
    <xf numFmtId="0" fontId="0" fillId="11" borderId="18" xfId="0" applyFill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10" fillId="7" borderId="0" xfId="0" applyFont="1" applyFill="1" applyBorder="1" applyAlignment="1">
      <alignment horizontal="center" wrapText="1"/>
    </xf>
    <xf numFmtId="0" fontId="27" fillId="0" borderId="0" xfId="0" applyFont="1" applyAlignment="1">
      <alignment horizontal="center"/>
    </xf>
    <xf numFmtId="10" fontId="29" fillId="0" borderId="0" xfId="0" applyNumberFormat="1" applyFont="1"/>
    <xf numFmtId="9" fontId="29" fillId="0" borderId="0" xfId="0" applyNumberFormat="1" applyFont="1"/>
    <xf numFmtId="10" fontId="0" fillId="0" borderId="0" xfId="0" applyNumberFormat="1"/>
    <xf numFmtId="0" fontId="27" fillId="0" borderId="0" xfId="0" applyFont="1" applyAlignment="1"/>
    <xf numFmtId="0" fontId="27" fillId="7" borderId="5" xfId="0" applyFont="1" applyFill="1" applyBorder="1" applyAlignment="1">
      <alignment horizontal="center" wrapText="1"/>
    </xf>
    <xf numFmtId="0" fontId="27" fillId="0" borderId="6" xfId="0" applyFont="1" applyBorder="1" applyAlignment="1">
      <alignment horizontal="center"/>
    </xf>
    <xf numFmtId="2" fontId="27" fillId="0" borderId="6" xfId="0" applyNumberFormat="1" applyFont="1" applyBorder="1"/>
    <xf numFmtId="0" fontId="27" fillId="0" borderId="6" xfId="0" applyFont="1" applyBorder="1"/>
    <xf numFmtId="10" fontId="27" fillId="0" borderId="6" xfId="0" applyNumberFormat="1" applyFont="1" applyBorder="1"/>
    <xf numFmtId="0" fontId="9" fillId="0" borderId="0" xfId="0" applyFont="1" applyAlignment="1">
      <alignment horizontal="left"/>
    </xf>
    <xf numFmtId="0" fontId="9" fillId="0" borderId="0" xfId="0" applyFont="1" applyBorder="1" applyAlignment="1"/>
    <xf numFmtId="0" fontId="9" fillId="0" borderId="0" xfId="0" applyFont="1" applyFill="1" applyBorder="1" applyAlignment="1">
      <alignment horizontal="left" wrapText="1"/>
    </xf>
    <xf numFmtId="0" fontId="73" fillId="0" borderId="1" xfId="0" applyFont="1" applyFill="1" applyBorder="1"/>
    <xf numFmtId="1" fontId="73" fillId="0" borderId="1" xfId="0" applyNumberFormat="1" applyFont="1" applyFill="1" applyBorder="1"/>
    <xf numFmtId="0" fontId="9" fillId="0" borderId="0" xfId="0" applyNumberFormat="1" applyFont="1"/>
    <xf numFmtId="0" fontId="10" fillId="0" borderId="0" xfId="0" applyFont="1" applyBorder="1" applyAlignment="1"/>
    <xf numFmtId="0" fontId="10" fillId="7" borderId="5" xfId="0" applyFont="1" applyFill="1" applyBorder="1" applyAlignment="1">
      <alignment horizontal="right" vertical="center"/>
    </xf>
    <xf numFmtId="3" fontId="10" fillId="0" borderId="0" xfId="0" applyNumberFormat="1" applyFont="1" applyBorder="1"/>
    <xf numFmtId="4" fontId="9" fillId="0" borderId="0" xfId="0" applyNumberFormat="1" applyFont="1" applyBorder="1"/>
    <xf numFmtId="3" fontId="9" fillId="0" borderId="0" xfId="0" applyNumberFormat="1" applyFont="1" applyBorder="1"/>
    <xf numFmtId="169" fontId="10" fillId="0" borderId="0" xfId="0" applyNumberFormat="1" applyFont="1" applyBorder="1"/>
    <xf numFmtId="171" fontId="9" fillId="0" borderId="0" xfId="1" applyNumberFormat="1" applyFont="1" applyBorder="1"/>
    <xf numFmtId="10" fontId="10" fillId="0" borderId="35" xfId="0" applyNumberFormat="1" applyFont="1" applyBorder="1" applyAlignment="1">
      <alignment horizontal="right" vertical="center"/>
    </xf>
    <xf numFmtId="2" fontId="10" fillId="0" borderId="35" xfId="0" applyNumberFormat="1" applyFont="1" applyBorder="1" applyAlignment="1">
      <alignment horizontal="right" vertical="center"/>
    </xf>
    <xf numFmtId="0" fontId="10" fillId="0" borderId="0" xfId="0" applyFont="1" applyBorder="1" applyAlignment="1">
      <alignment vertical="center"/>
    </xf>
    <xf numFmtId="171" fontId="10" fillId="0" borderId="0" xfId="1" applyNumberFormat="1" applyFont="1" applyBorder="1" applyAlignment="1">
      <alignment horizontal="right" vertical="center"/>
    </xf>
    <xf numFmtId="171" fontId="10" fillId="0" borderId="0" xfId="1" applyNumberFormat="1" applyFont="1" applyBorder="1"/>
    <xf numFmtId="0" fontId="10" fillId="7" borderId="5" xfId="0" applyFont="1" applyFill="1" applyBorder="1" applyAlignment="1">
      <alignment horizontal="center" vertical="center"/>
    </xf>
    <xf numFmtId="0" fontId="10" fillId="7" borderId="5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vertical="center"/>
    </xf>
    <xf numFmtId="3" fontId="9" fillId="0" borderId="1" xfId="0" applyNumberFormat="1" applyFont="1" applyBorder="1" applyAlignment="1">
      <alignment vertical="center"/>
    </xf>
    <xf numFmtId="0" fontId="9" fillId="0" borderId="0" xfId="0" applyFont="1" applyAlignment="1">
      <alignment wrapText="1"/>
    </xf>
    <xf numFmtId="0" fontId="10" fillId="0" borderId="10" xfId="0" applyFont="1" applyBorder="1"/>
    <xf numFmtId="0" fontId="9" fillId="0" borderId="11" xfId="0" applyFont="1" applyBorder="1"/>
    <xf numFmtId="0" fontId="9" fillId="0" borderId="12" xfId="0" applyFont="1" applyBorder="1"/>
    <xf numFmtId="0" fontId="9" fillId="0" borderId="14" xfId="0" applyFont="1" applyBorder="1"/>
    <xf numFmtId="0" fontId="9" fillId="0" borderId="15" xfId="0" applyFont="1" applyBorder="1"/>
    <xf numFmtId="0" fontId="10" fillId="7" borderId="0" xfId="0" applyFont="1" applyFill="1" applyBorder="1"/>
    <xf numFmtId="9" fontId="10" fillId="7" borderId="8" xfId="0" applyNumberFormat="1" applyFont="1" applyFill="1" applyBorder="1" applyAlignment="1">
      <alignment horizontal="center"/>
    </xf>
    <xf numFmtId="171" fontId="9" fillId="0" borderId="0" xfId="1" applyNumberFormat="1" applyFont="1"/>
    <xf numFmtId="0" fontId="80" fillId="0" borderId="0" xfId="0" applyFont="1" applyFill="1" applyAlignment="1">
      <alignment wrapText="1"/>
    </xf>
    <xf numFmtId="1" fontId="80" fillId="0" borderId="0" xfId="0" applyNumberFormat="1" applyFont="1" applyFill="1"/>
    <xf numFmtId="0" fontId="9" fillId="0" borderId="0" xfId="0" applyFont="1" applyFill="1" applyAlignment="1">
      <alignment wrapText="1"/>
    </xf>
    <xf numFmtId="1" fontId="9" fillId="0" borderId="0" xfId="0" applyNumberFormat="1" applyFont="1" applyFill="1"/>
    <xf numFmtId="1" fontId="73" fillId="0" borderId="0" xfId="0" applyNumberFormat="1" applyFont="1" applyFill="1"/>
    <xf numFmtId="0" fontId="80" fillId="0" borderId="0" xfId="0" applyFont="1"/>
    <xf numFmtId="2" fontId="80" fillId="0" borderId="0" xfId="0" applyNumberFormat="1" applyFont="1"/>
    <xf numFmtId="0" fontId="9" fillId="0" borderId="0" xfId="0" applyFont="1" applyBorder="1" applyAlignment="1">
      <alignment vertical="top" wrapText="1"/>
    </xf>
    <xf numFmtId="0" fontId="10" fillId="7" borderId="5" xfId="0" applyFont="1" applyFill="1" applyBorder="1" applyAlignment="1">
      <alignment horizontal="center" vertical="center"/>
    </xf>
    <xf numFmtId="3" fontId="9" fillId="0" borderId="0" xfId="0" applyNumberFormat="1" applyFont="1"/>
    <xf numFmtId="10" fontId="9" fillId="0" borderId="0" xfId="0" applyNumberFormat="1" applyFont="1"/>
    <xf numFmtId="0" fontId="9" fillId="0" borderId="0" xfId="0" applyFont="1" applyBorder="1" applyAlignment="1">
      <alignment horizontal="center"/>
    </xf>
    <xf numFmtId="0" fontId="10" fillId="7" borderId="5" xfId="0" applyFont="1" applyFill="1" applyBorder="1" applyAlignment="1">
      <alignment horizontal="center" wrapText="1"/>
    </xf>
    <xf numFmtId="0" fontId="9" fillId="0" borderId="36" xfId="0" applyFont="1" applyBorder="1"/>
    <xf numFmtId="0" fontId="9" fillId="0" borderId="37" xfId="0" applyFont="1" applyBorder="1"/>
    <xf numFmtId="0" fontId="81" fillId="0" borderId="0" xfId="0" applyFont="1" applyBorder="1" applyAlignment="1">
      <alignment horizontal="right"/>
    </xf>
    <xf numFmtId="0" fontId="10" fillId="0" borderId="0" xfId="0" applyFont="1" applyFill="1" applyBorder="1" applyAlignment="1">
      <alignment horizontal="right"/>
    </xf>
    <xf numFmtId="0" fontId="82" fillId="0" borderId="0" xfId="0" applyFont="1"/>
    <xf numFmtId="0" fontId="50" fillId="0" borderId="1" xfId="0" applyFont="1" applyBorder="1"/>
    <xf numFmtId="4" fontId="81" fillId="0" borderId="1" xfId="0" applyNumberFormat="1" applyFont="1" applyBorder="1" applyAlignment="1">
      <alignment horizontal="right"/>
    </xf>
    <xf numFmtId="0" fontId="9" fillId="0" borderId="0" xfId="0" applyFont="1" applyBorder="1" applyAlignment="1">
      <alignment horizontal="right"/>
    </xf>
    <xf numFmtId="4" fontId="9" fillId="0" borderId="1" xfId="0" applyNumberFormat="1" applyFont="1" applyBorder="1" applyAlignment="1">
      <alignment horizontal="right"/>
    </xf>
    <xf numFmtId="0" fontId="14" fillId="0" borderId="0" xfId="0" applyFont="1" applyBorder="1"/>
    <xf numFmtId="0" fontId="50" fillId="0" borderId="0" xfId="0" applyFont="1" applyAlignment="1"/>
    <xf numFmtId="0" fontId="83" fillId="0" borderId="0" xfId="0" applyFont="1"/>
    <xf numFmtId="0" fontId="84" fillId="0" borderId="0" xfId="0" applyFont="1"/>
    <xf numFmtId="0" fontId="85" fillId="0" borderId="0" xfId="0" applyFont="1" applyBorder="1" applyAlignment="1">
      <alignment horizontal="center"/>
    </xf>
    <xf numFmtId="0" fontId="10" fillId="0" borderId="0" xfId="0" applyFont="1" applyFill="1" applyBorder="1"/>
    <xf numFmtId="0" fontId="10" fillId="0" borderId="0" xfId="0" applyFont="1" applyFill="1" applyBorder="1" applyAlignment="1">
      <alignment horizontal="center" wrapText="1"/>
    </xf>
    <xf numFmtId="0" fontId="9" fillId="0" borderId="10" xfId="0" applyFont="1" applyFill="1" applyBorder="1"/>
    <xf numFmtId="0" fontId="9" fillId="0" borderId="11" xfId="0" applyFont="1" applyFill="1" applyBorder="1"/>
    <xf numFmtId="0" fontId="9" fillId="0" borderId="12" xfId="0" applyFont="1" applyFill="1" applyBorder="1"/>
    <xf numFmtId="2" fontId="10" fillId="0" borderId="0" xfId="0" applyNumberFormat="1" applyFont="1" applyFill="1" applyBorder="1"/>
    <xf numFmtId="2" fontId="10" fillId="0" borderId="13" xfId="0" applyNumberFormat="1" applyFont="1" applyFill="1" applyBorder="1"/>
    <xf numFmtId="0" fontId="10" fillId="0" borderId="15" xfId="0" applyFont="1" applyBorder="1"/>
    <xf numFmtId="0" fontId="10" fillId="7" borderId="0" xfId="0" applyFont="1" applyFill="1" applyBorder="1" applyAlignment="1">
      <alignment horizontal="center" wrapText="1"/>
    </xf>
    <xf numFmtId="0" fontId="1" fillId="0" borderId="0" xfId="0" applyFont="1" applyAlignment="1">
      <alignment wrapText="1"/>
    </xf>
    <xf numFmtId="0" fontId="30" fillId="0" borderId="10" xfId="0" applyFont="1" applyBorder="1"/>
    <xf numFmtId="0" fontId="0" fillId="0" borderId="11" xfId="0" applyBorder="1"/>
    <xf numFmtId="0" fontId="0" fillId="0" borderId="12" xfId="0" applyBorder="1"/>
    <xf numFmtId="0" fontId="0" fillId="0" borderId="14" xfId="0" applyBorder="1"/>
    <xf numFmtId="0" fontId="0" fillId="0" borderId="15" xfId="0" applyBorder="1"/>
    <xf numFmtId="0" fontId="42" fillId="0" borderId="0" xfId="0" applyFont="1" applyBorder="1" applyAlignment="1">
      <alignment horizontal="center"/>
    </xf>
    <xf numFmtId="0" fontId="42" fillId="0" borderId="0" xfId="0" applyFont="1" applyFill="1" applyBorder="1" applyAlignment="1">
      <alignment horizontal="center"/>
    </xf>
    <xf numFmtId="0" fontId="50" fillId="0" borderId="0" xfId="0" applyFont="1" applyAlignment="1">
      <alignment horizontal="center"/>
    </xf>
    <xf numFmtId="0" fontId="42" fillId="0" borderId="0" xfId="0" applyFont="1" applyFill="1" applyBorder="1" applyAlignment="1">
      <alignment horizontal="center" wrapText="1"/>
    </xf>
    <xf numFmtId="0" fontId="42" fillId="0" borderId="0" xfId="0" applyFont="1" applyAlignment="1">
      <alignment horizontal="center"/>
    </xf>
    <xf numFmtId="0" fontId="16" fillId="0" borderId="37" xfId="0" applyFont="1" applyBorder="1" applyAlignment="1"/>
    <xf numFmtId="0" fontId="16" fillId="0" borderId="0" xfId="0" applyFont="1" applyAlignment="1"/>
    <xf numFmtId="164" fontId="9" fillId="0" borderId="0" xfId="1" applyFont="1"/>
    <xf numFmtId="2" fontId="80" fillId="0" borderId="0" xfId="0" applyNumberFormat="1" applyFont="1" applyFill="1"/>
    <xf numFmtId="1" fontId="16" fillId="0" borderId="38" xfId="0" applyNumberFormat="1" applyFont="1" applyBorder="1"/>
    <xf numFmtId="1" fontId="16" fillId="0" borderId="2" xfId="0" applyNumberFormat="1" applyFont="1" applyBorder="1"/>
    <xf numFmtId="1" fontId="16" fillId="0" borderId="18" xfId="0" applyNumberFormat="1" applyFont="1" applyBorder="1"/>
    <xf numFmtId="17" fontId="9" fillId="0" borderId="0" xfId="0" applyNumberFormat="1" applyFont="1" applyFill="1"/>
    <xf numFmtId="0" fontId="15" fillId="9" borderId="6" xfId="0" applyFont="1" applyFill="1" applyBorder="1" applyAlignment="1">
      <alignment horizontal="center"/>
    </xf>
    <xf numFmtId="0" fontId="15" fillId="7" borderId="5" xfId="0" applyFont="1" applyFill="1" applyBorder="1" applyAlignment="1">
      <alignment horizontal="right"/>
    </xf>
    <xf numFmtId="0" fontId="79" fillId="5" borderId="39" xfId="0" applyFont="1" applyFill="1" applyBorder="1"/>
    <xf numFmtId="0" fontId="79" fillId="5" borderId="39" xfId="0" applyFont="1" applyFill="1" applyBorder="1" applyAlignment="1">
      <alignment horizontal="center"/>
    </xf>
    <xf numFmtId="0" fontId="79" fillId="5" borderId="3" xfId="0" applyFont="1" applyFill="1" applyBorder="1" applyAlignment="1">
      <alignment horizontal="center"/>
    </xf>
    <xf numFmtId="0" fontId="79" fillId="5" borderId="40" xfId="0" applyFont="1" applyFill="1" applyBorder="1"/>
    <xf numFmtId="0" fontId="79" fillId="5" borderId="40" xfId="0" applyFont="1" applyFill="1" applyBorder="1" applyAlignment="1">
      <alignment horizontal="center"/>
    </xf>
    <xf numFmtId="0" fontId="79" fillId="5" borderId="20" xfId="0" applyFont="1" applyFill="1" applyBorder="1"/>
    <xf numFmtId="0" fontId="79" fillId="5" borderId="20" xfId="0" applyFont="1" applyFill="1" applyBorder="1" applyAlignment="1">
      <alignment horizontal="center"/>
    </xf>
    <xf numFmtId="0" fontId="79" fillId="5" borderId="28" xfId="0" applyFont="1" applyFill="1" applyBorder="1"/>
    <xf numFmtId="0" fontId="79" fillId="5" borderId="28" xfId="0" applyFont="1" applyFill="1" applyBorder="1" applyAlignment="1">
      <alignment horizontal="center"/>
    </xf>
    <xf numFmtId="0" fontId="79" fillId="5" borderId="29" xfId="0" applyFont="1" applyFill="1" applyBorder="1"/>
    <xf numFmtId="0" fontId="79" fillId="5" borderId="29" xfId="0" applyFont="1" applyFill="1" applyBorder="1" applyAlignment="1">
      <alignment horizontal="center"/>
    </xf>
    <xf numFmtId="0" fontId="79" fillId="5" borderId="30" xfId="0" applyFont="1" applyFill="1" applyBorder="1"/>
    <xf numFmtId="0" fontId="79" fillId="5" borderId="30" xfId="0" applyFont="1" applyFill="1" applyBorder="1" applyAlignment="1">
      <alignment horizontal="center"/>
    </xf>
    <xf numFmtId="0" fontId="79" fillId="5" borderId="19" xfId="0" applyFont="1" applyFill="1" applyBorder="1"/>
    <xf numFmtId="0" fontId="79" fillId="5" borderId="19" xfId="0" applyFont="1" applyFill="1" applyBorder="1" applyAlignment="1">
      <alignment horizontal="center"/>
    </xf>
    <xf numFmtId="0" fontId="79" fillId="5" borderId="41" xfId="0" applyFont="1" applyFill="1" applyBorder="1" applyAlignment="1">
      <alignment horizontal="center"/>
    </xf>
    <xf numFmtId="0" fontId="79" fillId="5" borderId="42" xfId="0" applyFont="1" applyFill="1" applyBorder="1" applyAlignment="1">
      <alignment horizontal="center"/>
    </xf>
    <xf numFmtId="0" fontId="79" fillId="5" borderId="43" xfId="0" applyFont="1" applyFill="1" applyBorder="1" applyAlignment="1">
      <alignment horizontal="center"/>
    </xf>
    <xf numFmtId="0" fontId="79" fillId="5" borderId="44" xfId="0" applyFont="1" applyFill="1" applyBorder="1" applyAlignment="1">
      <alignment horizontal="center"/>
    </xf>
    <xf numFmtId="0" fontId="79" fillId="5" borderId="27" xfId="0" applyFont="1" applyFill="1" applyBorder="1" applyAlignment="1">
      <alignment horizontal="center"/>
    </xf>
    <xf numFmtId="0" fontId="79" fillId="5" borderId="26" xfId="0" applyFont="1" applyFill="1" applyBorder="1" applyAlignment="1">
      <alignment horizontal="center"/>
    </xf>
    <xf numFmtId="0" fontId="51" fillId="0" borderId="0" xfId="0" applyFont="1"/>
    <xf numFmtId="0" fontId="86" fillId="0" borderId="35" xfId="0" applyFont="1" applyBorder="1"/>
    <xf numFmtId="0" fontId="87" fillId="0" borderId="3" xfId="0" applyFont="1" applyBorder="1"/>
    <xf numFmtId="0" fontId="30" fillId="0" borderId="0" xfId="0" applyFont="1" applyBorder="1"/>
    <xf numFmtId="0" fontId="35" fillId="0" borderId="0" xfId="0" applyFont="1"/>
    <xf numFmtId="0" fontId="87" fillId="0" borderId="16" xfId="0" applyFont="1" applyBorder="1"/>
    <xf numFmtId="0" fontId="87" fillId="0" borderId="35" xfId="0" applyFont="1" applyBorder="1"/>
    <xf numFmtId="0" fontId="86" fillId="0" borderId="0" xfId="0" applyFont="1" applyBorder="1"/>
    <xf numFmtId="0" fontId="0" fillId="0" borderId="45" xfId="0" applyBorder="1"/>
    <xf numFmtId="0" fontId="87" fillId="0" borderId="0" xfId="0" applyFont="1" applyBorder="1"/>
    <xf numFmtId="0" fontId="0" fillId="0" borderId="3" xfId="0" applyBorder="1" applyAlignment="1">
      <alignment horizontal="center"/>
    </xf>
    <xf numFmtId="0" fontId="59" fillId="0" borderId="3" xfId="0" applyFont="1" applyBorder="1"/>
    <xf numFmtId="0" fontId="30" fillId="0" borderId="3" xfId="0" applyFont="1" applyBorder="1" applyAlignment="1">
      <alignment horizontal="center"/>
    </xf>
    <xf numFmtId="0" fontId="30" fillId="0" borderId="3" xfId="0" applyFont="1" applyBorder="1" applyAlignment="1">
      <alignment horizontal="center" wrapText="1"/>
    </xf>
    <xf numFmtId="0" fontId="30" fillId="0" borderId="3" xfId="0" applyFont="1" applyFill="1" applyBorder="1" applyAlignment="1">
      <alignment horizontal="center" wrapText="1"/>
    </xf>
    <xf numFmtId="0" fontId="30" fillId="0" borderId="3" xfId="0" applyFont="1" applyBorder="1"/>
    <xf numFmtId="0" fontId="1" fillId="0" borderId="3" xfId="0" applyFont="1" applyBorder="1" applyAlignment="1">
      <alignment horizontal="left"/>
    </xf>
    <xf numFmtId="0" fontId="30" fillId="0" borderId="3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60" fillId="0" borderId="0" xfId="0" applyFont="1"/>
    <xf numFmtId="0" fontId="1" fillId="0" borderId="0" xfId="0" applyNumberFormat="1" applyFont="1"/>
    <xf numFmtId="0" fontId="88" fillId="0" borderId="0" xfId="0" applyFont="1"/>
    <xf numFmtId="0" fontId="30" fillId="0" borderId="20" xfId="0" applyFont="1" applyBorder="1" applyAlignment="1">
      <alignment horizontal="center"/>
    </xf>
    <xf numFmtId="0" fontId="30" fillId="0" borderId="20" xfId="0" applyFont="1" applyBorder="1"/>
    <xf numFmtId="0" fontId="30" fillId="0" borderId="19" xfId="0" applyFont="1" applyBorder="1"/>
    <xf numFmtId="0" fontId="33" fillId="0" borderId="0" xfId="0" applyFont="1"/>
    <xf numFmtId="0" fontId="1" fillId="0" borderId="0" xfId="0" applyFont="1" applyFill="1" applyBorder="1"/>
    <xf numFmtId="0" fontId="30" fillId="0" borderId="3" xfId="0" applyFont="1" applyBorder="1" applyAlignment="1">
      <alignment wrapText="1"/>
    </xf>
    <xf numFmtId="2" fontId="5" fillId="0" borderId="0" xfId="0" applyNumberFormat="1" applyFont="1" applyFill="1" applyAlignment="1">
      <alignment horizontal="right"/>
    </xf>
    <xf numFmtId="1" fontId="0" fillId="0" borderId="0" xfId="0" applyNumberFormat="1" applyFill="1" applyBorder="1"/>
    <xf numFmtId="2" fontId="0" fillId="0" borderId="0" xfId="0" applyNumberFormat="1" applyFill="1" applyBorder="1"/>
    <xf numFmtId="0" fontId="9" fillId="0" borderId="31" xfId="0" applyFont="1" applyBorder="1"/>
    <xf numFmtId="0" fontId="5" fillId="0" borderId="0" xfId="0" applyFont="1"/>
    <xf numFmtId="0" fontId="0" fillId="0" borderId="0" xfId="0" applyFill="1" applyBorder="1" applyAlignment="1">
      <alignment horizontal="left"/>
    </xf>
    <xf numFmtId="1" fontId="5" fillId="6" borderId="0" xfId="0" applyNumberFormat="1" applyFont="1" applyFill="1"/>
    <xf numFmtId="0" fontId="0" fillId="0" borderId="3" xfId="0" applyFill="1" applyBorder="1" applyAlignment="1">
      <alignment horizontal="center"/>
    </xf>
    <xf numFmtId="2" fontId="9" fillId="0" borderId="3" xfId="0" applyNumberFormat="1" applyFont="1" applyBorder="1" applyAlignment="1">
      <alignment horizontal="center"/>
    </xf>
    <xf numFmtId="0" fontId="78" fillId="0" borderId="3" xfId="0" applyFont="1" applyFill="1" applyBorder="1"/>
    <xf numFmtId="0" fontId="39" fillId="12" borderId="0" xfId="0" applyFont="1" applyFill="1" applyBorder="1" applyAlignment="1">
      <alignment horizontal="left" vertical="center"/>
    </xf>
    <xf numFmtId="0" fontId="30" fillId="0" borderId="9" xfId="0" applyFont="1" applyBorder="1" applyAlignment="1">
      <alignment horizontal="center"/>
    </xf>
    <xf numFmtId="0" fontId="30" fillId="0" borderId="2" xfId="0" applyFont="1" applyBorder="1" applyAlignment="1">
      <alignment horizontal="center"/>
    </xf>
    <xf numFmtId="0" fontId="30" fillId="0" borderId="7" xfId="0" applyFont="1" applyBorder="1" applyAlignment="1">
      <alignment horizontal="center"/>
    </xf>
    <xf numFmtId="0" fontId="79" fillId="5" borderId="25" xfId="0" applyFont="1" applyFill="1" applyBorder="1" applyAlignment="1">
      <alignment horizontal="center"/>
    </xf>
    <xf numFmtId="0" fontId="79" fillId="5" borderId="18" xfId="0" applyFont="1" applyFill="1" applyBorder="1" applyAlignment="1">
      <alignment horizontal="center"/>
    </xf>
    <xf numFmtId="0" fontId="0" fillId="5" borderId="28" xfId="0" applyFill="1" applyBorder="1"/>
    <xf numFmtId="0" fontId="0" fillId="5" borderId="29" xfId="0" applyFill="1" applyBorder="1"/>
    <xf numFmtId="0" fontId="0" fillId="5" borderId="30" xfId="0" applyFill="1" applyBorder="1"/>
    <xf numFmtId="0" fontId="10" fillId="3" borderId="3" xfId="0" applyFont="1" applyFill="1" applyBorder="1" applyAlignment="1">
      <alignment horizontal="center"/>
    </xf>
    <xf numFmtId="0" fontId="37" fillId="7" borderId="0" xfId="0" applyFont="1" applyFill="1" applyBorder="1" applyAlignment="1">
      <alignment horizontal="center" vertical="center" wrapText="1"/>
    </xf>
    <xf numFmtId="0" fontId="58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vertical="top" wrapText="1"/>
    </xf>
    <xf numFmtId="10" fontId="9" fillId="0" borderId="0" xfId="0" applyNumberFormat="1" applyFont="1" applyBorder="1"/>
    <xf numFmtId="0" fontId="54" fillId="7" borderId="0" xfId="0" applyFont="1" applyFill="1" applyBorder="1" applyAlignment="1">
      <alignment horizontal="center"/>
    </xf>
    <xf numFmtId="0" fontId="37" fillId="7" borderId="0" xfId="0" applyFont="1" applyFill="1" applyBorder="1" applyAlignment="1">
      <alignment horizontal="center"/>
    </xf>
    <xf numFmtId="0" fontId="4" fillId="7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/>
    </xf>
    <xf numFmtId="0" fontId="32" fillId="7" borderId="0" xfId="0" applyFont="1" applyFill="1" applyBorder="1" applyAlignment="1">
      <alignment horizontal="center"/>
    </xf>
    <xf numFmtId="0" fontId="37" fillId="7" borderId="0" xfId="0" applyFont="1" applyFill="1" applyBorder="1" applyAlignment="1">
      <alignment horizontal="center" wrapText="1"/>
    </xf>
    <xf numFmtId="0" fontId="32" fillId="7" borderId="0" xfId="0" applyFont="1" applyFill="1" applyBorder="1" applyAlignment="1">
      <alignment horizontal="center" wrapText="1"/>
    </xf>
    <xf numFmtId="0" fontId="37" fillId="7" borderId="0" xfId="0" applyFont="1" applyFill="1" applyBorder="1" applyAlignment="1">
      <alignment wrapText="1"/>
    </xf>
    <xf numFmtId="0" fontId="37" fillId="7" borderId="0" xfId="0" applyFont="1" applyFill="1" applyBorder="1"/>
    <xf numFmtId="0" fontId="10" fillId="0" borderId="9" xfId="0" applyFont="1" applyBorder="1"/>
    <xf numFmtId="171" fontId="10" fillId="0" borderId="1" xfId="1" applyNumberFormat="1" applyFont="1" applyBorder="1" applyAlignment="1">
      <alignment vertical="center"/>
    </xf>
    <xf numFmtId="171" fontId="9" fillId="0" borderId="1" xfId="1" applyNumberFormat="1" applyFont="1" applyBorder="1"/>
    <xf numFmtId="0" fontId="9" fillId="8" borderId="18" xfId="0" applyFont="1" applyFill="1" applyBorder="1" applyAlignment="1">
      <alignment horizontal="center"/>
    </xf>
    <xf numFmtId="0" fontId="89" fillId="0" borderId="0" xfId="0" applyFont="1" applyBorder="1" applyAlignment="1">
      <alignment vertical="center"/>
    </xf>
    <xf numFmtId="0" fontId="90" fillId="0" borderId="0" xfId="0" applyFont="1" applyBorder="1" applyAlignment="1">
      <alignment vertical="center"/>
    </xf>
    <xf numFmtId="0" fontId="48" fillId="0" borderId="0" xfId="0" applyFont="1" applyAlignment="1">
      <alignment horizontal="right"/>
    </xf>
    <xf numFmtId="0" fontId="35" fillId="3" borderId="35" xfId="0" applyFont="1" applyFill="1" applyBorder="1" applyAlignment="1">
      <alignment horizontal="center"/>
    </xf>
    <xf numFmtId="0" fontId="30" fillId="3" borderId="35" xfId="0" applyFont="1" applyFill="1" applyBorder="1" applyAlignment="1">
      <alignment horizontal="center"/>
    </xf>
    <xf numFmtId="0" fontId="30" fillId="0" borderId="46" xfId="0" applyFont="1" applyBorder="1" applyAlignment="1">
      <alignment horizontal="center"/>
    </xf>
    <xf numFmtId="0" fontId="1" fillId="0" borderId="28" xfId="0" applyFont="1" applyBorder="1" applyAlignment="1">
      <alignment horizontal="left" vertical="center" indent="1"/>
    </xf>
    <xf numFmtId="0" fontId="79" fillId="5" borderId="47" xfId="0" applyFont="1" applyFill="1" applyBorder="1" applyAlignment="1">
      <alignment horizontal="center"/>
    </xf>
    <xf numFmtId="0" fontId="30" fillId="0" borderId="48" xfId="0" applyFont="1" applyBorder="1" applyAlignment="1">
      <alignment horizontal="center"/>
    </xf>
    <xf numFmtId="0" fontId="1" fillId="0" borderId="29" xfId="0" applyFont="1" applyBorder="1" applyAlignment="1">
      <alignment horizontal="left" vertical="center" indent="1"/>
    </xf>
    <xf numFmtId="0" fontId="79" fillId="5" borderId="49" xfId="0" applyFont="1" applyFill="1" applyBorder="1" applyAlignment="1">
      <alignment horizontal="center"/>
    </xf>
    <xf numFmtId="0" fontId="30" fillId="0" borderId="50" xfId="0" applyFont="1" applyBorder="1" applyAlignment="1">
      <alignment horizontal="center"/>
    </xf>
    <xf numFmtId="0" fontId="79" fillId="5" borderId="51" xfId="0" applyFont="1" applyFill="1" applyBorder="1" applyAlignment="1">
      <alignment horizontal="center"/>
    </xf>
    <xf numFmtId="0" fontId="30" fillId="0" borderId="52" xfId="0" applyFont="1" applyBorder="1" applyAlignment="1">
      <alignment horizontal="center"/>
    </xf>
    <xf numFmtId="0" fontId="1" fillId="0" borderId="53" xfId="0" applyFont="1" applyBorder="1" applyAlignment="1">
      <alignment horizontal="left" vertical="center" indent="1"/>
    </xf>
    <xf numFmtId="0" fontId="79" fillId="5" borderId="54" xfId="0" applyFont="1" applyFill="1" applyBorder="1" applyAlignment="1">
      <alignment horizontal="center"/>
    </xf>
    <xf numFmtId="0" fontId="30" fillId="0" borderId="55" xfId="0" applyFont="1" applyBorder="1" applyAlignment="1">
      <alignment horizontal="center"/>
    </xf>
    <xf numFmtId="0" fontId="1" fillId="0" borderId="30" xfId="0" applyFont="1" applyBorder="1" applyAlignment="1">
      <alignment horizontal="left" vertical="center" indent="1"/>
    </xf>
    <xf numFmtId="0" fontId="87" fillId="0" borderId="3" xfId="0" applyFont="1" applyFill="1" applyBorder="1"/>
    <xf numFmtId="2" fontId="9" fillId="8" borderId="18" xfId="0" applyNumberFormat="1" applyFont="1" applyFill="1" applyBorder="1" applyAlignment="1">
      <alignment horizontal="center"/>
    </xf>
    <xf numFmtId="10" fontId="9" fillId="8" borderId="16" xfId="0" applyNumberFormat="1" applyFont="1" applyFill="1" applyBorder="1" applyAlignment="1">
      <alignment horizontal="center"/>
    </xf>
    <xf numFmtId="10" fontId="9" fillId="8" borderId="18" xfId="0" applyNumberFormat="1" applyFont="1" applyFill="1" applyBorder="1" applyAlignment="1">
      <alignment horizontal="center"/>
    </xf>
    <xf numFmtId="0" fontId="30" fillId="8" borderId="20" xfId="0" applyFont="1" applyFill="1" applyBorder="1" applyAlignment="1">
      <alignment horizontal="center"/>
    </xf>
    <xf numFmtId="0" fontId="35" fillId="8" borderId="20" xfId="0" applyFont="1" applyFill="1" applyBorder="1" applyAlignment="1">
      <alignment horizontal="center"/>
    </xf>
    <xf numFmtId="0" fontId="30" fillId="8" borderId="20" xfId="0" applyFont="1" applyFill="1" applyBorder="1" applyAlignment="1">
      <alignment horizontal="center" wrapText="1"/>
    </xf>
    <xf numFmtId="171" fontId="10" fillId="0" borderId="19" xfId="1" applyNumberFormat="1" applyFont="1" applyFill="1" applyBorder="1" applyAlignment="1">
      <alignment horizontal="center" wrapText="1"/>
    </xf>
    <xf numFmtId="171" fontId="9" fillId="0" borderId="19" xfId="1" applyNumberFormat="1" applyFont="1" applyFill="1" applyBorder="1" applyAlignment="1">
      <alignment horizontal="right" wrapText="1"/>
    </xf>
    <xf numFmtId="171" fontId="9" fillId="0" borderId="3" xfId="1" applyNumberFormat="1" applyFont="1" applyFill="1" applyBorder="1" applyAlignment="1">
      <alignment horizontal="right"/>
    </xf>
    <xf numFmtId="0" fontId="64" fillId="0" borderId="14" xfId="0" applyFont="1" applyBorder="1"/>
    <xf numFmtId="0" fontId="10" fillId="0" borderId="4" xfId="0" applyFont="1" applyFill="1" applyBorder="1" applyAlignment="1">
      <alignment horizontal="center"/>
    </xf>
    <xf numFmtId="0" fontId="46" fillId="0" borderId="0" xfId="0" applyFont="1" applyFill="1" applyAlignment="1">
      <alignment horizontal="center" wrapText="1"/>
    </xf>
    <xf numFmtId="171" fontId="4" fillId="0" borderId="0" xfId="1" applyNumberFormat="1" applyFont="1" applyFill="1"/>
    <xf numFmtId="171" fontId="5" fillId="0" borderId="0" xfId="1" applyNumberFormat="1" applyFont="1" applyFill="1"/>
    <xf numFmtId="171" fontId="6" fillId="0" borderId="0" xfId="1" applyNumberFormat="1" applyFont="1" applyFill="1"/>
    <xf numFmtId="171" fontId="5" fillId="0" borderId="0" xfId="1" applyNumberFormat="1" applyFont="1" applyFill="1" applyAlignment="1"/>
    <xf numFmtId="171" fontId="4" fillId="0" borderId="5" xfId="1" applyNumberFormat="1" applyFont="1" applyFill="1" applyBorder="1" applyAlignment="1">
      <alignment vertical="center"/>
    </xf>
    <xf numFmtId="171" fontId="5" fillId="0" borderId="0" xfId="1" applyNumberFormat="1" applyFont="1" applyFill="1" applyAlignment="1">
      <alignment horizontal="center"/>
    </xf>
    <xf numFmtId="171" fontId="5" fillId="0" borderId="0" xfId="1" applyNumberFormat="1" applyFont="1" applyFill="1" applyAlignment="1">
      <alignment horizontal="right"/>
    </xf>
    <xf numFmtId="171" fontId="4" fillId="0" borderId="5" xfId="1" applyNumberFormat="1" applyFont="1" applyFill="1" applyBorder="1"/>
    <xf numFmtId="171" fontId="4" fillId="0" borderId="5" xfId="1" applyNumberFormat="1" applyFont="1" applyFill="1" applyBorder="1" applyAlignment="1"/>
    <xf numFmtId="171" fontId="4" fillId="0" borderId="0" xfId="1" applyNumberFormat="1" applyFont="1" applyFill="1" applyBorder="1"/>
    <xf numFmtId="171" fontId="5" fillId="7" borderId="5" xfId="1" applyNumberFormat="1" applyFont="1" applyFill="1" applyBorder="1"/>
    <xf numFmtId="171" fontId="4" fillId="7" borderId="5" xfId="1" applyNumberFormat="1" applyFont="1" applyFill="1" applyBorder="1" applyAlignment="1">
      <alignment horizontal="center" vertical="center" wrapText="1"/>
    </xf>
    <xf numFmtId="171" fontId="5" fillId="0" borderId="0" xfId="1" applyNumberFormat="1" applyFont="1" applyFill="1" applyBorder="1"/>
    <xf numFmtId="171" fontId="4" fillId="0" borderId="0" xfId="1" applyNumberFormat="1" applyFont="1" applyFill="1" applyBorder="1" applyAlignment="1">
      <alignment horizontal="right"/>
    </xf>
    <xf numFmtId="171" fontId="5" fillId="0" borderId="0" xfId="1" applyNumberFormat="1" applyFont="1" applyFill="1" applyBorder="1" applyAlignment="1">
      <alignment horizontal="right"/>
    </xf>
    <xf numFmtId="171" fontId="4" fillId="7" borderId="5" xfId="1" applyNumberFormat="1" applyFont="1" applyFill="1" applyBorder="1" applyAlignment="1">
      <alignment horizontal="right" wrapText="1"/>
    </xf>
    <xf numFmtId="171" fontId="4" fillId="7" borderId="5" xfId="1" applyNumberFormat="1" applyFont="1" applyFill="1" applyBorder="1" applyAlignment="1">
      <alignment horizontal="right"/>
    </xf>
    <xf numFmtId="0" fontId="4" fillId="7" borderId="5" xfId="0" applyFont="1" applyFill="1" applyBorder="1" applyAlignment="1">
      <alignment horizontal="right" wrapText="1"/>
    </xf>
    <xf numFmtId="0" fontId="4" fillId="7" borderId="5" xfId="0" applyFont="1" applyFill="1" applyBorder="1" applyAlignment="1">
      <alignment horizontal="right"/>
    </xf>
    <xf numFmtId="0" fontId="4" fillId="7" borderId="7" xfId="0" applyFont="1" applyFill="1" applyBorder="1" applyAlignment="1">
      <alignment horizontal="right"/>
    </xf>
    <xf numFmtId="0" fontId="4" fillId="7" borderId="8" xfId="0" applyFont="1" applyFill="1" applyBorder="1" applyAlignment="1">
      <alignment horizontal="right" wrapText="1"/>
    </xf>
    <xf numFmtId="0" fontId="4" fillId="7" borderId="8" xfId="0" applyFont="1" applyFill="1" applyBorder="1" applyAlignment="1">
      <alignment horizontal="right"/>
    </xf>
    <xf numFmtId="2" fontId="10" fillId="0" borderId="0" xfId="0" applyNumberFormat="1" applyFont="1"/>
    <xf numFmtId="0" fontId="15" fillId="0" borderId="19" xfId="0" applyFont="1" applyBorder="1"/>
    <xf numFmtId="0" fontId="15" fillId="0" borderId="20" xfId="0" applyFont="1" applyBorder="1"/>
    <xf numFmtId="171" fontId="9" fillId="0" borderId="19" xfId="1" applyNumberFormat="1" applyFont="1" applyBorder="1"/>
    <xf numFmtId="171" fontId="10" fillId="0" borderId="56" xfId="1" applyNumberFormat="1" applyFont="1" applyFill="1" applyBorder="1"/>
    <xf numFmtId="171" fontId="10" fillId="0" borderId="57" xfId="1" applyNumberFormat="1" applyFont="1" applyFill="1" applyBorder="1"/>
    <xf numFmtId="0" fontId="15" fillId="0" borderId="0" xfId="0" applyFont="1" applyFill="1" applyBorder="1" applyAlignment="1">
      <alignment wrapText="1"/>
    </xf>
    <xf numFmtId="0" fontId="15" fillId="0" borderId="0" xfId="0" applyFont="1" applyFill="1" applyBorder="1" applyAlignment="1">
      <alignment horizontal="left" wrapText="1"/>
    </xf>
    <xf numFmtId="0" fontId="15" fillId="0" borderId="0" xfId="0" applyFont="1" applyFill="1" applyBorder="1" applyAlignment="1">
      <alignment horizontal="left"/>
    </xf>
    <xf numFmtId="171" fontId="9" fillId="0" borderId="0" xfId="1" applyNumberFormat="1" applyFont="1" applyFill="1" applyBorder="1"/>
    <xf numFmtId="171" fontId="10" fillId="0" borderId="6" xfId="1" applyNumberFormat="1" applyFont="1" applyFill="1" applyBorder="1"/>
    <xf numFmtId="171" fontId="9" fillId="0" borderId="0" xfId="1" applyNumberFormat="1" applyFont="1" applyFill="1" applyBorder="1" applyAlignment="1">
      <alignment horizontal="right"/>
    </xf>
    <xf numFmtId="171" fontId="80" fillId="0" borderId="0" xfId="1" applyNumberFormat="1" applyFont="1" applyFill="1" applyBorder="1"/>
    <xf numFmtId="171" fontId="9" fillId="0" borderId="21" xfId="1" applyNumberFormat="1" applyFont="1" applyBorder="1"/>
    <xf numFmtId="171" fontId="10" fillId="0" borderId="0" xfId="1" applyNumberFormat="1" applyFont="1"/>
    <xf numFmtId="171" fontId="10" fillId="0" borderId="21" xfId="1" applyNumberFormat="1" applyFont="1" applyBorder="1"/>
    <xf numFmtId="171" fontId="9" fillId="0" borderId="0" xfId="1" applyNumberFormat="1" applyFont="1" applyFill="1"/>
    <xf numFmtId="0" fontId="91" fillId="0" borderId="0" xfId="0" applyFont="1" applyFill="1" applyBorder="1"/>
    <xf numFmtId="0" fontId="15" fillId="7" borderId="5" xfId="0" applyFont="1" applyFill="1" applyBorder="1" applyAlignment="1">
      <alignment horizontal="right" wrapText="1"/>
    </xf>
    <xf numFmtId="0" fontId="10" fillId="7" borderId="6" xfId="0" applyFont="1" applyFill="1" applyBorder="1"/>
    <xf numFmtId="2" fontId="0" fillId="0" borderId="0" xfId="0" applyNumberFormat="1"/>
    <xf numFmtId="10" fontId="16" fillId="0" borderId="0" xfId="0" applyNumberFormat="1" applyFont="1" applyFill="1" applyBorder="1" applyAlignment="1">
      <alignment horizontal="center"/>
    </xf>
    <xf numFmtId="0" fontId="16" fillId="0" borderId="0" xfId="0" applyFont="1" applyFill="1" applyBorder="1" applyAlignment="1">
      <alignment horizontal="center"/>
    </xf>
    <xf numFmtId="2" fontId="16" fillId="0" borderId="0" xfId="0" applyNumberFormat="1" applyFont="1" applyFill="1" applyBorder="1" applyAlignment="1">
      <alignment horizontal="center"/>
    </xf>
    <xf numFmtId="9" fontId="16" fillId="0" borderId="0" xfId="0" applyNumberFormat="1" applyFont="1" applyFill="1" applyBorder="1" applyAlignment="1">
      <alignment horizontal="center"/>
    </xf>
    <xf numFmtId="10" fontId="65" fillId="0" borderId="0" xfId="0" applyNumberFormat="1" applyFont="1" applyFill="1" applyBorder="1" applyAlignment="1"/>
    <xf numFmtId="0" fontId="65" fillId="0" borderId="0" xfId="0" applyFont="1" applyFill="1" applyBorder="1" applyAlignment="1">
      <alignment horizontal="center"/>
    </xf>
    <xf numFmtId="0" fontId="78" fillId="0" borderId="0" xfId="0" applyFont="1" applyFill="1" applyBorder="1" applyAlignment="1">
      <alignment horizontal="center"/>
    </xf>
    <xf numFmtId="2" fontId="9" fillId="0" borderId="0" xfId="0" applyNumberFormat="1" applyFont="1" applyFill="1" applyBorder="1" applyAlignment="1">
      <alignment horizontal="center"/>
    </xf>
    <xf numFmtId="10" fontId="9" fillId="0" borderId="0" xfId="0" applyNumberFormat="1" applyFont="1" applyFill="1" applyBorder="1" applyAlignment="1"/>
    <xf numFmtId="10" fontId="15" fillId="0" borderId="0" xfId="0" applyNumberFormat="1" applyFont="1" applyFill="1" applyBorder="1" applyAlignment="1">
      <alignment horizontal="center"/>
    </xf>
    <xf numFmtId="1" fontId="16" fillId="0" borderId="0" xfId="0" applyNumberFormat="1" applyFont="1" applyFill="1" applyBorder="1" applyAlignment="1">
      <alignment horizontal="center"/>
    </xf>
    <xf numFmtId="0" fontId="95" fillId="0" borderId="0" xfId="0" applyFont="1" applyFill="1" applyBorder="1" applyAlignment="1">
      <alignment horizontal="center" wrapText="1"/>
    </xf>
    <xf numFmtId="0" fontId="42" fillId="0" borderId="0" xfId="0" applyFont="1" applyFill="1" applyBorder="1" applyAlignment="1">
      <alignment vertical="top"/>
    </xf>
    <xf numFmtId="0" fontId="96" fillId="0" borderId="0" xfId="0" applyFont="1" applyFill="1" applyBorder="1" applyAlignment="1">
      <alignment horizontal="center"/>
    </xf>
    <xf numFmtId="0" fontId="97" fillId="0" borderId="0" xfId="0" applyFont="1" applyFill="1" applyBorder="1" applyAlignment="1">
      <alignment horizontal="center" wrapText="1"/>
    </xf>
    <xf numFmtId="9" fontId="9" fillId="0" borderId="0" xfId="0" applyNumberFormat="1" applyFont="1" applyFill="1" applyBorder="1" applyAlignment="1">
      <alignment horizontal="center"/>
    </xf>
    <xf numFmtId="2" fontId="16" fillId="0" borderId="0" xfId="0" applyNumberFormat="1" applyFont="1" applyFill="1" applyBorder="1" applyAlignment="1">
      <alignment horizontal="right"/>
    </xf>
    <xf numFmtId="1" fontId="16" fillId="0" borderId="0" xfId="0" applyNumberFormat="1" applyFont="1" applyFill="1" applyBorder="1" applyAlignment="1"/>
    <xf numFmtId="1" fontId="16" fillId="0" borderId="0" xfId="0" applyNumberFormat="1" applyFont="1" applyFill="1" applyAlignment="1">
      <alignment horizontal="center"/>
    </xf>
    <xf numFmtId="0" fontId="1" fillId="0" borderId="16" xfId="0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33" fillId="0" borderId="20" xfId="0" applyFont="1" applyBorder="1" applyAlignment="1">
      <alignment horizontal="center" vertical="center" wrapText="1"/>
    </xf>
    <xf numFmtId="0" fontId="33" fillId="0" borderId="21" xfId="0" applyFont="1" applyBorder="1" applyAlignment="1">
      <alignment horizontal="center" vertical="center" wrapText="1"/>
    </xf>
    <xf numFmtId="0" fontId="33" fillId="0" borderId="19" xfId="0" applyFont="1" applyBorder="1" applyAlignment="1">
      <alignment horizontal="center" vertical="center" wrapText="1"/>
    </xf>
    <xf numFmtId="0" fontId="0" fillId="11" borderId="16" xfId="0" applyFill="1" applyBorder="1" applyAlignment="1">
      <alignment horizontal="center"/>
    </xf>
    <xf numFmtId="0" fontId="0" fillId="11" borderId="18" xfId="0" applyFill="1" applyBorder="1" applyAlignment="1">
      <alignment horizontal="center"/>
    </xf>
    <xf numFmtId="0" fontId="9" fillId="6" borderId="16" xfId="0" applyFont="1" applyFill="1" applyBorder="1" applyAlignment="1">
      <alignment horizontal="center"/>
    </xf>
    <xf numFmtId="0" fontId="9" fillId="6" borderId="18" xfId="0" applyFont="1" applyFill="1" applyBorder="1" applyAlignment="1">
      <alignment horizontal="center"/>
    </xf>
    <xf numFmtId="2" fontId="9" fillId="6" borderId="16" xfId="0" applyNumberFormat="1" applyFont="1" applyFill="1" applyBorder="1" applyAlignment="1">
      <alignment horizontal="center"/>
    </xf>
    <xf numFmtId="2" fontId="9" fillId="6" borderId="18" xfId="0" applyNumberFormat="1" applyFont="1" applyFill="1" applyBorder="1" applyAlignment="1">
      <alignment horizontal="center"/>
    </xf>
    <xf numFmtId="1" fontId="9" fillId="6" borderId="16" xfId="0" applyNumberFormat="1" applyFont="1" applyFill="1" applyBorder="1" applyAlignment="1">
      <alignment horizontal="center"/>
    </xf>
    <xf numFmtId="1" fontId="9" fillId="6" borderId="18" xfId="0" applyNumberFormat="1" applyFont="1" applyFill="1" applyBorder="1" applyAlignment="1">
      <alignment horizontal="center"/>
    </xf>
    <xf numFmtId="0" fontId="27" fillId="8" borderId="18" xfId="0" applyFont="1" applyFill="1" applyBorder="1" applyAlignment="1">
      <alignment horizontal="center"/>
    </xf>
    <xf numFmtId="0" fontId="27" fillId="8" borderId="3" xfId="0" applyFont="1" applyFill="1" applyBorder="1" applyAlignment="1">
      <alignment horizontal="center"/>
    </xf>
    <xf numFmtId="0" fontId="30" fillId="0" borderId="0" xfId="0" applyFont="1" applyFill="1" applyBorder="1" applyAlignment="1">
      <alignment horizontal="center" wrapText="1"/>
    </xf>
    <xf numFmtId="0" fontId="27" fillId="8" borderId="64" xfId="0" applyFont="1" applyFill="1" applyBorder="1" applyAlignment="1">
      <alignment horizontal="center"/>
    </xf>
    <xf numFmtId="0" fontId="27" fillId="8" borderId="27" xfId="0" applyFont="1" applyFill="1" applyBorder="1" applyAlignment="1">
      <alignment horizontal="center"/>
    </xf>
    <xf numFmtId="0" fontId="27" fillId="8" borderId="37" xfId="0" applyFont="1" applyFill="1" applyBorder="1" applyAlignment="1">
      <alignment horizontal="center"/>
    </xf>
    <xf numFmtId="0" fontId="27" fillId="8" borderId="17" xfId="0" applyFont="1" applyFill="1" applyBorder="1" applyAlignment="1">
      <alignment horizontal="center"/>
    </xf>
    <xf numFmtId="0" fontId="27" fillId="8" borderId="38" xfId="0" applyFont="1" applyFill="1" applyBorder="1" applyAlignment="1">
      <alignment horizontal="center"/>
    </xf>
    <xf numFmtId="0" fontId="27" fillId="8" borderId="31" xfId="0" applyFont="1" applyFill="1" applyBorder="1" applyAlignment="1">
      <alignment horizontal="center"/>
    </xf>
    <xf numFmtId="0" fontId="27" fillId="8" borderId="20" xfId="0" applyFont="1" applyFill="1" applyBorder="1" applyAlignment="1">
      <alignment horizontal="center"/>
    </xf>
    <xf numFmtId="0" fontId="27" fillId="8" borderId="21" xfId="0" applyFont="1" applyFill="1" applyBorder="1" applyAlignment="1">
      <alignment horizontal="center"/>
    </xf>
    <xf numFmtId="0" fontId="27" fillId="8" borderId="19" xfId="0" applyFont="1" applyFill="1" applyBorder="1" applyAlignment="1">
      <alignment horizontal="center"/>
    </xf>
    <xf numFmtId="0" fontId="33" fillId="0" borderId="3" xfId="0" applyFont="1" applyBorder="1" applyAlignment="1">
      <alignment horizontal="center" vertical="center" wrapText="1"/>
    </xf>
    <xf numFmtId="0" fontId="33" fillId="0" borderId="20" xfId="0" applyFont="1" applyFill="1" applyBorder="1" applyAlignment="1">
      <alignment horizontal="center" vertical="center" wrapText="1"/>
    </xf>
    <xf numFmtId="0" fontId="33" fillId="0" borderId="21" xfId="0" applyFont="1" applyFill="1" applyBorder="1" applyAlignment="1">
      <alignment horizontal="center" vertical="center" wrapText="1"/>
    </xf>
    <xf numFmtId="0" fontId="33" fillId="0" borderId="19" xfId="0" applyFont="1" applyFill="1" applyBorder="1" applyAlignment="1">
      <alignment horizontal="center" vertical="center" wrapText="1"/>
    </xf>
    <xf numFmtId="0" fontId="33" fillId="0" borderId="3" xfId="0" applyFont="1" applyBorder="1" applyAlignment="1">
      <alignment horizontal="center" vertical="center"/>
    </xf>
    <xf numFmtId="0" fontId="9" fillId="6" borderId="16" xfId="0" applyFont="1" applyFill="1" applyBorder="1" applyAlignment="1">
      <alignment horizontal="center" wrapText="1"/>
    </xf>
    <xf numFmtId="0" fontId="9" fillId="6" borderId="18" xfId="0" applyFont="1" applyFill="1" applyBorder="1" applyAlignment="1">
      <alignment horizontal="center" wrapText="1"/>
    </xf>
    <xf numFmtId="0" fontId="10" fillId="3" borderId="16" xfId="0" applyFont="1" applyFill="1" applyBorder="1" applyAlignment="1">
      <alignment horizontal="center"/>
    </xf>
    <xf numFmtId="0" fontId="10" fillId="3" borderId="2" xfId="0" applyFont="1" applyFill="1" applyBorder="1" applyAlignment="1">
      <alignment horizontal="center"/>
    </xf>
    <xf numFmtId="0" fontId="0" fillId="6" borderId="16" xfId="0" applyFill="1" applyBorder="1" applyAlignment="1">
      <alignment horizontal="center"/>
    </xf>
    <xf numFmtId="0" fontId="0" fillId="6" borderId="18" xfId="0" applyFill="1" applyBorder="1" applyAlignment="1">
      <alignment horizontal="center"/>
    </xf>
    <xf numFmtId="17" fontId="0" fillId="6" borderId="16" xfId="0" applyNumberFormat="1" applyFill="1" applyBorder="1" applyAlignment="1">
      <alignment horizontal="center"/>
    </xf>
    <xf numFmtId="17" fontId="0" fillId="6" borderId="18" xfId="0" applyNumberFormat="1" applyFill="1" applyBorder="1" applyAlignment="1">
      <alignment horizontal="center"/>
    </xf>
    <xf numFmtId="166" fontId="9" fillId="6" borderId="16" xfId="0" applyNumberFormat="1" applyFont="1" applyFill="1" applyBorder="1" applyAlignment="1">
      <alignment horizontal="center"/>
    </xf>
    <xf numFmtId="166" fontId="9" fillId="6" borderId="18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" fontId="0" fillId="6" borderId="16" xfId="0" applyNumberFormat="1" applyFill="1" applyBorder="1" applyAlignment="1">
      <alignment horizontal="center"/>
    </xf>
    <xf numFmtId="1" fontId="0" fillId="6" borderId="18" xfId="0" applyNumberFormat="1" applyFill="1" applyBorder="1" applyAlignment="1">
      <alignment horizontal="center"/>
    </xf>
    <xf numFmtId="2" fontId="9" fillId="8" borderId="2" xfId="0" applyNumberFormat="1" applyFont="1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10" fontId="9" fillId="11" borderId="3" xfId="0" applyNumberFormat="1" applyFont="1" applyFill="1" applyBorder="1" applyAlignment="1">
      <alignment horizontal="center"/>
    </xf>
    <xf numFmtId="0" fontId="9" fillId="11" borderId="16" xfId="0" applyFont="1" applyFill="1" applyBorder="1" applyAlignment="1">
      <alignment horizontal="center"/>
    </xf>
    <xf numFmtId="0" fontId="9" fillId="11" borderId="18" xfId="0" applyFont="1" applyFill="1" applyBorder="1" applyAlignment="1">
      <alignment horizontal="center"/>
    </xf>
    <xf numFmtId="10" fontId="9" fillId="11" borderId="16" xfId="0" applyNumberFormat="1" applyFont="1" applyFill="1" applyBorder="1" applyAlignment="1">
      <alignment horizontal="center"/>
    </xf>
    <xf numFmtId="10" fontId="9" fillId="11" borderId="18" xfId="0" applyNumberFormat="1" applyFont="1" applyFill="1" applyBorder="1" applyAlignment="1">
      <alignment horizontal="center"/>
    </xf>
    <xf numFmtId="0" fontId="39" fillId="12" borderId="17" xfId="0" applyFont="1" applyFill="1" applyBorder="1" applyAlignment="1">
      <alignment horizontal="left" vertical="center"/>
    </xf>
    <xf numFmtId="0" fontId="33" fillId="10" borderId="0" xfId="0" applyFont="1" applyFill="1" applyBorder="1" applyAlignment="1">
      <alignment horizontal="left" vertical="center" wrapText="1"/>
    </xf>
    <xf numFmtId="10" fontId="9" fillId="8" borderId="16" xfId="0" applyNumberFormat="1" applyFont="1" applyFill="1" applyBorder="1" applyAlignment="1">
      <alignment horizontal="center"/>
    </xf>
    <xf numFmtId="10" fontId="9" fillId="8" borderId="18" xfId="0" applyNumberFormat="1" applyFont="1" applyFill="1" applyBorder="1" applyAlignment="1">
      <alignment horizontal="center"/>
    </xf>
    <xf numFmtId="0" fontId="49" fillId="11" borderId="10" xfId="0" applyFont="1" applyFill="1" applyBorder="1" applyAlignment="1">
      <alignment horizontal="center" vertical="center" wrapText="1"/>
    </xf>
    <xf numFmtId="0" fontId="49" fillId="11" borderId="12" xfId="0" applyFont="1" applyFill="1" applyBorder="1" applyAlignment="1">
      <alignment horizontal="center" vertical="center" wrapText="1"/>
    </xf>
    <xf numFmtId="0" fontId="49" fillId="11" borderId="4" xfId="0" applyFont="1" applyFill="1" applyBorder="1" applyAlignment="1">
      <alignment horizontal="center" vertical="center" wrapText="1"/>
    </xf>
    <xf numFmtId="0" fontId="49" fillId="11" borderId="13" xfId="0" applyFont="1" applyFill="1" applyBorder="1" applyAlignment="1">
      <alignment horizontal="center" vertical="center" wrapText="1"/>
    </xf>
    <xf numFmtId="0" fontId="49" fillId="11" borderId="14" xfId="0" applyFont="1" applyFill="1" applyBorder="1" applyAlignment="1">
      <alignment horizontal="center" vertical="center" wrapText="1"/>
    </xf>
    <xf numFmtId="0" fontId="49" fillId="11" borderId="15" xfId="0" applyFont="1" applyFill="1" applyBorder="1" applyAlignment="1">
      <alignment horizontal="center" vertical="center" wrapText="1"/>
    </xf>
    <xf numFmtId="0" fontId="51" fillId="11" borderId="58" xfId="0" applyFont="1" applyFill="1" applyBorder="1" applyAlignment="1">
      <alignment horizontal="center" vertical="center" wrapText="1"/>
    </xf>
    <xf numFmtId="0" fontId="51" fillId="11" borderId="59" xfId="0" applyFont="1" applyFill="1" applyBorder="1" applyAlignment="1">
      <alignment horizontal="center" vertical="center" wrapText="1"/>
    </xf>
    <xf numFmtId="0" fontId="51" fillId="11" borderId="53" xfId="0" applyFont="1" applyFill="1" applyBorder="1" applyAlignment="1">
      <alignment horizontal="center" vertical="center" wrapText="1"/>
    </xf>
    <xf numFmtId="0" fontId="9" fillId="8" borderId="16" xfId="0" applyFont="1" applyFill="1" applyBorder="1" applyAlignment="1">
      <alignment horizontal="center"/>
    </xf>
    <xf numFmtId="0" fontId="9" fillId="8" borderId="18" xfId="0" applyFont="1" applyFill="1" applyBorder="1" applyAlignment="1">
      <alignment horizontal="center"/>
    </xf>
    <xf numFmtId="0" fontId="30" fillId="0" borderId="41" xfId="0" applyFont="1" applyBorder="1" applyAlignment="1">
      <alignment horizontal="center" vertical="center"/>
    </xf>
    <xf numFmtId="0" fontId="30" fillId="0" borderId="42" xfId="0" applyFont="1" applyBorder="1" applyAlignment="1">
      <alignment horizontal="center" vertical="center"/>
    </xf>
    <xf numFmtId="0" fontId="30" fillId="0" borderId="43" xfId="0" applyFont="1" applyBorder="1" applyAlignment="1">
      <alignment horizontal="center" vertical="center"/>
    </xf>
    <xf numFmtId="0" fontId="30" fillId="0" borderId="58" xfId="0" applyFont="1" applyBorder="1" applyAlignment="1">
      <alignment horizontal="center" vertical="center" wrapText="1"/>
    </xf>
    <xf numFmtId="0" fontId="30" fillId="0" borderId="59" xfId="0" applyFont="1" applyBorder="1" applyAlignment="1">
      <alignment horizontal="center" vertical="center" wrapText="1"/>
    </xf>
    <xf numFmtId="0" fontId="30" fillId="0" borderId="53" xfId="0" applyFont="1" applyBorder="1" applyAlignment="1">
      <alignment horizontal="center" vertical="center" wrapText="1"/>
    </xf>
    <xf numFmtId="0" fontId="30" fillId="0" borderId="58" xfId="0" applyFont="1" applyBorder="1" applyAlignment="1">
      <alignment horizontal="center" vertical="center"/>
    </xf>
    <xf numFmtId="0" fontId="30" fillId="0" borderId="59" xfId="0" applyFont="1" applyBorder="1" applyAlignment="1">
      <alignment horizontal="center" vertical="center"/>
    </xf>
    <xf numFmtId="0" fontId="30" fillId="0" borderId="53" xfId="0" applyFont="1" applyBorder="1" applyAlignment="1">
      <alignment horizontal="center" vertical="center"/>
    </xf>
    <xf numFmtId="0" fontId="30" fillId="0" borderId="60" xfId="0" applyFont="1" applyBorder="1" applyAlignment="1">
      <alignment horizontal="center" vertical="center"/>
    </xf>
    <xf numFmtId="0" fontId="30" fillId="0" borderId="61" xfId="0" applyFont="1" applyBorder="1" applyAlignment="1">
      <alignment horizontal="center" vertical="center"/>
    </xf>
    <xf numFmtId="0" fontId="30" fillId="0" borderId="62" xfId="0" applyFont="1" applyBorder="1" applyAlignment="1">
      <alignment horizontal="center" vertical="center"/>
    </xf>
    <xf numFmtId="0" fontId="30" fillId="0" borderId="10" xfId="0" applyFont="1" applyBorder="1" applyAlignment="1">
      <alignment horizontal="center" vertical="center" wrapText="1"/>
    </xf>
    <xf numFmtId="0" fontId="30" fillId="0" borderId="4" xfId="0" applyFont="1" applyBorder="1" applyAlignment="1">
      <alignment horizontal="center" vertical="center" wrapText="1"/>
    </xf>
    <xf numFmtId="0" fontId="30" fillId="0" borderId="14" xfId="0" applyFont="1" applyBorder="1" applyAlignment="1">
      <alignment horizontal="center" vertical="center" wrapText="1"/>
    </xf>
    <xf numFmtId="0" fontId="30" fillId="0" borderId="12" xfId="0" applyFont="1" applyBorder="1" applyAlignment="1">
      <alignment horizontal="center" vertical="center"/>
    </xf>
    <xf numFmtId="0" fontId="30" fillId="0" borderId="13" xfId="0" applyFont="1" applyBorder="1" applyAlignment="1">
      <alignment horizontal="center" vertical="center"/>
    </xf>
    <xf numFmtId="0" fontId="30" fillId="0" borderId="15" xfId="0" applyFont="1" applyBorder="1" applyAlignment="1">
      <alignment horizontal="center" vertical="center"/>
    </xf>
    <xf numFmtId="0" fontId="30" fillId="0" borderId="28" xfId="0" applyFont="1" applyBorder="1" applyAlignment="1">
      <alignment horizontal="center" vertical="center" wrapText="1"/>
    </xf>
    <xf numFmtId="0" fontId="30" fillId="0" borderId="29" xfId="0" applyFont="1" applyBorder="1" applyAlignment="1">
      <alignment horizontal="center" vertical="center" wrapText="1"/>
    </xf>
    <xf numFmtId="0" fontId="30" fillId="0" borderId="30" xfId="0" applyFont="1" applyBorder="1" applyAlignment="1">
      <alignment horizontal="center" vertical="center" wrapText="1"/>
    </xf>
    <xf numFmtId="0" fontId="30" fillId="0" borderId="28" xfId="0" applyFont="1" applyBorder="1" applyAlignment="1">
      <alignment horizontal="center" vertical="center"/>
    </xf>
    <xf numFmtId="0" fontId="30" fillId="0" borderId="29" xfId="0" applyFont="1" applyBorder="1" applyAlignment="1">
      <alignment horizontal="center" vertical="center"/>
    </xf>
    <xf numFmtId="0" fontId="30" fillId="0" borderId="30" xfId="0" applyFont="1" applyBorder="1" applyAlignment="1">
      <alignment horizontal="center" vertical="center"/>
    </xf>
    <xf numFmtId="0" fontId="30" fillId="0" borderId="63" xfId="0" applyFont="1" applyBorder="1" applyAlignment="1">
      <alignment horizontal="center" vertical="center"/>
    </xf>
    <xf numFmtId="0" fontId="30" fillId="0" borderId="55" xfId="0" applyFont="1" applyBorder="1" applyAlignment="1">
      <alignment horizontal="center" vertical="center" wrapText="1"/>
    </xf>
    <xf numFmtId="0" fontId="8" fillId="0" borderId="16" xfId="0" applyFont="1" applyFill="1" applyBorder="1" applyAlignment="1">
      <alignment horizontal="left"/>
    </xf>
    <xf numFmtId="0" fontId="8" fillId="0" borderId="2" xfId="0" applyFont="1" applyFill="1" applyBorder="1" applyAlignment="1">
      <alignment horizontal="left"/>
    </xf>
    <xf numFmtId="0" fontId="8" fillId="0" borderId="18" xfId="0" applyFont="1" applyFill="1" applyBorder="1" applyAlignment="1">
      <alignment horizontal="left"/>
    </xf>
    <xf numFmtId="0" fontId="30" fillId="0" borderId="55" xfId="0" applyFont="1" applyBorder="1" applyAlignment="1">
      <alignment horizontal="center" vertical="center"/>
    </xf>
    <xf numFmtId="0" fontId="40" fillId="10" borderId="0" xfId="0" applyFont="1" applyFill="1" applyAlignment="1">
      <alignment horizontal="center"/>
    </xf>
    <xf numFmtId="0" fontId="92" fillId="0" borderId="9" xfId="0" applyFont="1" applyFill="1" applyBorder="1" applyAlignment="1">
      <alignment horizontal="center"/>
    </xf>
    <xf numFmtId="0" fontId="4" fillId="7" borderId="7" xfId="0" applyFont="1" applyFill="1" applyBorder="1" applyAlignment="1">
      <alignment vertical="center"/>
    </xf>
    <xf numFmtId="0" fontId="5" fillId="7" borderId="8" xfId="0" applyFont="1" applyFill="1" applyBorder="1" applyAlignment="1">
      <alignment vertical="center"/>
    </xf>
    <xf numFmtId="0" fontId="4" fillId="7" borderId="7" xfId="0" applyFont="1" applyFill="1" applyBorder="1" applyAlignment="1">
      <alignment horizontal="center" vertical="center"/>
    </xf>
    <xf numFmtId="0" fontId="4" fillId="7" borderId="8" xfId="0" applyFont="1" applyFill="1" applyBorder="1" applyAlignment="1">
      <alignment horizontal="center" vertical="center"/>
    </xf>
    <xf numFmtId="0" fontId="15" fillId="10" borderId="4" xfId="0" applyFont="1" applyFill="1" applyBorder="1" applyAlignment="1">
      <alignment horizontal="center"/>
    </xf>
    <xf numFmtId="0" fontId="15" fillId="10" borderId="0" xfId="0" applyFont="1" applyFill="1" applyBorder="1" applyAlignment="1">
      <alignment horizontal="center"/>
    </xf>
    <xf numFmtId="0" fontId="15" fillId="10" borderId="24" xfId="0" applyFont="1" applyFill="1" applyBorder="1" applyAlignment="1">
      <alignment horizontal="center"/>
    </xf>
    <xf numFmtId="0" fontId="15" fillId="10" borderId="65" xfId="0" applyFont="1" applyFill="1" applyBorder="1" applyAlignment="1">
      <alignment horizontal="center"/>
    </xf>
    <xf numFmtId="0" fontId="15" fillId="10" borderId="45" xfId="0" applyFont="1" applyFill="1" applyBorder="1" applyAlignment="1">
      <alignment horizontal="center"/>
    </xf>
    <xf numFmtId="1" fontId="16" fillId="0" borderId="16" xfId="0" applyNumberFormat="1" applyFont="1" applyBorder="1" applyAlignment="1">
      <alignment horizontal="center"/>
    </xf>
    <xf numFmtId="1" fontId="16" fillId="0" borderId="2" xfId="0" applyNumberFormat="1" applyFont="1" applyBorder="1" applyAlignment="1">
      <alignment horizontal="center"/>
    </xf>
    <xf numFmtId="1" fontId="16" fillId="0" borderId="18" xfId="0" applyNumberFormat="1" applyFont="1" applyBorder="1" applyAlignment="1">
      <alignment horizontal="center"/>
    </xf>
    <xf numFmtId="0" fontId="15" fillId="0" borderId="0" xfId="0" applyFont="1" applyFill="1" applyBorder="1" applyAlignment="1">
      <alignment horizontal="center"/>
    </xf>
    <xf numFmtId="2" fontId="16" fillId="0" borderId="3" xfId="0" applyNumberFormat="1" applyFont="1" applyBorder="1" applyAlignment="1">
      <alignment horizontal="center"/>
    </xf>
    <xf numFmtId="1" fontId="15" fillId="0" borderId="66" xfId="0" applyNumberFormat="1" applyFont="1" applyFill="1" applyBorder="1" applyAlignment="1">
      <alignment horizontal="center" vertical="top"/>
    </xf>
    <xf numFmtId="0" fontId="0" fillId="0" borderId="67" xfId="0" applyBorder="1"/>
    <xf numFmtId="0" fontId="0" fillId="0" borderId="25" xfId="0" applyBorder="1"/>
    <xf numFmtId="0" fontId="27" fillId="0" borderId="9" xfId="0" applyFont="1" applyFill="1" applyBorder="1" applyAlignment="1">
      <alignment horizontal="center"/>
    </xf>
    <xf numFmtId="0" fontId="9" fillId="0" borderId="0" xfId="0" applyFont="1" applyFill="1" applyBorder="1" applyAlignment="1">
      <alignment horizontal="left"/>
    </xf>
    <xf numFmtId="0" fontId="10" fillId="0" borderId="0" xfId="0" applyFont="1" applyFill="1" applyBorder="1" applyAlignment="1">
      <alignment horizontal="center"/>
    </xf>
    <xf numFmtId="0" fontId="17" fillId="0" borderId="2" xfId="0" applyFont="1" applyBorder="1" applyAlignment="1">
      <alignment horizontal="left" wrapText="1"/>
    </xf>
    <xf numFmtId="0" fontId="17" fillId="0" borderId="18" xfId="0" applyFont="1" applyBorder="1" applyAlignment="1">
      <alignment horizontal="left" wrapText="1"/>
    </xf>
    <xf numFmtId="0" fontId="16" fillId="0" borderId="16" xfId="0" applyFont="1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16" fillId="0" borderId="18" xfId="0" applyFont="1" applyBorder="1" applyAlignment="1">
      <alignment horizontal="center"/>
    </xf>
    <xf numFmtId="0" fontId="15" fillId="0" borderId="0" xfId="0" applyFont="1" applyFill="1" applyBorder="1" applyAlignment="1">
      <alignment horizontal="center" wrapText="1"/>
    </xf>
    <xf numFmtId="0" fontId="37" fillId="0" borderId="0" xfId="0" applyFont="1" applyBorder="1" applyAlignment="1">
      <alignment horizontal="center"/>
    </xf>
    <xf numFmtId="0" fontId="37" fillId="0" borderId="0" xfId="0" applyFont="1" applyBorder="1" applyAlignment="1">
      <alignment horizontal="center" wrapText="1"/>
    </xf>
    <xf numFmtId="0" fontId="32" fillId="0" borderId="0" xfId="0" applyFont="1" applyBorder="1" applyAlignment="1">
      <alignment horizontal="center"/>
    </xf>
    <xf numFmtId="0" fontId="37" fillId="7" borderId="0" xfId="0" applyFont="1" applyFill="1" applyBorder="1" applyAlignment="1">
      <alignment horizontal="center" vertical="center" wrapText="1"/>
    </xf>
    <xf numFmtId="0" fontId="32" fillId="0" borderId="0" xfId="0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54" fillId="0" borderId="0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58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vertical="center" wrapText="1"/>
    </xf>
    <xf numFmtId="0" fontId="9" fillId="0" borderId="0" xfId="0" applyFont="1" applyBorder="1" applyAlignment="1">
      <alignment horizontal="left" vertical="top" wrapText="1"/>
    </xf>
    <xf numFmtId="1" fontId="9" fillId="0" borderId="0" xfId="0" applyNumberFormat="1" applyFont="1" applyAlignment="1">
      <alignment horizontal="left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center" wrapText="1"/>
    </xf>
    <xf numFmtId="0" fontId="10" fillId="7" borderId="0" xfId="0" applyFont="1" applyFill="1" applyAlignment="1">
      <alignment horizontal="center"/>
    </xf>
    <xf numFmtId="0" fontId="9" fillId="0" borderId="0" xfId="0" applyFont="1" applyAlignment="1">
      <alignment horizontal="left" vertical="top" wrapText="1"/>
    </xf>
    <xf numFmtId="0" fontId="9" fillId="0" borderId="0" xfId="0" applyFont="1" applyAlignment="1">
      <alignment horizontal="left" wrapText="1"/>
    </xf>
    <xf numFmtId="0" fontId="0" fillId="0" borderId="3" xfId="0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0" fillId="0" borderId="16" xfId="0" applyFont="1" applyBorder="1" applyAlignment="1">
      <alignment horizontal="center"/>
    </xf>
    <xf numFmtId="0" fontId="30" fillId="0" borderId="18" xfId="0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45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30" fillId="0" borderId="3" xfId="0" applyFont="1" applyBorder="1" applyAlignment="1">
      <alignment horizontal="center"/>
    </xf>
    <xf numFmtId="0" fontId="27" fillId="0" borderId="0" xfId="0" applyFont="1" applyFill="1" applyBorder="1" applyAlignment="1">
      <alignment horizontal="center"/>
    </xf>
    <xf numFmtId="0" fontId="28" fillId="0" borderId="0" xfId="0" applyFont="1" applyBorder="1" applyAlignment="1">
      <alignment horizontal="center"/>
    </xf>
    <xf numFmtId="0" fontId="27" fillId="0" borderId="0" xfId="0" applyFont="1" applyFill="1" applyBorder="1" applyAlignment="1">
      <alignment horizontal="center" wrapText="1"/>
    </xf>
    <xf numFmtId="0" fontId="4" fillId="0" borderId="0" xfId="0" applyFont="1" applyFill="1" applyAlignment="1">
      <alignment horizontal="center"/>
    </xf>
    <xf numFmtId="0" fontId="4" fillId="0" borderId="9" xfId="0" applyFont="1" applyFill="1" applyBorder="1" applyAlignment="1">
      <alignment horizontal="center"/>
    </xf>
    <xf numFmtId="171" fontId="4" fillId="0" borderId="9" xfId="1" applyNumberFormat="1" applyFont="1" applyFill="1" applyBorder="1" applyAlignment="1">
      <alignment horizontal="center"/>
    </xf>
    <xf numFmtId="0" fontId="5" fillId="0" borderId="0" xfId="0" applyFont="1" applyFill="1" applyAlignment="1">
      <alignment horizontal="left" wrapText="1"/>
    </xf>
    <xf numFmtId="0" fontId="8" fillId="0" borderId="0" xfId="0" applyFont="1" applyAlignment="1">
      <alignment horizontal="center"/>
    </xf>
    <xf numFmtId="0" fontId="69" fillId="0" borderId="9" xfId="0" applyFont="1" applyBorder="1" applyAlignment="1">
      <alignment horizontal="right"/>
    </xf>
    <xf numFmtId="0" fontId="26" fillId="0" borderId="4" xfId="0" applyFont="1" applyBorder="1" applyAlignment="1">
      <alignment horizontal="left"/>
    </xf>
    <xf numFmtId="0" fontId="26" fillId="0" borderId="0" xfId="0" applyFont="1" applyBorder="1" applyAlignment="1">
      <alignment horizontal="left"/>
    </xf>
    <xf numFmtId="0" fontId="2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0" fontId="10" fillId="0" borderId="0" xfId="0" applyFont="1" applyBorder="1" applyAlignment="1">
      <alignment horizontal="center"/>
    </xf>
    <xf numFmtId="0" fontId="10" fillId="7" borderId="7" xfId="0" applyFont="1" applyFill="1" applyBorder="1" applyAlignment="1">
      <alignment horizontal="center" vertical="center" wrapText="1"/>
    </xf>
    <xf numFmtId="0" fontId="10" fillId="7" borderId="0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/>
    </xf>
    <xf numFmtId="0" fontId="10" fillId="7" borderId="0" xfId="0" applyFont="1" applyFill="1" applyBorder="1" applyAlignment="1">
      <alignment horizontal="center"/>
    </xf>
    <xf numFmtId="0" fontId="10" fillId="7" borderId="7" xfId="0" applyFont="1" applyFill="1" applyBorder="1" applyAlignment="1">
      <alignment horizontal="center" wrapText="1"/>
    </xf>
    <xf numFmtId="0" fontId="10" fillId="7" borderId="0" xfId="0" applyFont="1" applyFill="1" applyBorder="1" applyAlignment="1">
      <alignment horizontal="center" wrapText="1"/>
    </xf>
    <xf numFmtId="0" fontId="10" fillId="0" borderId="0" xfId="0" applyFont="1" applyFill="1" applyAlignment="1">
      <alignment horizontal="center"/>
    </xf>
    <xf numFmtId="0" fontId="10" fillId="0" borderId="16" xfId="0" applyFont="1" applyFill="1" applyBorder="1" applyAlignment="1">
      <alignment horizontal="center"/>
    </xf>
    <xf numFmtId="0" fontId="10" fillId="0" borderId="2" xfId="0" applyFont="1" applyFill="1" applyBorder="1" applyAlignment="1">
      <alignment horizontal="center"/>
    </xf>
    <xf numFmtId="0" fontId="10" fillId="0" borderId="18" xfId="0" applyFont="1" applyFill="1" applyBorder="1" applyAlignment="1">
      <alignment horizontal="center"/>
    </xf>
    <xf numFmtId="0" fontId="18" fillId="0" borderId="0" xfId="0" applyFont="1" applyFill="1" applyBorder="1" applyAlignment="1">
      <alignment horizontal="center"/>
    </xf>
    <xf numFmtId="0" fontId="10" fillId="7" borderId="16" xfId="0" applyFont="1" applyFill="1" applyBorder="1" applyAlignment="1">
      <alignment horizontal="left"/>
    </xf>
    <xf numFmtId="0" fontId="10" fillId="7" borderId="2" xfId="0" applyFont="1" applyFill="1" applyBorder="1" applyAlignment="1">
      <alignment horizontal="left"/>
    </xf>
    <xf numFmtId="0" fontId="10" fillId="7" borderId="18" xfId="0" applyFont="1" applyFill="1" applyBorder="1" applyAlignment="1">
      <alignment horizontal="left"/>
    </xf>
    <xf numFmtId="0" fontId="10" fillId="7" borderId="16" xfId="0" applyFont="1" applyFill="1" applyBorder="1" applyAlignment="1">
      <alignment horizontal="left" wrapText="1"/>
    </xf>
    <xf numFmtId="0" fontId="10" fillId="7" borderId="2" xfId="0" applyFont="1" applyFill="1" applyBorder="1" applyAlignment="1">
      <alignment horizontal="left" wrapText="1"/>
    </xf>
    <xf numFmtId="0" fontId="10" fillId="7" borderId="18" xfId="0" applyFont="1" applyFill="1" applyBorder="1" applyAlignment="1">
      <alignment horizontal="left" wrapText="1"/>
    </xf>
    <xf numFmtId="0" fontId="8" fillId="0" borderId="0" xfId="0" applyFont="1" applyFill="1" applyBorder="1" applyAlignment="1">
      <alignment horizontal="center"/>
    </xf>
    <xf numFmtId="0" fontId="10" fillId="0" borderId="0" xfId="0" applyFont="1" applyFill="1" applyAlignment="1">
      <alignment horizontal="center" wrapText="1"/>
    </xf>
    <xf numFmtId="0" fontId="20" fillId="0" borderId="10" xfId="0" applyFont="1" applyFill="1" applyBorder="1" applyAlignment="1">
      <alignment horizontal="center" wrapText="1"/>
    </xf>
    <xf numFmtId="0" fontId="20" fillId="0" borderId="11" xfId="0" applyFont="1" applyFill="1" applyBorder="1" applyAlignment="1">
      <alignment horizontal="center" wrapText="1"/>
    </xf>
    <xf numFmtId="0" fontId="20" fillId="0" borderId="12" xfId="0" applyFont="1" applyFill="1" applyBorder="1" applyAlignment="1">
      <alignment horizontal="center" wrapText="1"/>
    </xf>
    <xf numFmtId="0" fontId="20" fillId="0" borderId="4" xfId="0" applyFont="1" applyFill="1" applyBorder="1" applyAlignment="1">
      <alignment horizontal="center" wrapText="1"/>
    </xf>
    <xf numFmtId="0" fontId="20" fillId="0" borderId="0" xfId="0" applyFont="1" applyFill="1" applyBorder="1" applyAlignment="1">
      <alignment horizontal="center" wrapText="1"/>
    </xf>
    <xf numFmtId="0" fontId="20" fillId="0" borderId="13" xfId="0" applyFont="1" applyFill="1" applyBorder="1" applyAlignment="1">
      <alignment horizontal="center" wrapText="1"/>
    </xf>
    <xf numFmtId="0" fontId="20" fillId="0" borderId="14" xfId="0" applyFont="1" applyFill="1" applyBorder="1" applyAlignment="1">
      <alignment horizontal="center" wrapText="1"/>
    </xf>
    <xf numFmtId="0" fontId="20" fillId="0" borderId="1" xfId="0" applyFont="1" applyFill="1" applyBorder="1" applyAlignment="1">
      <alignment horizontal="center" wrapText="1"/>
    </xf>
    <xf numFmtId="0" fontId="20" fillId="0" borderId="15" xfId="0" applyFont="1" applyFill="1" applyBorder="1" applyAlignment="1">
      <alignment horizontal="center" wrapText="1"/>
    </xf>
    <xf numFmtId="8" fontId="9" fillId="0" borderId="24" xfId="0" applyNumberFormat="1" applyFont="1" applyFill="1" applyBorder="1" applyAlignment="1">
      <alignment horizontal="center"/>
    </xf>
    <xf numFmtId="0" fontId="9" fillId="0" borderId="65" xfId="0" applyFont="1" applyFill="1" applyBorder="1" applyAlignment="1">
      <alignment horizontal="center"/>
    </xf>
    <xf numFmtId="0" fontId="9" fillId="0" borderId="45" xfId="0" applyFont="1" applyFill="1" applyBorder="1" applyAlignment="1">
      <alignment horizontal="center"/>
    </xf>
    <xf numFmtId="0" fontId="15" fillId="0" borderId="0" xfId="0" applyFont="1" applyAlignment="1">
      <alignment horizontal="center"/>
    </xf>
    <xf numFmtId="0" fontId="68" fillId="0" borderId="0" xfId="0" applyFont="1" applyAlignment="1">
      <alignment horizontal="center"/>
    </xf>
    <xf numFmtId="0" fontId="15" fillId="0" borderId="0" xfId="0" applyFont="1" applyAlignment="1">
      <alignment horizontal="center" wrapText="1"/>
    </xf>
    <xf numFmtId="0" fontId="32" fillId="0" borderId="0" xfId="0" applyFont="1" applyFill="1" applyAlignment="1">
      <alignment horizontal="center"/>
    </xf>
    <xf numFmtId="171" fontId="10" fillId="0" borderId="65" xfId="1" applyNumberFormat="1" applyFont="1" applyFill="1" applyBorder="1" applyAlignment="1">
      <alignment horizontal="center"/>
    </xf>
    <xf numFmtId="0" fontId="15" fillId="0" borderId="0" xfId="0" applyFont="1" applyFill="1" applyAlignment="1">
      <alignment horizontal="center"/>
    </xf>
    <xf numFmtId="0" fontId="16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6" fillId="0" borderId="0" xfId="0" applyFont="1" applyAlignment="1">
      <alignment horizontal="left"/>
    </xf>
    <xf numFmtId="0" fontId="28" fillId="0" borderId="0" xfId="0" applyFont="1" applyFill="1" applyAlignment="1">
      <alignment horizontal="center"/>
    </xf>
    <xf numFmtId="0" fontId="10" fillId="0" borderId="24" xfId="0" applyFont="1" applyBorder="1" applyAlignment="1">
      <alignment horizontal="center" vertical="center"/>
    </xf>
    <xf numFmtId="0" fontId="10" fillId="0" borderId="65" xfId="0" applyFont="1" applyBorder="1" applyAlignment="1">
      <alignment horizontal="center" vertical="center"/>
    </xf>
    <xf numFmtId="0" fontId="10" fillId="7" borderId="5" xfId="0" applyFont="1" applyFill="1" applyBorder="1" applyAlignment="1">
      <alignment horizontal="center" vertical="center"/>
    </xf>
    <xf numFmtId="0" fontId="27" fillId="0" borderId="0" xfId="0" applyNumberFormat="1" applyFont="1" applyFill="1" applyBorder="1" applyAlignment="1">
      <alignment horizontal="center"/>
    </xf>
    <xf numFmtId="0" fontId="27" fillId="0" borderId="0" xfId="0" applyNumberFormat="1" applyFont="1" applyFill="1" applyBorder="1" applyAlignment="1">
      <alignment horizontal="center" wrapText="1"/>
    </xf>
    <xf numFmtId="0" fontId="15" fillId="0" borderId="0" xfId="0" applyFont="1" applyAlignment="1">
      <alignment horizontal="left"/>
    </xf>
    <xf numFmtId="0" fontId="17" fillId="0" borderId="0" xfId="0" applyFont="1" applyBorder="1" applyAlignment="1">
      <alignment horizontal="center"/>
    </xf>
    <xf numFmtId="0" fontId="30" fillId="3" borderId="2" xfId="0" applyFont="1" applyFill="1" applyBorder="1" applyAlignment="1">
      <alignment horizontal="center"/>
    </xf>
    <xf numFmtId="0" fontId="31" fillId="0" borderId="0" xfId="0" applyFont="1" applyBorder="1" applyAlignment="1">
      <alignment horizontal="center"/>
    </xf>
    <xf numFmtId="0" fontId="27" fillId="0" borderId="0" xfId="0" applyFont="1" applyAlignment="1">
      <alignment horizontal="center" wrapText="1"/>
    </xf>
    <xf numFmtId="0" fontId="10" fillId="0" borderId="4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41" fillId="6" borderId="24" xfId="0" applyFont="1" applyFill="1" applyBorder="1" applyAlignment="1">
      <alignment horizontal="center"/>
    </xf>
    <xf numFmtId="0" fontId="41" fillId="6" borderId="65" xfId="0" applyFont="1" applyFill="1" applyBorder="1" applyAlignment="1">
      <alignment horizontal="center"/>
    </xf>
    <xf numFmtId="0" fontId="41" fillId="6" borderId="45" xfId="0" applyFont="1" applyFill="1" applyBorder="1" applyAlignment="1">
      <alignment horizontal="center"/>
    </xf>
    <xf numFmtId="0" fontId="10" fillId="0" borderId="10" xfId="0" applyFont="1" applyBorder="1" applyAlignment="1">
      <alignment horizontal="left" wrapText="1"/>
    </xf>
    <xf numFmtId="0" fontId="10" fillId="0" borderId="11" xfId="0" applyFont="1" applyBorder="1" applyAlignment="1">
      <alignment horizontal="left" wrapText="1"/>
    </xf>
    <xf numFmtId="0" fontId="10" fillId="0" borderId="12" xfId="0" applyFont="1" applyBorder="1" applyAlignment="1">
      <alignment horizontal="left" wrapText="1"/>
    </xf>
    <xf numFmtId="0" fontId="10" fillId="0" borderId="14" xfId="0" applyFont="1" applyBorder="1" applyAlignment="1">
      <alignment horizontal="left" wrapText="1"/>
    </xf>
    <xf numFmtId="0" fontId="10" fillId="0" borderId="1" xfId="0" applyFont="1" applyBorder="1" applyAlignment="1">
      <alignment horizontal="left" wrapText="1"/>
    </xf>
    <xf numFmtId="0" fontId="10" fillId="0" borderId="15" xfId="0" applyFont="1" applyBorder="1" applyAlignment="1">
      <alignment horizontal="left" wrapText="1"/>
    </xf>
    <xf numFmtId="0" fontId="41" fillId="0" borderId="0" xfId="0" applyFont="1" applyAlignment="1">
      <alignment horizontal="center"/>
    </xf>
    <xf numFmtId="0" fontId="51" fillId="6" borderId="24" xfId="0" applyFont="1" applyFill="1" applyBorder="1" applyAlignment="1">
      <alignment horizontal="center"/>
    </xf>
    <xf numFmtId="0" fontId="51" fillId="6" borderId="65" xfId="0" applyFont="1" applyFill="1" applyBorder="1" applyAlignment="1">
      <alignment horizontal="center"/>
    </xf>
    <xf numFmtId="0" fontId="51" fillId="6" borderId="45" xfId="0" applyFont="1" applyFill="1" applyBorder="1" applyAlignment="1">
      <alignment horizontal="center"/>
    </xf>
    <xf numFmtId="0" fontId="30" fillId="0" borderId="10" xfId="0" applyFont="1" applyBorder="1" applyAlignment="1">
      <alignment horizontal="left" wrapText="1"/>
    </xf>
    <xf numFmtId="0" fontId="30" fillId="0" borderId="11" xfId="0" applyFont="1" applyBorder="1" applyAlignment="1">
      <alignment horizontal="left" wrapText="1"/>
    </xf>
    <xf numFmtId="0" fontId="30" fillId="0" borderId="12" xfId="0" applyFont="1" applyBorder="1" applyAlignment="1">
      <alignment horizontal="left" wrapText="1"/>
    </xf>
    <xf numFmtId="0" fontId="30" fillId="0" borderId="14" xfId="0" applyFont="1" applyBorder="1" applyAlignment="1">
      <alignment horizontal="left" wrapText="1"/>
    </xf>
    <xf numFmtId="0" fontId="30" fillId="0" borderId="1" xfId="0" applyFont="1" applyBorder="1" applyAlignment="1">
      <alignment horizontal="left" wrapText="1"/>
    </xf>
    <xf numFmtId="0" fontId="30" fillId="0" borderId="15" xfId="0" applyFont="1" applyBorder="1" applyAlignment="1">
      <alignment horizontal="left" wrapText="1"/>
    </xf>
    <xf numFmtId="0" fontId="10" fillId="0" borderId="0" xfId="0" applyFont="1" applyAlignment="1">
      <alignment horizontal="center" vertical="center" wrapText="1"/>
    </xf>
    <xf numFmtId="0" fontId="10" fillId="7" borderId="2" xfId="0" applyFont="1" applyFill="1" applyBorder="1" applyAlignment="1">
      <alignment horizontal="center"/>
    </xf>
    <xf numFmtId="0" fontId="41" fillId="0" borderId="9" xfId="0" applyFont="1" applyFill="1" applyBorder="1" applyAlignment="1">
      <alignment horizontal="center"/>
    </xf>
    <xf numFmtId="0" fontId="34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41" fillId="10" borderId="0" xfId="0" applyFont="1" applyFill="1" applyAlignment="1">
      <alignment horizontal="center"/>
    </xf>
    <xf numFmtId="0" fontId="93" fillId="0" borderId="9" xfId="0" applyFont="1" applyFill="1" applyBorder="1" applyAlignment="1">
      <alignment horizontal="center"/>
    </xf>
    <xf numFmtId="0" fontId="4" fillId="10" borderId="0" xfId="0" applyFont="1" applyFill="1" applyAlignment="1">
      <alignment horizontal="center"/>
    </xf>
    <xf numFmtId="0" fontId="94" fillId="0" borderId="9" xfId="0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2">
    <dxf>
      <numFmt numFmtId="1" formatCode="0"/>
    </dxf>
    <dxf>
      <numFmt numFmtId="1" formatCode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financial data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Graph!$B$1</c:f>
              <c:strCache>
                <c:ptCount val="1"/>
                <c:pt idx="0">
                  <c:v>Gross Revenue</c:v>
                </c:pt>
              </c:strCache>
            </c:strRef>
          </c:tx>
          <c:spPr>
            <a:solidFill>
              <a:srgbClr val="4F81BD"/>
            </a:solidFill>
            <a:ln w="25400">
              <a:noFill/>
            </a:ln>
          </c:spPr>
          <c:invertIfNegative val="0"/>
          <c:cat>
            <c:strRef>
              <c:f>Graph!$A$2:$A$9</c:f>
              <c:strCache>
                <c:ptCount val="8"/>
                <c:pt idx="0">
                  <c:v>2024-25</c:v>
                </c:pt>
                <c:pt idx="1">
                  <c:v>2025-26</c:v>
                </c:pt>
                <c:pt idx="2">
                  <c:v>2026-27</c:v>
                </c:pt>
                <c:pt idx="3">
                  <c:v>2027-28</c:v>
                </c:pt>
                <c:pt idx="4">
                  <c:v>2028-29</c:v>
                </c:pt>
                <c:pt idx="5">
                  <c:v>2029-30</c:v>
                </c:pt>
                <c:pt idx="6">
                  <c:v>2030-31</c:v>
                </c:pt>
                <c:pt idx="7">
                  <c:v>2031-32</c:v>
                </c:pt>
              </c:strCache>
            </c:strRef>
          </c:cat>
          <c:val>
            <c:numRef>
              <c:f>Graph!$B$2:$B$9</c:f>
              <c:numCache>
                <c:formatCode>0</c:formatCode>
                <c:ptCount val="8"/>
                <c:pt idx="0">
                  <c:v>27534150000</c:v>
                </c:pt>
                <c:pt idx="1">
                  <c:v>-8573600000</c:v>
                </c:pt>
                <c:pt idx="2">
                  <c:v>44750180000</c:v>
                </c:pt>
                <c:pt idx="3">
                  <c:v>46822650000</c:v>
                </c:pt>
                <c:pt idx="4">
                  <c:v>48895300000</c:v>
                </c:pt>
                <c:pt idx="5">
                  <c:v>50967900000</c:v>
                </c:pt>
                <c:pt idx="6">
                  <c:v>53040460000</c:v>
                </c:pt>
                <c:pt idx="7">
                  <c:v>55112960000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B2-4261-8205-713966D9A0E9}"/>
            </c:ext>
          </c:extLst>
        </c:ser>
        <c:ser>
          <c:idx val="1"/>
          <c:order val="1"/>
          <c:tx>
            <c:strRef>
              <c:f>Graph!$C$1</c:f>
              <c:strCache>
                <c:ptCount val="1"/>
                <c:pt idx="0">
                  <c:v>Earnings before Tax (EBT)</c:v>
                </c:pt>
              </c:strCache>
            </c:strRef>
          </c:tx>
          <c:spPr>
            <a:solidFill>
              <a:srgbClr val="C0504D"/>
            </a:solidFill>
            <a:ln w="25400">
              <a:noFill/>
            </a:ln>
          </c:spPr>
          <c:invertIfNegative val="0"/>
          <c:cat>
            <c:strRef>
              <c:f>Graph!$A$2:$A$9</c:f>
              <c:strCache>
                <c:ptCount val="8"/>
                <c:pt idx="0">
                  <c:v>2024-25</c:v>
                </c:pt>
                <c:pt idx="1">
                  <c:v>2025-26</c:v>
                </c:pt>
                <c:pt idx="2">
                  <c:v>2026-27</c:v>
                </c:pt>
                <c:pt idx="3">
                  <c:v>2027-28</c:v>
                </c:pt>
                <c:pt idx="4">
                  <c:v>2028-29</c:v>
                </c:pt>
                <c:pt idx="5">
                  <c:v>2029-30</c:v>
                </c:pt>
                <c:pt idx="6">
                  <c:v>2030-31</c:v>
                </c:pt>
                <c:pt idx="7">
                  <c:v>2031-32</c:v>
                </c:pt>
              </c:strCache>
            </c:strRef>
          </c:cat>
          <c:val>
            <c:numRef>
              <c:f>Graph!$C$2:$C$9</c:f>
              <c:numCache>
                <c:formatCode>0.00</c:formatCode>
                <c:ptCount val="8"/>
                <c:pt idx="0" formatCode="0">
                  <c:v>5959268333.333334</c:v>
                </c:pt>
                <c:pt idx="1">
                  <c:v>8299551666.6666679</c:v>
                </c:pt>
                <c:pt idx="2" formatCode="0">
                  <c:v>9316347500</c:v>
                </c:pt>
                <c:pt idx="3" formatCode="0">
                  <c:v>10284888125.000002</c:v>
                </c:pt>
                <c:pt idx="4" formatCode="0">
                  <c:v>11220006981.250004</c:v>
                </c:pt>
                <c:pt idx="5" formatCode="0">
                  <c:v>12029412804.437504</c:v>
                </c:pt>
                <c:pt idx="6" formatCode="0">
                  <c:v>12804244852.248755</c:v>
                </c:pt>
                <c:pt idx="7">
                  <c:v>13567817619.293201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B2-4261-8205-713966D9A0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10693391"/>
        <c:axId val="1"/>
      </c:barChart>
      <c:catAx>
        <c:axId val="1510693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06933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444550423553453"/>
          <c:y val="0.94462811066665109"/>
          <c:w val="0.31019472900279754"/>
          <c:h val="3.8782385775170423E-2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474073</xdr:colOff>
      <xdr:row>2</xdr:row>
      <xdr:rowOff>116114</xdr:rowOff>
    </xdr:from>
    <xdr:to>
      <xdr:col>1</xdr:col>
      <xdr:colOff>55698</xdr:colOff>
      <xdr:row>85</xdr:row>
      <xdr:rowOff>48079</xdr:rowOff>
    </xdr:to>
    <xdr:sp macro="" textlink="">
      <xdr:nvSpPr>
        <xdr:cNvPr id="2" name="Left Brace 1">
          <a:extLst>
            <a:ext uri="{FF2B5EF4-FFF2-40B4-BE49-F238E27FC236}">
              <a16:creationId xmlns:a16="http://schemas.microsoft.com/office/drawing/2014/main" id="{86BAAA0C-404F-4815-1797-00782859CE52}"/>
            </a:ext>
          </a:extLst>
        </xdr:cNvPr>
        <xdr:cNvSpPr/>
      </xdr:nvSpPr>
      <xdr:spPr>
        <a:xfrm>
          <a:off x="462643" y="476250"/>
          <a:ext cx="586467" cy="13144500"/>
        </a:xfrm>
        <a:prstGeom prst="lef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0</xdr:col>
      <xdr:colOff>425631</xdr:colOff>
      <xdr:row>86</xdr:row>
      <xdr:rowOff>0</xdr:rowOff>
    </xdr:from>
    <xdr:to>
      <xdr:col>0</xdr:col>
      <xdr:colOff>997525</xdr:colOff>
      <xdr:row>117</xdr:row>
      <xdr:rowOff>162020</xdr:rowOff>
    </xdr:to>
    <xdr:sp macro="" textlink="">
      <xdr:nvSpPr>
        <xdr:cNvPr id="3" name="Left Brace 2">
          <a:extLst>
            <a:ext uri="{FF2B5EF4-FFF2-40B4-BE49-F238E27FC236}">
              <a16:creationId xmlns:a16="http://schemas.microsoft.com/office/drawing/2014/main" id="{1181FB5A-692F-C5F4-5F75-87DFF1CD253F}"/>
            </a:ext>
          </a:extLst>
        </xdr:cNvPr>
        <xdr:cNvSpPr/>
      </xdr:nvSpPr>
      <xdr:spPr>
        <a:xfrm>
          <a:off x="421821" y="15729857"/>
          <a:ext cx="560617" cy="6953250"/>
        </a:xfrm>
        <a:prstGeom prst="lef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331421</xdr:colOff>
      <xdr:row>113</xdr:row>
      <xdr:rowOff>128221</xdr:rowOff>
    </xdr:from>
    <xdr:to>
      <xdr:col>6</xdr:col>
      <xdr:colOff>1629204</xdr:colOff>
      <xdr:row>117</xdr:row>
      <xdr:rowOff>58193</xdr:rowOff>
    </xdr:to>
    <xdr:sp macro="" textlink="">
      <xdr:nvSpPr>
        <xdr:cNvPr id="2" name="Right Brace 1">
          <a:extLst>
            <a:ext uri="{FF2B5EF4-FFF2-40B4-BE49-F238E27FC236}">
              <a16:creationId xmlns:a16="http://schemas.microsoft.com/office/drawing/2014/main" id="{32182634-27E5-DFCF-4132-75D1E3D4D4D7}"/>
            </a:ext>
          </a:extLst>
        </xdr:cNvPr>
        <xdr:cNvSpPr/>
      </xdr:nvSpPr>
      <xdr:spPr>
        <a:xfrm>
          <a:off x="6452821" y="20187871"/>
          <a:ext cx="1271221" cy="622055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41275</xdr:colOff>
      <xdr:row>12</xdr:row>
      <xdr:rowOff>285751</xdr:rowOff>
    </xdr:from>
    <xdr:to>
      <xdr:col>11</xdr:col>
      <xdr:colOff>430490</xdr:colOff>
      <xdr:row>18</xdr:row>
      <xdr:rowOff>163194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CE66E906-E045-A1D3-0020-F2302BEACBF8}"/>
            </a:ext>
          </a:extLst>
        </xdr:cNvPr>
        <xdr:cNvCxnSpPr/>
      </xdr:nvCxnSpPr>
      <xdr:spPr>
        <a:xfrm rot="5400000" flipH="1" flipV="1">
          <a:off x="6819900" y="3841751"/>
          <a:ext cx="1870075" cy="15589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60325</xdr:colOff>
      <xdr:row>17</xdr:row>
      <xdr:rowOff>190500</xdr:rowOff>
    </xdr:from>
    <xdr:to>
      <xdr:col>11</xdr:col>
      <xdr:colOff>614631</xdr:colOff>
      <xdr:row>19</xdr:row>
      <xdr:rowOff>146052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98938249-647F-64BA-1E99-270159ED6805}"/>
            </a:ext>
          </a:extLst>
        </xdr:cNvPr>
        <xdr:cNvCxnSpPr/>
      </xdr:nvCxnSpPr>
      <xdr:spPr>
        <a:xfrm flipV="1">
          <a:off x="6994525" y="5200650"/>
          <a:ext cx="1711325" cy="52705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635</xdr:colOff>
      <xdr:row>15</xdr:row>
      <xdr:rowOff>193676</xdr:rowOff>
    </xdr:from>
    <xdr:to>
      <xdr:col>9</xdr:col>
      <xdr:colOff>551303</xdr:colOff>
      <xdr:row>19</xdr:row>
      <xdr:rowOff>180979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3A7653FF-F3EB-F672-7739-68CE2E0BE9BC}"/>
            </a:ext>
          </a:extLst>
        </xdr:cNvPr>
        <xdr:cNvCxnSpPr/>
      </xdr:nvCxnSpPr>
      <xdr:spPr>
        <a:xfrm rot="5400000" flipH="1" flipV="1">
          <a:off x="6424611" y="5205415"/>
          <a:ext cx="1371603" cy="8858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635</xdr:colOff>
      <xdr:row>19</xdr:row>
      <xdr:rowOff>161925</xdr:rowOff>
    </xdr:from>
    <xdr:to>
      <xdr:col>9</xdr:col>
      <xdr:colOff>522659</xdr:colOff>
      <xdr:row>19</xdr:row>
      <xdr:rowOff>228601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A1C34E68-53E3-5C47-756A-5A8FDD5D791A}"/>
            </a:ext>
          </a:extLst>
        </xdr:cNvPr>
        <xdr:cNvCxnSpPr/>
      </xdr:nvCxnSpPr>
      <xdr:spPr>
        <a:xfrm flipV="1">
          <a:off x="6800850" y="6315075"/>
          <a:ext cx="723900" cy="6667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11</xdr:row>
      <xdr:rowOff>76200</xdr:rowOff>
    </xdr:from>
    <xdr:to>
      <xdr:col>9</xdr:col>
      <xdr:colOff>510540</xdr:colOff>
      <xdr:row>44</xdr:row>
      <xdr:rowOff>45720</xdr:rowOff>
    </xdr:to>
    <xdr:graphicFrame macro="">
      <xdr:nvGraphicFramePr>
        <xdr:cNvPr id="30723" name="Chart 1">
          <a:extLst>
            <a:ext uri="{FF2B5EF4-FFF2-40B4-BE49-F238E27FC236}">
              <a16:creationId xmlns:a16="http://schemas.microsoft.com/office/drawing/2014/main" id="{82BC80EF-3E86-9BDB-7BA5-B8C217D0B5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ystem1\e\Users\Admin\Desktop\Project%20reports\PMEGP\Vijaya%20embroidary%20FORMA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ystem1\E\Users\Admin\Desktop\Project%20reports\PROJECT%20REPORTS%20FINAL\PMEGP%207%20years%20-%20TL%20&amp;%20WC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page"/>
      <sheetName val="Profile"/>
      <sheetName val="Back gorund"/>
    </sheetNames>
    <sheetDataSet>
      <sheetData sheetId="0">
        <row r="9">
          <cell r="C9" t="str">
            <v>Firm Name :</v>
          </cell>
        </row>
        <row r="18">
          <cell r="C18" t="str">
            <v>Line of  Activity :</v>
          </cell>
        </row>
        <row r="31">
          <cell r="C31" t="str">
            <v>Capital</v>
          </cell>
        </row>
        <row r="32">
          <cell r="C32" t="str">
            <v>Total Project cost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cover page"/>
      <sheetName val="profile"/>
      <sheetName val="project cost"/>
      <sheetName val="PL &amp; BS"/>
      <sheetName val="RATIO"/>
      <sheetName val="Dep IT act"/>
      <sheetName val="Loan sch"/>
      <sheetName val="Repayment"/>
      <sheetName val="MPBF "/>
      <sheetName val="Nayak"/>
      <sheetName val="CFs"/>
      <sheetName val="Gaurantors"/>
      <sheetName val="BEP analysis"/>
      <sheetName val="Sales"/>
      <sheetName val="IRR"/>
      <sheetName val="PV(IRR)"/>
      <sheetName val="Sheet1"/>
      <sheetName val="Sheet2"/>
      <sheetName val="Sheet3"/>
    </sheetNames>
    <sheetDataSet>
      <sheetData sheetId="0"/>
      <sheetData sheetId="1">
        <row r="30">
          <cell r="H30" t="str">
            <v>Lacs</v>
          </cell>
        </row>
        <row r="32">
          <cell r="H32" t="str">
            <v>Lacs</v>
          </cell>
        </row>
        <row r="33">
          <cell r="H33" t="str">
            <v>Lacs</v>
          </cell>
        </row>
      </sheetData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7E44C1-F027-42EF-AEDD-7A185ECAB6CC}" name="Table1" displayName="Table1" ref="A1:C9" totalsRowShown="0">
  <autoFilter ref="A1:C9" xr:uid="{C8A67F09-72A5-4C73-BA54-425989AC8D18}"/>
  <tableColumns count="3">
    <tableColumn id="1" xr3:uid="{00000000-0010-0000-0100-000001000000}" name="Years">
      <calculatedColumnFormula>Assumptions!I78</calculatedColumnFormula>
    </tableColumn>
    <tableColumn id="2" xr3:uid="{00000000-0010-0000-0100-000002000000}" name="Gross Revenue" dataDxfId="1"/>
    <tableColumn id="3" xr3:uid="{00000000-0010-0000-0100-000003000000}" name="Earnings before Tax (EBT)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5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FAE6E-0D7F-434F-AF6A-BB04D8351498}">
  <sheetPr codeName="Sheet1"/>
  <dimension ref="B4:H82"/>
  <sheetViews>
    <sheetView topLeftCell="A37" workbookViewId="0">
      <selection activeCell="B83" sqref="B83"/>
    </sheetView>
  </sheetViews>
  <sheetFormatPr defaultRowHeight="13.2"/>
  <cols>
    <col min="3" max="3" width="17.21875" bestFit="1" customWidth="1"/>
  </cols>
  <sheetData>
    <row r="4" spans="2:4">
      <c r="C4" s="121" t="s">
        <v>546</v>
      </c>
    </row>
    <row r="5" spans="2:4">
      <c r="B5" s="396"/>
      <c r="C5" s="719" t="s">
        <v>547</v>
      </c>
      <c r="D5" s="720"/>
    </row>
    <row r="6" spans="2:4">
      <c r="B6" s="397"/>
      <c r="C6" s="173" t="s">
        <v>548</v>
      </c>
      <c r="D6" s="173">
        <v>0</v>
      </c>
    </row>
    <row r="7" spans="2:4">
      <c r="B7" s="398" t="s">
        <v>549</v>
      </c>
      <c r="C7" s="173" t="s">
        <v>550</v>
      </c>
      <c r="D7" s="173">
        <v>0</v>
      </c>
    </row>
    <row r="8" spans="2:4">
      <c r="B8" s="397"/>
      <c r="C8" s="173" t="s">
        <v>551</v>
      </c>
      <c r="D8" s="173">
        <v>12</v>
      </c>
    </row>
    <row r="9" spans="2:4">
      <c r="B9" s="399"/>
      <c r="C9" s="173" t="s">
        <v>552</v>
      </c>
      <c r="D9" s="173">
        <v>12</v>
      </c>
    </row>
    <row r="11" spans="2:4">
      <c r="B11" s="396"/>
      <c r="C11" s="719" t="s">
        <v>547</v>
      </c>
      <c r="D11" s="720"/>
    </row>
    <row r="12" spans="2:4">
      <c r="B12" s="397"/>
      <c r="C12" s="173" t="s">
        <v>548</v>
      </c>
      <c r="D12" s="173">
        <v>3</v>
      </c>
    </row>
    <row r="13" spans="2:4">
      <c r="B13" s="398" t="s">
        <v>553</v>
      </c>
      <c r="C13" s="173" t="s">
        <v>550</v>
      </c>
      <c r="D13" s="173">
        <v>3</v>
      </c>
    </row>
    <row r="14" spans="2:4">
      <c r="B14" s="397"/>
      <c r="C14" s="173" t="s">
        <v>551</v>
      </c>
      <c r="D14" s="173">
        <v>9</v>
      </c>
    </row>
    <row r="15" spans="2:4">
      <c r="B15" s="399"/>
      <c r="C15" s="173" t="s">
        <v>552</v>
      </c>
      <c r="D15" s="173">
        <v>12</v>
      </c>
    </row>
    <row r="18" spans="2:8">
      <c r="C18" s="121" t="s">
        <v>554</v>
      </c>
    </row>
    <row r="19" spans="2:8">
      <c r="B19" s="396"/>
      <c r="C19" s="168" t="s">
        <v>555</v>
      </c>
      <c r="F19" s="168" t="s">
        <v>556</v>
      </c>
    </row>
    <row r="20" spans="2:8">
      <c r="B20" s="397"/>
      <c r="C20" s="173" t="s">
        <v>548</v>
      </c>
      <c r="D20" s="173">
        <v>0</v>
      </c>
      <c r="F20" s="173" t="s">
        <v>548</v>
      </c>
      <c r="G20" s="173"/>
      <c r="H20" s="173">
        <v>0</v>
      </c>
    </row>
    <row r="21" spans="2:8">
      <c r="B21" s="398" t="s">
        <v>557</v>
      </c>
      <c r="C21" s="173" t="s">
        <v>550</v>
      </c>
      <c r="D21" s="173">
        <v>0</v>
      </c>
      <c r="F21" s="173" t="s">
        <v>550</v>
      </c>
      <c r="G21" s="173"/>
      <c r="H21" s="173">
        <v>0</v>
      </c>
    </row>
    <row r="22" spans="2:8">
      <c r="B22" s="397"/>
      <c r="C22" s="173" t="s">
        <v>551</v>
      </c>
      <c r="D22" s="173">
        <v>3</v>
      </c>
      <c r="F22" s="173" t="s">
        <v>551</v>
      </c>
      <c r="G22" s="173"/>
      <c r="H22" s="400">
        <v>12</v>
      </c>
    </row>
    <row r="23" spans="2:8">
      <c r="B23" s="399"/>
      <c r="C23" s="173" t="s">
        <v>552</v>
      </c>
      <c r="D23" s="173">
        <v>3</v>
      </c>
      <c r="F23" s="173" t="s">
        <v>552</v>
      </c>
      <c r="G23" s="173"/>
      <c r="H23" s="400">
        <v>12</v>
      </c>
    </row>
    <row r="25" spans="2:8">
      <c r="B25" s="396"/>
      <c r="C25" s="168" t="s">
        <v>555</v>
      </c>
      <c r="F25" s="168" t="s">
        <v>556</v>
      </c>
    </row>
    <row r="26" spans="2:8">
      <c r="B26" s="397"/>
      <c r="C26" s="401" t="s">
        <v>548</v>
      </c>
      <c r="D26" s="173">
        <v>6</v>
      </c>
      <c r="F26" s="173" t="s">
        <v>548</v>
      </c>
      <c r="G26" s="173"/>
      <c r="H26" s="173">
        <v>0</v>
      </c>
    </row>
    <row r="27" spans="2:8">
      <c r="B27" s="398" t="s">
        <v>558</v>
      </c>
      <c r="C27" s="401" t="s">
        <v>550</v>
      </c>
      <c r="D27" s="173">
        <v>6</v>
      </c>
      <c r="F27" s="173" t="s">
        <v>550</v>
      </c>
      <c r="G27" s="173"/>
      <c r="H27" s="173">
        <v>0</v>
      </c>
    </row>
    <row r="28" spans="2:8">
      <c r="B28" s="397"/>
      <c r="C28" s="401" t="s">
        <v>551</v>
      </c>
      <c r="D28" s="173">
        <v>0</v>
      </c>
      <c r="F28" s="173" t="s">
        <v>551</v>
      </c>
      <c r="G28" s="173"/>
      <c r="H28" s="173">
        <v>12</v>
      </c>
    </row>
    <row r="29" spans="2:8">
      <c r="B29" s="399"/>
      <c r="C29" s="401" t="s">
        <v>552</v>
      </c>
      <c r="D29" s="173">
        <v>6</v>
      </c>
      <c r="F29" s="173" t="s">
        <v>552</v>
      </c>
      <c r="G29" s="173"/>
      <c r="H29" s="173">
        <v>12</v>
      </c>
    </row>
    <row r="31" spans="2:8">
      <c r="B31" s="396"/>
      <c r="C31" s="168" t="s">
        <v>555</v>
      </c>
      <c r="F31" s="168" t="s">
        <v>556</v>
      </c>
    </row>
    <row r="32" spans="2:8">
      <c r="B32" s="397"/>
      <c r="C32" s="401" t="s">
        <v>548</v>
      </c>
      <c r="D32" s="173">
        <v>6</v>
      </c>
      <c r="F32" s="173" t="s">
        <v>548</v>
      </c>
      <c r="G32" s="173"/>
      <c r="H32" s="173">
        <v>0</v>
      </c>
    </row>
    <row r="33" spans="2:8">
      <c r="B33" s="398" t="s">
        <v>559</v>
      </c>
      <c r="C33" s="401" t="s">
        <v>550</v>
      </c>
      <c r="D33" s="173">
        <v>6</v>
      </c>
      <c r="F33" s="173" t="s">
        <v>550</v>
      </c>
      <c r="G33" s="173"/>
      <c r="H33" s="173">
        <v>0</v>
      </c>
    </row>
    <row r="34" spans="2:8">
      <c r="B34" s="397"/>
      <c r="C34" s="401" t="s">
        <v>551</v>
      </c>
      <c r="D34" s="173">
        <v>0</v>
      </c>
      <c r="F34" s="173" t="s">
        <v>551</v>
      </c>
      <c r="G34" s="173"/>
      <c r="H34" s="173">
        <v>12</v>
      </c>
    </row>
    <row r="35" spans="2:8">
      <c r="B35" s="399"/>
      <c r="C35" s="401" t="s">
        <v>552</v>
      </c>
      <c r="D35" s="173">
        <v>0</v>
      </c>
      <c r="F35" s="173" t="s">
        <v>552</v>
      </c>
      <c r="G35" s="173"/>
      <c r="H35" s="173">
        <v>12</v>
      </c>
    </row>
    <row r="38" spans="2:8">
      <c r="C38" s="121" t="s">
        <v>554</v>
      </c>
    </row>
    <row r="39" spans="2:8">
      <c r="B39" s="396"/>
      <c r="C39" s="168" t="s">
        <v>560</v>
      </c>
      <c r="F39" s="168" t="s">
        <v>556</v>
      </c>
    </row>
    <row r="40" spans="2:8">
      <c r="B40" s="397"/>
      <c r="C40" s="173" t="s">
        <v>548</v>
      </c>
      <c r="D40" s="173">
        <v>0</v>
      </c>
      <c r="F40" s="173" t="s">
        <v>548</v>
      </c>
      <c r="G40" s="173"/>
      <c r="H40" s="173">
        <v>0</v>
      </c>
    </row>
    <row r="41" spans="2:8">
      <c r="B41" s="398" t="s">
        <v>561</v>
      </c>
      <c r="C41" s="173" t="s">
        <v>550</v>
      </c>
      <c r="D41" s="173">
        <v>0</v>
      </c>
      <c r="F41" s="173" t="s">
        <v>550</v>
      </c>
      <c r="G41" s="173"/>
      <c r="H41" s="173">
        <v>0</v>
      </c>
    </row>
    <row r="42" spans="2:8">
      <c r="B42" s="397"/>
      <c r="C42" s="173" t="s">
        <v>551</v>
      </c>
      <c r="D42" s="173">
        <v>3</v>
      </c>
      <c r="F42" s="173" t="s">
        <v>551</v>
      </c>
      <c r="G42" s="173"/>
      <c r="H42" s="400">
        <v>12</v>
      </c>
    </row>
    <row r="43" spans="2:8">
      <c r="B43" s="399"/>
      <c r="C43" s="173" t="s">
        <v>552</v>
      </c>
      <c r="D43" s="173">
        <v>3</v>
      </c>
      <c r="F43" s="173" t="s">
        <v>552</v>
      </c>
      <c r="G43" s="173"/>
      <c r="H43" s="400">
        <v>12</v>
      </c>
    </row>
    <row r="45" spans="2:8">
      <c r="B45" s="396"/>
      <c r="C45" s="168" t="s">
        <v>560</v>
      </c>
      <c r="F45" s="168" t="s">
        <v>556</v>
      </c>
    </row>
    <row r="46" spans="2:8">
      <c r="B46" s="397"/>
      <c r="C46" s="401" t="s">
        <v>548</v>
      </c>
      <c r="D46" s="400" t="s">
        <v>562</v>
      </c>
      <c r="F46" s="173" t="s">
        <v>548</v>
      </c>
      <c r="G46" s="173"/>
      <c r="H46" s="400" t="s">
        <v>563</v>
      </c>
    </row>
    <row r="47" spans="2:8">
      <c r="B47" s="398" t="s">
        <v>564</v>
      </c>
      <c r="C47" s="401" t="s">
        <v>550</v>
      </c>
      <c r="D47" s="400" t="s">
        <v>562</v>
      </c>
      <c r="F47" s="173" t="s">
        <v>550</v>
      </c>
      <c r="G47" s="173"/>
      <c r="H47" s="400" t="s">
        <v>563</v>
      </c>
    </row>
    <row r="48" spans="2:8">
      <c r="B48" s="397"/>
      <c r="C48" s="401" t="s">
        <v>551</v>
      </c>
      <c r="D48" s="173">
        <v>0</v>
      </c>
      <c r="F48" s="173" t="s">
        <v>551</v>
      </c>
      <c r="G48" s="173"/>
      <c r="H48" s="402">
        <v>9</v>
      </c>
    </row>
    <row r="49" spans="2:8">
      <c r="B49" s="399"/>
      <c r="C49" s="401" t="s">
        <v>552</v>
      </c>
      <c r="D49" s="173">
        <v>3</v>
      </c>
      <c r="F49" s="173" t="s">
        <v>552</v>
      </c>
      <c r="G49" s="173"/>
      <c r="H49" s="173">
        <v>12</v>
      </c>
    </row>
    <row r="51" spans="2:8">
      <c r="B51" s="396"/>
      <c r="C51" s="168" t="s">
        <v>555</v>
      </c>
      <c r="F51" s="168" t="s">
        <v>556</v>
      </c>
    </row>
    <row r="52" spans="2:8">
      <c r="B52" s="397"/>
      <c r="C52" s="401" t="s">
        <v>548</v>
      </c>
      <c r="D52" s="400" t="s">
        <v>562</v>
      </c>
      <c r="F52" s="173" t="s">
        <v>548</v>
      </c>
      <c r="G52" s="173"/>
      <c r="H52" s="400" t="s">
        <v>563</v>
      </c>
    </row>
    <row r="53" spans="2:8">
      <c r="B53" s="398" t="s">
        <v>565</v>
      </c>
      <c r="C53" s="401" t="s">
        <v>550</v>
      </c>
      <c r="D53" s="400" t="s">
        <v>562</v>
      </c>
      <c r="F53" s="173" t="s">
        <v>550</v>
      </c>
      <c r="G53" s="173"/>
      <c r="H53" s="400" t="s">
        <v>563</v>
      </c>
    </row>
    <row r="54" spans="2:8">
      <c r="B54" s="397"/>
      <c r="C54" s="401" t="s">
        <v>551</v>
      </c>
      <c r="D54" s="173">
        <v>0</v>
      </c>
      <c r="F54" s="173" t="s">
        <v>551</v>
      </c>
      <c r="G54" s="173"/>
      <c r="H54" s="402">
        <v>9</v>
      </c>
    </row>
    <row r="55" spans="2:8">
      <c r="B55" s="399"/>
      <c r="C55" s="401" t="s">
        <v>552</v>
      </c>
      <c r="D55" s="173">
        <v>0</v>
      </c>
      <c r="F55" s="173" t="s">
        <v>552</v>
      </c>
      <c r="G55" s="173"/>
      <c r="H55" s="173">
        <v>12</v>
      </c>
    </row>
    <row r="59" spans="2:8">
      <c r="B59" s="121" t="s">
        <v>566</v>
      </c>
    </row>
    <row r="60" spans="2:8">
      <c r="B60" s="168"/>
      <c r="C60" s="403" t="s">
        <v>567</v>
      </c>
    </row>
    <row r="61" spans="2:8">
      <c r="C61" s="168" t="s">
        <v>568</v>
      </c>
      <c r="E61">
        <v>0</v>
      </c>
      <c r="F61" s="168" t="s">
        <v>597</v>
      </c>
    </row>
    <row r="62" spans="2:8">
      <c r="C62" s="168" t="s">
        <v>2</v>
      </c>
      <c r="E62">
        <v>0</v>
      </c>
      <c r="F62" s="168"/>
    </row>
    <row r="63" spans="2:8">
      <c r="C63" s="168" t="s">
        <v>364</v>
      </c>
      <c r="E63">
        <v>0</v>
      </c>
    </row>
    <row r="64" spans="2:8">
      <c r="C64" s="168" t="s">
        <v>441</v>
      </c>
      <c r="E64" s="404" t="s">
        <v>569</v>
      </c>
    </row>
    <row r="66" spans="2:5">
      <c r="C66" s="403" t="s">
        <v>570</v>
      </c>
    </row>
    <row r="67" spans="2:5">
      <c r="C67" s="168" t="s">
        <v>571</v>
      </c>
      <c r="E67">
        <v>0</v>
      </c>
    </row>
    <row r="68" spans="2:5">
      <c r="C68" s="168" t="s">
        <v>514</v>
      </c>
      <c r="E68">
        <v>0</v>
      </c>
    </row>
    <row r="69" spans="2:5">
      <c r="C69" s="168"/>
    </row>
    <row r="70" spans="2:5">
      <c r="C70" s="168" t="s">
        <v>572</v>
      </c>
    </row>
    <row r="71" spans="2:5">
      <c r="C71" s="168" t="s">
        <v>578</v>
      </c>
    </row>
    <row r="72" spans="2:5">
      <c r="C72" s="168" t="s">
        <v>579</v>
      </c>
    </row>
    <row r="73" spans="2:5">
      <c r="C73" s="168" t="s">
        <v>604</v>
      </c>
    </row>
    <row r="74" spans="2:5">
      <c r="C74" s="168" t="s">
        <v>603</v>
      </c>
    </row>
    <row r="77" spans="2:5">
      <c r="B77" s="121" t="s">
        <v>573</v>
      </c>
    </row>
    <row r="79" spans="2:5">
      <c r="C79" s="168" t="s">
        <v>598</v>
      </c>
    </row>
    <row r="82" spans="2:2">
      <c r="B82" s="168" t="s">
        <v>629</v>
      </c>
    </row>
  </sheetData>
  <mergeCells count="2">
    <mergeCell ref="C5:D5"/>
    <mergeCell ref="C11:D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C42F5-52BC-4627-B17D-43B439388ED8}">
  <sheetPr codeName="Sheet2"/>
  <dimension ref="A2:O305"/>
  <sheetViews>
    <sheetView topLeftCell="F1" zoomScale="73" zoomScaleNormal="85" workbookViewId="0">
      <selection activeCell="M12" sqref="M12"/>
    </sheetView>
  </sheetViews>
  <sheetFormatPr defaultRowHeight="13.2"/>
  <cols>
    <col min="1" max="1" width="14.77734375" customWidth="1"/>
    <col min="2" max="2" width="27.21875" customWidth="1"/>
    <col min="3" max="3" width="66" customWidth="1"/>
    <col min="4" max="4" width="41.44140625" customWidth="1"/>
    <col min="5" max="5" width="23.77734375" customWidth="1"/>
    <col min="6" max="6" width="15.44140625" customWidth="1"/>
    <col min="7" max="7" width="84" bestFit="1" customWidth="1"/>
    <col min="8" max="8" width="6.77734375" customWidth="1"/>
    <col min="9" max="9" width="26.21875" customWidth="1"/>
    <col min="10" max="10" width="30" customWidth="1"/>
    <col min="11" max="11" width="25.21875" customWidth="1"/>
    <col min="12" max="12" width="26.21875" style="130" customWidth="1"/>
    <col min="13" max="13" width="14.77734375" customWidth="1"/>
  </cols>
  <sheetData>
    <row r="2" spans="2:13" ht="15" customHeight="1">
      <c r="B2" s="733" t="s">
        <v>324</v>
      </c>
      <c r="C2" s="732" t="s">
        <v>253</v>
      </c>
      <c r="D2" s="311"/>
      <c r="E2" s="311"/>
      <c r="F2" s="311"/>
      <c r="G2" s="311"/>
      <c r="H2" s="741"/>
      <c r="I2" s="735" t="s">
        <v>254</v>
      </c>
      <c r="J2" s="736"/>
      <c r="K2" s="733" t="s">
        <v>330</v>
      </c>
      <c r="L2" s="734"/>
    </row>
    <row r="3" spans="2:13" ht="15" customHeight="1">
      <c r="B3" s="733"/>
      <c r="C3" s="732"/>
      <c r="D3" s="312"/>
      <c r="E3" s="312"/>
      <c r="F3" s="312"/>
      <c r="G3" s="312"/>
      <c r="H3" s="742"/>
      <c r="I3" s="737"/>
      <c r="J3" s="738"/>
      <c r="K3" s="733"/>
      <c r="L3" s="734"/>
    </row>
    <row r="4" spans="2:13" ht="15" customHeight="1">
      <c r="B4" s="733"/>
      <c r="C4" s="732"/>
      <c r="D4" s="312"/>
      <c r="E4" s="312"/>
      <c r="F4" s="312"/>
      <c r="G4" s="312"/>
      <c r="H4" s="742"/>
      <c r="I4" s="737"/>
      <c r="J4" s="738"/>
      <c r="K4" s="733"/>
      <c r="L4" s="734"/>
    </row>
    <row r="5" spans="2:13" ht="16.2">
      <c r="B5" s="733"/>
      <c r="C5" s="732"/>
      <c r="D5" s="312"/>
      <c r="E5" s="312"/>
      <c r="F5" s="312"/>
      <c r="G5" s="312"/>
      <c r="H5" s="742"/>
      <c r="I5" s="737"/>
      <c r="J5" s="738"/>
      <c r="K5" s="733"/>
      <c r="L5" s="734"/>
      <c r="M5" s="2"/>
    </row>
    <row r="6" spans="2:13" ht="16.2">
      <c r="B6" s="733"/>
      <c r="C6" s="732"/>
      <c r="D6" s="313" t="s">
        <v>316</v>
      </c>
      <c r="E6" s="313" t="s">
        <v>317</v>
      </c>
      <c r="F6" s="313" t="s">
        <v>318</v>
      </c>
      <c r="G6" s="313" t="s">
        <v>326</v>
      </c>
      <c r="H6" s="743"/>
      <c r="I6" s="739"/>
      <c r="J6" s="740"/>
      <c r="K6" s="733"/>
      <c r="L6" s="734"/>
      <c r="M6" s="2"/>
    </row>
    <row r="7" spans="2:13" ht="19.5" customHeight="1">
      <c r="B7" s="748" t="s">
        <v>320</v>
      </c>
      <c r="C7" s="314" t="s">
        <v>327</v>
      </c>
      <c r="D7" s="169" t="s">
        <v>421</v>
      </c>
      <c r="E7" s="274" t="s">
        <v>319</v>
      </c>
      <c r="F7" s="176"/>
      <c r="G7" s="274" t="s">
        <v>356</v>
      </c>
      <c r="H7" s="171"/>
      <c r="I7" s="749" t="s">
        <v>917</v>
      </c>
      <c r="J7" s="750"/>
      <c r="K7" s="170"/>
      <c r="M7" s="2"/>
    </row>
    <row r="8" spans="2:13" ht="14.4">
      <c r="B8" s="748"/>
      <c r="C8" s="265" t="s">
        <v>382</v>
      </c>
      <c r="D8" s="170" t="s">
        <v>311</v>
      </c>
      <c r="E8" s="172" t="s">
        <v>319</v>
      </c>
      <c r="F8" s="170"/>
      <c r="G8" s="172"/>
      <c r="H8" s="171"/>
      <c r="I8" s="726" t="s">
        <v>918</v>
      </c>
      <c r="J8" s="727"/>
      <c r="K8" s="170"/>
      <c r="M8" s="2"/>
    </row>
    <row r="9" spans="2:13" ht="14.4">
      <c r="B9" s="748"/>
      <c r="C9" s="265" t="s">
        <v>383</v>
      </c>
      <c r="D9" s="170" t="s">
        <v>311</v>
      </c>
      <c r="E9" s="172" t="s">
        <v>319</v>
      </c>
      <c r="F9" s="170"/>
      <c r="G9" s="172"/>
      <c r="H9" s="171"/>
      <c r="I9" s="726">
        <v>9876543210</v>
      </c>
      <c r="J9" s="727"/>
      <c r="K9" s="170"/>
      <c r="M9" s="2"/>
    </row>
    <row r="10" spans="2:13" ht="14.4">
      <c r="B10" s="748"/>
      <c r="C10" s="265" t="s">
        <v>255</v>
      </c>
      <c r="D10" s="170" t="s">
        <v>311</v>
      </c>
      <c r="E10" s="172" t="s">
        <v>319</v>
      </c>
      <c r="F10" s="170"/>
      <c r="G10" s="172"/>
      <c r="H10" s="171"/>
      <c r="I10" s="726">
        <v>123456789012</v>
      </c>
      <c r="J10" s="727"/>
      <c r="K10" s="170"/>
      <c r="M10" s="2"/>
    </row>
    <row r="11" spans="2:13" ht="14.4">
      <c r="B11" s="748"/>
      <c r="C11" s="265" t="s">
        <v>384</v>
      </c>
      <c r="D11" s="170" t="s">
        <v>311</v>
      </c>
      <c r="E11" s="172" t="s">
        <v>319</v>
      </c>
      <c r="F11" s="170"/>
      <c r="G11" s="172"/>
      <c r="H11" s="171"/>
      <c r="I11" s="726" t="s">
        <v>919</v>
      </c>
      <c r="J11" s="727"/>
      <c r="K11" s="170"/>
      <c r="M11" s="2"/>
    </row>
    <row r="12" spans="2:13" ht="14.4">
      <c r="B12" s="748"/>
      <c r="C12" s="265" t="s">
        <v>385</v>
      </c>
      <c r="D12" s="170" t="s">
        <v>311</v>
      </c>
      <c r="E12" s="172" t="s">
        <v>319</v>
      </c>
      <c r="F12" s="170"/>
      <c r="G12" s="172"/>
      <c r="H12" s="171"/>
      <c r="I12" s="726">
        <v>35</v>
      </c>
      <c r="J12" s="727"/>
      <c r="K12" s="170"/>
      <c r="M12" s="2"/>
    </row>
    <row r="13" spans="2:13" ht="14.4">
      <c r="B13" s="748"/>
      <c r="C13" s="265" t="s">
        <v>256</v>
      </c>
      <c r="D13" s="169" t="s">
        <v>421</v>
      </c>
      <c r="E13" s="172" t="s">
        <v>319</v>
      </c>
      <c r="F13" s="176"/>
      <c r="G13" s="172" t="s">
        <v>355</v>
      </c>
      <c r="H13" s="171"/>
      <c r="I13" s="726" t="s">
        <v>81</v>
      </c>
      <c r="J13" s="727"/>
      <c r="K13" s="170"/>
      <c r="M13" s="2"/>
    </row>
    <row r="14" spans="2:13" ht="14.4">
      <c r="B14" s="748"/>
      <c r="C14" s="265" t="s">
        <v>350</v>
      </c>
      <c r="D14" s="169" t="s">
        <v>421</v>
      </c>
      <c r="E14" s="172" t="s">
        <v>319</v>
      </c>
      <c r="F14" s="176"/>
      <c r="G14" s="291" t="s">
        <v>885</v>
      </c>
      <c r="H14" s="171"/>
      <c r="I14" s="726" t="s">
        <v>920</v>
      </c>
      <c r="J14" s="727"/>
      <c r="K14" s="170" t="s">
        <v>886</v>
      </c>
      <c r="M14" s="2"/>
    </row>
    <row r="15" spans="2:13" ht="14.4">
      <c r="B15" s="748"/>
      <c r="C15" s="265" t="s">
        <v>257</v>
      </c>
      <c r="D15" s="170" t="s">
        <v>311</v>
      </c>
      <c r="E15" s="172" t="s">
        <v>319</v>
      </c>
      <c r="F15" s="170"/>
      <c r="G15" s="2"/>
      <c r="H15" s="171"/>
      <c r="I15" s="726" t="s">
        <v>921</v>
      </c>
      <c r="J15" s="727"/>
      <c r="K15" s="170"/>
      <c r="M15" s="2"/>
    </row>
    <row r="16" spans="2:13" ht="14.4">
      <c r="B16" s="748"/>
      <c r="C16" s="265" t="s">
        <v>258</v>
      </c>
      <c r="D16" s="170" t="s">
        <v>311</v>
      </c>
      <c r="E16" s="172" t="s">
        <v>319</v>
      </c>
      <c r="F16" s="170"/>
      <c r="G16" s="172"/>
      <c r="H16" s="171"/>
      <c r="I16" s="726" t="s">
        <v>922</v>
      </c>
      <c r="J16" s="727"/>
      <c r="K16" s="170"/>
      <c r="M16" s="2"/>
    </row>
    <row r="17" spans="2:13" ht="14.4">
      <c r="B17" s="748"/>
      <c r="C17" s="265" t="s">
        <v>386</v>
      </c>
      <c r="D17" s="170" t="s">
        <v>311</v>
      </c>
      <c r="E17" s="172" t="s">
        <v>319</v>
      </c>
      <c r="F17" s="170"/>
      <c r="G17" s="172"/>
      <c r="H17" s="171"/>
      <c r="I17" s="726" t="s">
        <v>923</v>
      </c>
      <c r="J17" s="727"/>
      <c r="K17" s="170"/>
      <c r="M17" s="2"/>
    </row>
    <row r="18" spans="2:13" ht="14.4">
      <c r="B18" s="748"/>
      <c r="C18" s="265" t="s">
        <v>387</v>
      </c>
      <c r="D18" s="170" t="s">
        <v>311</v>
      </c>
      <c r="E18" s="172" t="s">
        <v>319</v>
      </c>
      <c r="F18" s="170"/>
      <c r="G18" s="172"/>
      <c r="H18" s="171"/>
      <c r="I18" s="726" t="s">
        <v>919</v>
      </c>
      <c r="J18" s="727"/>
      <c r="K18" s="170"/>
      <c r="M18" s="2"/>
    </row>
    <row r="19" spans="2:13" ht="14.4">
      <c r="B19" s="748"/>
      <c r="C19" s="265" t="s">
        <v>309</v>
      </c>
      <c r="D19" s="169" t="s">
        <v>421</v>
      </c>
      <c r="E19" s="172" t="s">
        <v>319</v>
      </c>
      <c r="F19" s="176"/>
      <c r="G19" s="172" t="s">
        <v>358</v>
      </c>
      <c r="H19" s="171"/>
      <c r="I19" s="726" t="s">
        <v>924</v>
      </c>
      <c r="J19" s="727"/>
      <c r="K19" s="170"/>
      <c r="M19" s="2"/>
    </row>
    <row r="20" spans="2:13" ht="14.4">
      <c r="B20" s="748"/>
      <c r="C20" s="315" t="s">
        <v>307</v>
      </c>
      <c r="D20" s="169" t="s">
        <v>421</v>
      </c>
      <c r="E20" s="172" t="s">
        <v>319</v>
      </c>
      <c r="F20" s="316"/>
      <c r="G20" s="317" t="s">
        <v>675</v>
      </c>
      <c r="H20" s="239"/>
      <c r="I20" s="726" t="s">
        <v>925</v>
      </c>
      <c r="J20" s="727"/>
      <c r="K20" s="170"/>
      <c r="M20" s="2"/>
    </row>
    <row r="21" spans="2:13" ht="14.4">
      <c r="B21" s="748"/>
      <c r="C21" s="265" t="s">
        <v>284</v>
      </c>
      <c r="D21" s="169" t="s">
        <v>421</v>
      </c>
      <c r="E21" s="172" t="s">
        <v>319</v>
      </c>
      <c r="F21" s="176"/>
      <c r="G21" s="172" t="s">
        <v>357</v>
      </c>
      <c r="H21" s="171"/>
      <c r="I21" s="726" t="s">
        <v>926</v>
      </c>
      <c r="J21" s="727"/>
      <c r="K21" s="176"/>
      <c r="M21" s="2"/>
    </row>
    <row r="22" spans="2:13" ht="14.4">
      <c r="B22" s="748"/>
      <c r="C22" s="265" t="s">
        <v>329</v>
      </c>
      <c r="D22" s="169" t="s">
        <v>421</v>
      </c>
      <c r="E22" s="172" t="s">
        <v>319</v>
      </c>
      <c r="F22" s="176"/>
      <c r="G22" s="172" t="s">
        <v>328</v>
      </c>
      <c r="H22" s="171"/>
      <c r="I22" s="726" t="s">
        <v>927</v>
      </c>
      <c r="J22" s="727"/>
      <c r="K22" s="170"/>
      <c r="M22" s="2"/>
    </row>
    <row r="23" spans="2:13" ht="15.6">
      <c r="B23" s="281"/>
      <c r="C23" s="270"/>
      <c r="D23" s="266"/>
      <c r="E23" s="267"/>
      <c r="F23" s="266"/>
      <c r="G23" s="268"/>
      <c r="H23" s="269"/>
      <c r="I23" s="285"/>
      <c r="J23" s="286" t="s">
        <v>375</v>
      </c>
      <c r="K23" s="270"/>
      <c r="M23" s="2"/>
    </row>
    <row r="24" spans="2:13" ht="15.75" customHeight="1">
      <c r="B24" s="744" t="s">
        <v>899</v>
      </c>
      <c r="C24" s="265" t="s">
        <v>337</v>
      </c>
      <c r="D24" s="174" t="s">
        <v>311</v>
      </c>
      <c r="E24" s="244" t="s">
        <v>315</v>
      </c>
      <c r="F24" s="262"/>
      <c r="G24" s="263"/>
      <c r="H24" s="264"/>
      <c r="I24" s="175">
        <v>5</v>
      </c>
      <c r="J24" s="284">
        <v>15000</v>
      </c>
      <c r="K24" s="265"/>
      <c r="M24" s="2"/>
    </row>
    <row r="25" spans="2:13" ht="15.75" customHeight="1">
      <c r="B25" s="744"/>
      <c r="C25" s="265" t="s">
        <v>338</v>
      </c>
      <c r="D25" s="174" t="s">
        <v>311</v>
      </c>
      <c r="E25" s="244" t="s">
        <v>315</v>
      </c>
      <c r="F25" s="262"/>
      <c r="G25" s="263"/>
      <c r="H25" s="264"/>
      <c r="I25" s="175">
        <v>3</v>
      </c>
      <c r="J25" s="284">
        <v>12000</v>
      </c>
      <c r="K25" s="265"/>
      <c r="M25" s="2"/>
    </row>
    <row r="26" spans="2:13" ht="15.75" customHeight="1">
      <c r="B26" s="744"/>
      <c r="C26" s="265" t="s">
        <v>339</v>
      </c>
      <c r="D26" s="174" t="s">
        <v>311</v>
      </c>
      <c r="E26" s="244" t="s">
        <v>315</v>
      </c>
      <c r="F26" s="262"/>
      <c r="G26" s="263"/>
      <c r="H26" s="264"/>
      <c r="I26" s="175">
        <v>2</v>
      </c>
      <c r="J26" s="284">
        <v>10000</v>
      </c>
      <c r="K26" s="265"/>
      <c r="M26" s="2"/>
    </row>
    <row r="27" spans="2:13" ht="14.4">
      <c r="B27" s="246"/>
      <c r="C27" s="280"/>
      <c r="D27" s="243"/>
      <c r="E27" s="243"/>
      <c r="F27" s="243"/>
      <c r="G27" s="243"/>
      <c r="H27" s="243"/>
      <c r="I27" s="751" t="s">
        <v>390</v>
      </c>
      <c r="J27" s="752"/>
      <c r="K27" s="608" t="s">
        <v>806</v>
      </c>
      <c r="L27" s="608" t="s">
        <v>805</v>
      </c>
    </row>
    <row r="28" spans="2:13" ht="14.4">
      <c r="B28" s="744" t="s">
        <v>321</v>
      </c>
      <c r="C28" s="265" t="s">
        <v>341</v>
      </c>
      <c r="D28" s="174" t="s">
        <v>311</v>
      </c>
      <c r="E28" s="244" t="s">
        <v>315</v>
      </c>
      <c r="F28" s="174"/>
      <c r="G28" s="170"/>
      <c r="H28" s="242"/>
      <c r="I28" s="728">
        <f>F134</f>
        <v>70000</v>
      </c>
      <c r="J28" s="729"/>
      <c r="K28" s="542">
        <v>90</v>
      </c>
      <c r="L28" s="597">
        <f>K28/100*I28</f>
        <v>63000</v>
      </c>
    </row>
    <row r="29" spans="2:13" ht="14.4">
      <c r="B29" s="744"/>
      <c r="C29" s="265" t="s">
        <v>342</v>
      </c>
      <c r="D29" s="174" t="s">
        <v>311</v>
      </c>
      <c r="E29" s="244" t="s">
        <v>315</v>
      </c>
      <c r="F29" s="174"/>
      <c r="G29" s="170"/>
      <c r="H29" s="242"/>
      <c r="I29" s="728">
        <f>F144</f>
        <v>0</v>
      </c>
      <c r="J29" s="729"/>
      <c r="K29" s="542"/>
      <c r="L29" s="597">
        <f>K29/100*I29</f>
        <v>0</v>
      </c>
    </row>
    <row r="30" spans="2:13" ht="14.4">
      <c r="B30" s="744"/>
      <c r="C30" s="265" t="s">
        <v>593</v>
      </c>
      <c r="D30" s="174" t="s">
        <v>311</v>
      </c>
      <c r="E30" s="244" t="s">
        <v>315</v>
      </c>
      <c r="F30" s="174"/>
      <c r="G30" s="170"/>
      <c r="H30" s="242"/>
      <c r="I30" s="728">
        <f>F154</f>
        <v>0</v>
      </c>
      <c r="J30" s="729"/>
      <c r="K30" s="542"/>
      <c r="L30" s="597">
        <f>K30/100*I30</f>
        <v>0</v>
      </c>
    </row>
    <row r="31" spans="2:13" ht="14.4">
      <c r="B31" s="744"/>
      <c r="C31" s="265" t="s">
        <v>343</v>
      </c>
      <c r="D31" s="174" t="s">
        <v>311</v>
      </c>
      <c r="E31" s="244" t="s">
        <v>315</v>
      </c>
      <c r="F31" s="174"/>
      <c r="G31" s="170"/>
      <c r="H31" s="242"/>
      <c r="I31" s="728">
        <f>F164</f>
        <v>0</v>
      </c>
      <c r="J31" s="729"/>
      <c r="K31" s="542"/>
      <c r="L31" s="597">
        <f t="shared" ref="L31:L39" si="0">K31/100*I31</f>
        <v>0</v>
      </c>
    </row>
    <row r="32" spans="2:13" ht="14.4">
      <c r="B32" s="744"/>
      <c r="C32" s="265" t="s">
        <v>348</v>
      </c>
      <c r="D32" s="174" t="s">
        <v>311</v>
      </c>
      <c r="E32" s="244" t="s">
        <v>315</v>
      </c>
      <c r="F32" s="174"/>
      <c r="G32" s="170"/>
      <c r="H32" s="242"/>
      <c r="I32" s="728">
        <f>F167</f>
        <v>0</v>
      </c>
      <c r="J32" s="729"/>
      <c r="K32" s="542"/>
      <c r="L32" s="597">
        <f t="shared" si="0"/>
        <v>0</v>
      </c>
    </row>
    <row r="33" spans="1:13" ht="14.4">
      <c r="B33" s="744"/>
      <c r="C33" s="265" t="s">
        <v>344</v>
      </c>
      <c r="D33" s="174" t="s">
        <v>311</v>
      </c>
      <c r="E33" s="244" t="s">
        <v>315</v>
      </c>
      <c r="F33" s="174"/>
      <c r="G33" s="170"/>
      <c r="H33" s="242"/>
      <c r="I33" s="728">
        <f>F177</f>
        <v>0</v>
      </c>
      <c r="J33" s="729"/>
      <c r="K33" s="542"/>
      <c r="L33" s="597">
        <f t="shared" si="0"/>
        <v>0</v>
      </c>
    </row>
    <row r="34" spans="1:13" ht="14.4">
      <c r="A34" s="769" t="s">
        <v>419</v>
      </c>
      <c r="B34" s="744"/>
      <c r="C34" s="265" t="s">
        <v>259</v>
      </c>
      <c r="D34" s="174" t="s">
        <v>311</v>
      </c>
      <c r="E34" s="244" t="s">
        <v>315</v>
      </c>
      <c r="F34" s="174"/>
      <c r="G34" s="170"/>
      <c r="H34" s="242"/>
      <c r="I34" s="728">
        <f>F187</f>
        <v>5000</v>
      </c>
      <c r="J34" s="729"/>
      <c r="K34" s="542"/>
      <c r="L34" s="597">
        <f t="shared" si="0"/>
        <v>0</v>
      </c>
    </row>
    <row r="35" spans="1:13" ht="14.4">
      <c r="A35" s="769"/>
      <c r="B35" s="744"/>
      <c r="C35" s="265" t="s">
        <v>308</v>
      </c>
      <c r="D35" s="174" t="s">
        <v>311</v>
      </c>
      <c r="E35" s="244" t="s">
        <v>315</v>
      </c>
      <c r="F35" s="174"/>
      <c r="G35" s="170"/>
      <c r="H35" s="242"/>
      <c r="I35" s="728">
        <f>F197</f>
        <v>0</v>
      </c>
      <c r="J35" s="729"/>
      <c r="K35" s="542"/>
      <c r="L35" s="597">
        <f t="shared" si="0"/>
        <v>0</v>
      </c>
    </row>
    <row r="36" spans="1:13" ht="14.4">
      <c r="A36" s="769"/>
      <c r="B36" s="744"/>
      <c r="C36" s="265" t="s">
        <v>349</v>
      </c>
      <c r="D36" s="174" t="s">
        <v>311</v>
      </c>
      <c r="E36" s="244" t="s">
        <v>315</v>
      </c>
      <c r="F36" s="174"/>
      <c r="G36" s="170"/>
      <c r="H36" s="242"/>
      <c r="I36" s="728">
        <f>F206</f>
        <v>0</v>
      </c>
      <c r="J36" s="729"/>
      <c r="K36" s="542"/>
      <c r="L36" s="597">
        <f t="shared" si="0"/>
        <v>0</v>
      </c>
    </row>
    <row r="37" spans="1:13" ht="14.4">
      <c r="A37" s="769"/>
      <c r="B37" s="744"/>
      <c r="C37" s="265" t="s">
        <v>261</v>
      </c>
      <c r="D37" s="174" t="s">
        <v>311</v>
      </c>
      <c r="E37" s="244" t="s">
        <v>315</v>
      </c>
      <c r="F37" s="174"/>
      <c r="G37" s="170"/>
      <c r="H37" s="242"/>
      <c r="I37" s="728">
        <f>F216</f>
        <v>0</v>
      </c>
      <c r="J37" s="729"/>
      <c r="K37" s="542"/>
      <c r="L37" s="597">
        <f t="shared" si="0"/>
        <v>0</v>
      </c>
    </row>
    <row r="38" spans="1:13" ht="15.75" customHeight="1">
      <c r="A38" s="599"/>
      <c r="B38" s="744"/>
      <c r="C38" s="265" t="s">
        <v>803</v>
      </c>
      <c r="D38" s="174" t="s">
        <v>311</v>
      </c>
      <c r="E38" s="244" t="s">
        <v>315</v>
      </c>
      <c r="F38" s="174"/>
      <c r="G38" s="170"/>
      <c r="H38" s="242"/>
      <c r="I38" s="728">
        <f>F226</f>
        <v>0</v>
      </c>
      <c r="J38" s="729"/>
      <c r="K38" s="542"/>
      <c r="L38" s="597">
        <f t="shared" si="0"/>
        <v>0</v>
      </c>
    </row>
    <row r="39" spans="1:13" ht="15.75" customHeight="1">
      <c r="A39" s="599"/>
      <c r="B39" s="744"/>
      <c r="C39" s="265" t="s">
        <v>894</v>
      </c>
      <c r="D39" s="174" t="s">
        <v>311</v>
      </c>
      <c r="E39" s="244" t="s">
        <v>315</v>
      </c>
      <c r="F39" s="174"/>
      <c r="G39" s="170"/>
      <c r="H39" s="242"/>
      <c r="I39" s="728">
        <f>F235</f>
        <v>0</v>
      </c>
      <c r="J39" s="729"/>
      <c r="K39" s="542"/>
      <c r="L39" s="597">
        <f t="shared" si="0"/>
        <v>0</v>
      </c>
    </row>
    <row r="40" spans="1:13" ht="14.4">
      <c r="B40" s="744"/>
      <c r="C40" s="265" t="s">
        <v>369</v>
      </c>
      <c r="D40" s="174" t="s">
        <v>311</v>
      </c>
      <c r="E40" s="244" t="s">
        <v>315</v>
      </c>
      <c r="F40" s="174"/>
      <c r="G40" s="170"/>
      <c r="H40" s="177"/>
      <c r="I40" s="728">
        <v>500000</v>
      </c>
      <c r="J40" s="729"/>
      <c r="K40" s="542">
        <v>90</v>
      </c>
      <c r="L40" s="597">
        <f>K40/100*I40</f>
        <v>450000</v>
      </c>
    </row>
    <row r="41" spans="1:13" ht="28.8">
      <c r="B41" s="744"/>
      <c r="C41" s="265" t="s">
        <v>304</v>
      </c>
      <c r="D41" s="170" t="s">
        <v>312</v>
      </c>
      <c r="E41" s="274" t="s">
        <v>345</v>
      </c>
      <c r="F41" s="170"/>
      <c r="G41" s="170"/>
      <c r="H41" s="242"/>
      <c r="I41" s="728">
        <f>SUM(I28:J40)</f>
        <v>575000</v>
      </c>
      <c r="J41" s="729"/>
      <c r="K41" s="596"/>
      <c r="L41" s="597">
        <f>SUM(L28:L40)</f>
        <v>513000</v>
      </c>
    </row>
    <row r="42" spans="1:13" ht="14.4">
      <c r="B42" s="246"/>
      <c r="C42" s="272"/>
      <c r="D42" s="240"/>
      <c r="E42" s="240"/>
      <c r="F42" s="240"/>
      <c r="G42" s="240"/>
      <c r="H42" s="240"/>
      <c r="I42" s="759"/>
      <c r="J42" s="759"/>
      <c r="K42" s="249"/>
      <c r="M42" s="2"/>
    </row>
    <row r="43" spans="1:13" ht="15" customHeight="1">
      <c r="B43" s="721" t="s">
        <v>322</v>
      </c>
      <c r="C43" s="265" t="s">
        <v>263</v>
      </c>
      <c r="D43" s="170" t="s">
        <v>594</v>
      </c>
      <c r="E43" s="172" t="s">
        <v>315</v>
      </c>
      <c r="F43" s="170"/>
      <c r="G43" s="170"/>
      <c r="H43" s="598"/>
      <c r="I43" s="728">
        <f>SUM(L28:L39)</f>
        <v>63000</v>
      </c>
      <c r="J43" s="729"/>
      <c r="K43" s="170" t="s">
        <v>274</v>
      </c>
      <c r="M43" s="2"/>
    </row>
    <row r="44" spans="1:13" ht="15" customHeight="1">
      <c r="B44" s="722"/>
      <c r="C44" s="265" t="s">
        <v>368</v>
      </c>
      <c r="D44" s="170" t="s">
        <v>311</v>
      </c>
      <c r="E44" s="172" t="s">
        <v>315</v>
      </c>
      <c r="F44" s="170"/>
      <c r="G44" s="170"/>
      <c r="H44" s="598"/>
      <c r="I44" s="728">
        <f>SUM(I28:J39)-SUM(L28:L39)</f>
        <v>12000</v>
      </c>
      <c r="J44" s="729"/>
      <c r="K44" s="170" t="s">
        <v>274</v>
      </c>
      <c r="M44" s="2"/>
    </row>
    <row r="45" spans="1:13" ht="15" customHeight="1">
      <c r="B45" s="722"/>
      <c r="C45" s="265" t="s">
        <v>352</v>
      </c>
      <c r="D45" s="170" t="s">
        <v>311</v>
      </c>
      <c r="E45" s="275" t="s">
        <v>315</v>
      </c>
      <c r="F45" s="170"/>
      <c r="G45" s="170"/>
      <c r="H45" s="435">
        <v>10.5</v>
      </c>
      <c r="I45" s="728">
        <f>H45/100</f>
        <v>0.105</v>
      </c>
      <c r="J45" s="729"/>
      <c r="K45" s="170"/>
      <c r="M45" s="2"/>
    </row>
    <row r="46" spans="1:13" ht="15" customHeight="1">
      <c r="B46" s="722"/>
      <c r="C46" s="265" t="s">
        <v>799</v>
      </c>
      <c r="D46" s="169" t="s">
        <v>421</v>
      </c>
      <c r="E46" s="275" t="s">
        <v>315</v>
      </c>
      <c r="F46" s="170"/>
      <c r="G46" s="172" t="s">
        <v>800</v>
      </c>
      <c r="H46" s="435"/>
      <c r="I46" s="728" t="s">
        <v>928</v>
      </c>
      <c r="J46" s="729"/>
      <c r="K46" s="170"/>
      <c r="M46" s="2"/>
    </row>
    <row r="47" spans="1:13" ht="15" customHeight="1">
      <c r="B47" s="722"/>
      <c r="C47" s="265" t="s">
        <v>265</v>
      </c>
      <c r="D47" s="170" t="s">
        <v>311</v>
      </c>
      <c r="E47" s="275" t="s">
        <v>315</v>
      </c>
      <c r="F47" s="170"/>
      <c r="G47" s="170"/>
      <c r="H47" s="435"/>
      <c r="I47" s="730">
        <v>60</v>
      </c>
      <c r="J47" s="731"/>
      <c r="K47" s="170" t="s">
        <v>243</v>
      </c>
      <c r="M47" s="2"/>
    </row>
    <row r="48" spans="1:13" ht="15" customHeight="1">
      <c r="B48" s="722"/>
      <c r="C48" s="265" t="s">
        <v>351</v>
      </c>
      <c r="D48" s="169" t="s">
        <v>421</v>
      </c>
      <c r="E48" s="275" t="s">
        <v>315</v>
      </c>
      <c r="G48" s="282" t="s">
        <v>451</v>
      </c>
      <c r="H48" s="435"/>
      <c r="I48" s="728" t="s">
        <v>929</v>
      </c>
      <c r="J48" s="729"/>
      <c r="K48" s="173"/>
      <c r="M48" s="2"/>
    </row>
    <row r="49" spans="2:15" ht="15" customHeight="1">
      <c r="B49" s="722"/>
      <c r="C49" s="265" t="s">
        <v>266</v>
      </c>
      <c r="D49" s="170" t="s">
        <v>311</v>
      </c>
      <c r="E49" s="172" t="s">
        <v>315</v>
      </c>
      <c r="F49" s="170"/>
      <c r="G49" s="170"/>
      <c r="H49" s="435"/>
      <c r="I49" s="753">
        <v>6</v>
      </c>
      <c r="J49" s="754"/>
      <c r="K49" s="174" t="s">
        <v>243</v>
      </c>
      <c r="M49" s="2"/>
    </row>
    <row r="50" spans="2:15" ht="15" customHeight="1">
      <c r="B50" s="722"/>
      <c r="C50" s="265" t="s">
        <v>365</v>
      </c>
      <c r="D50" s="170" t="s">
        <v>311</v>
      </c>
      <c r="E50" s="172" t="s">
        <v>315</v>
      </c>
      <c r="F50" s="170"/>
      <c r="G50" s="170"/>
      <c r="H50" s="434">
        <v>25</v>
      </c>
      <c r="I50" s="728">
        <f>H50/100</f>
        <v>0.25</v>
      </c>
      <c r="J50" s="729"/>
      <c r="K50" s="170"/>
      <c r="M50" s="2"/>
    </row>
    <row r="51" spans="2:15" ht="15" customHeight="1">
      <c r="B51" s="722"/>
      <c r="C51" s="265" t="s">
        <v>366</v>
      </c>
      <c r="D51" s="170" t="s">
        <v>594</v>
      </c>
      <c r="E51" s="172" t="s">
        <v>315</v>
      </c>
      <c r="F51" s="170"/>
      <c r="G51" s="170"/>
      <c r="H51" s="434"/>
      <c r="I51" s="728">
        <f>L40</f>
        <v>450000</v>
      </c>
      <c r="J51" s="729"/>
      <c r="K51" s="170" t="s">
        <v>274</v>
      </c>
      <c r="M51" s="2"/>
    </row>
    <row r="52" spans="2:15" ht="15" customHeight="1">
      <c r="B52" s="722"/>
      <c r="C52" s="265" t="s">
        <v>367</v>
      </c>
      <c r="D52" s="170" t="s">
        <v>311</v>
      </c>
      <c r="E52" s="172" t="s">
        <v>315</v>
      </c>
      <c r="F52" s="170"/>
      <c r="G52" s="170"/>
      <c r="H52" s="435">
        <v>12</v>
      </c>
      <c r="I52" s="728">
        <f>H52/100</f>
        <v>0.12</v>
      </c>
      <c r="J52" s="729"/>
      <c r="K52" s="170"/>
      <c r="M52" s="2"/>
    </row>
    <row r="53" spans="2:15" ht="15" customHeight="1">
      <c r="B53" s="722"/>
      <c r="C53" s="265" t="s">
        <v>661</v>
      </c>
      <c r="D53" s="170" t="s">
        <v>311</v>
      </c>
      <c r="E53" s="275" t="s">
        <v>315</v>
      </c>
      <c r="F53" s="170"/>
      <c r="G53" s="170"/>
      <c r="H53" s="435">
        <v>1</v>
      </c>
      <c r="I53" s="757">
        <f>(H53+H53*18/100)/100</f>
        <v>1.18E-2</v>
      </c>
      <c r="J53" s="758"/>
      <c r="K53" s="170" t="s">
        <v>362</v>
      </c>
      <c r="L53" s="594"/>
      <c r="M53" s="2"/>
    </row>
    <row r="54" spans="2:15" ht="15" customHeight="1">
      <c r="B54" s="722"/>
      <c r="C54" s="265" t="s">
        <v>370</v>
      </c>
      <c r="D54" s="170" t="s">
        <v>312</v>
      </c>
      <c r="E54" s="275" t="s">
        <v>319</v>
      </c>
      <c r="F54" s="170"/>
      <c r="G54" s="170"/>
      <c r="H54" s="242"/>
      <c r="I54" s="728">
        <f>L41</f>
        <v>513000</v>
      </c>
      <c r="J54" s="729"/>
      <c r="K54" s="170" t="s">
        <v>274</v>
      </c>
      <c r="M54" s="2"/>
    </row>
    <row r="55" spans="2:15" ht="15" customHeight="1">
      <c r="B55" s="722"/>
      <c r="C55" s="265" t="s">
        <v>262</v>
      </c>
      <c r="D55" s="170" t="s">
        <v>312</v>
      </c>
      <c r="E55" s="275" t="s">
        <v>319</v>
      </c>
      <c r="F55" s="170"/>
      <c r="G55" s="170"/>
      <c r="H55" s="178"/>
      <c r="I55" s="728">
        <f>I41-L41</f>
        <v>62000</v>
      </c>
      <c r="J55" s="729"/>
      <c r="K55" s="170" t="s">
        <v>274</v>
      </c>
      <c r="M55" s="2"/>
    </row>
    <row r="56" spans="2:15" ht="15" customHeight="1">
      <c r="B56" s="723"/>
      <c r="C56" s="265" t="s">
        <v>264</v>
      </c>
      <c r="D56" s="170" t="s">
        <v>312</v>
      </c>
      <c r="E56" s="275" t="s">
        <v>319</v>
      </c>
      <c r="F56" s="170"/>
      <c r="G56" s="170"/>
      <c r="H56" s="242"/>
      <c r="I56" s="728">
        <f>I54+I55</f>
        <v>575000</v>
      </c>
      <c r="J56" s="729"/>
      <c r="K56" s="170" t="s">
        <v>274</v>
      </c>
      <c r="M56" s="2"/>
    </row>
    <row r="57" spans="2:15" ht="14.4">
      <c r="B57" s="246"/>
      <c r="C57" s="273"/>
      <c r="D57" s="247"/>
      <c r="E57" s="248"/>
      <c r="F57" s="247"/>
      <c r="G57" s="247"/>
      <c r="H57" s="247"/>
      <c r="I57" s="763"/>
      <c r="J57" s="763"/>
      <c r="K57" s="250"/>
      <c r="M57" s="2"/>
    </row>
    <row r="58" spans="2:15" ht="15" customHeight="1">
      <c r="B58" s="745" t="s">
        <v>323</v>
      </c>
      <c r="C58" s="592" t="s">
        <v>782</v>
      </c>
      <c r="D58" s="169" t="s">
        <v>421</v>
      </c>
      <c r="E58" s="172" t="s">
        <v>315</v>
      </c>
      <c r="F58" s="170"/>
      <c r="G58" s="170"/>
      <c r="H58" s="177"/>
      <c r="I58" s="755">
        <v>45383</v>
      </c>
      <c r="J58" s="756"/>
      <c r="K58" s="174" t="s">
        <v>360</v>
      </c>
      <c r="M58" s="2"/>
    </row>
    <row r="59" spans="2:15" ht="15" customHeight="1">
      <c r="B59" s="746"/>
      <c r="C59" s="265" t="s">
        <v>376</v>
      </c>
      <c r="D59" s="174" t="s">
        <v>311</v>
      </c>
      <c r="E59" s="172" t="s">
        <v>315</v>
      </c>
      <c r="F59" s="174"/>
      <c r="G59" s="170"/>
      <c r="H59" s="177"/>
      <c r="I59" s="760">
        <v>12</v>
      </c>
      <c r="J59" s="761"/>
      <c r="K59" s="170" t="s">
        <v>243</v>
      </c>
      <c r="L59" s="2"/>
    </row>
    <row r="60" spans="2:15" ht="15" customHeight="1">
      <c r="B60" s="746"/>
      <c r="C60" s="265" t="s">
        <v>388</v>
      </c>
      <c r="D60" s="174" t="s">
        <v>311</v>
      </c>
      <c r="E60" s="172" t="s">
        <v>315</v>
      </c>
      <c r="F60" s="174"/>
      <c r="G60" s="170"/>
      <c r="H60" s="177"/>
      <c r="I60" s="760">
        <v>12</v>
      </c>
      <c r="J60" s="761"/>
      <c r="K60" s="170" t="s">
        <v>243</v>
      </c>
      <c r="L60" s="2"/>
      <c r="M60" s="590"/>
      <c r="N60" s="590"/>
      <c r="O60" s="590"/>
    </row>
    <row r="61" spans="2:15" ht="15" customHeight="1">
      <c r="B61" s="746"/>
      <c r="C61" s="265" t="s">
        <v>783</v>
      </c>
      <c r="D61" s="169" t="s">
        <v>421</v>
      </c>
      <c r="E61" s="172" t="s">
        <v>315</v>
      </c>
      <c r="F61" s="174"/>
      <c r="G61" s="170"/>
      <c r="H61" s="177"/>
      <c r="I61" s="755">
        <v>45444</v>
      </c>
      <c r="J61" s="756"/>
      <c r="K61" s="174" t="s">
        <v>360</v>
      </c>
      <c r="L61" s="2"/>
      <c r="M61" s="590"/>
      <c r="N61" s="590"/>
      <c r="O61" s="590"/>
    </row>
    <row r="62" spans="2:15" ht="15" customHeight="1">
      <c r="B62" s="746"/>
      <c r="C62" s="265" t="s">
        <v>310</v>
      </c>
      <c r="D62" s="174" t="s">
        <v>311</v>
      </c>
      <c r="E62" s="172" t="s">
        <v>315</v>
      </c>
      <c r="F62" s="174"/>
      <c r="G62" s="170"/>
      <c r="H62" s="177"/>
      <c r="I62" s="726">
        <v>10</v>
      </c>
      <c r="J62" s="727"/>
      <c r="K62" s="170" t="s">
        <v>243</v>
      </c>
      <c r="L62" s="2"/>
      <c r="M62" s="590"/>
      <c r="N62" s="590"/>
      <c r="O62" s="590"/>
    </row>
    <row r="63" spans="2:15" ht="15" customHeight="1">
      <c r="B63" s="746"/>
      <c r="C63" s="265" t="s">
        <v>389</v>
      </c>
      <c r="D63" s="174" t="s">
        <v>311</v>
      </c>
      <c r="E63" s="172" t="s">
        <v>315</v>
      </c>
      <c r="F63" s="174"/>
      <c r="G63" s="170"/>
      <c r="H63" s="177"/>
      <c r="I63" s="726">
        <v>12</v>
      </c>
      <c r="J63" s="727"/>
      <c r="K63" s="170" t="s">
        <v>243</v>
      </c>
      <c r="L63" s="2"/>
      <c r="M63" s="590"/>
      <c r="N63" s="590"/>
      <c r="O63" s="590"/>
    </row>
    <row r="64" spans="2:15" ht="15" customHeight="1">
      <c r="B64" s="746"/>
      <c r="C64" s="810" t="s">
        <v>810</v>
      </c>
      <c r="D64" s="811"/>
      <c r="E64" s="811"/>
      <c r="F64" s="811"/>
      <c r="G64" s="811"/>
      <c r="H64" s="811"/>
      <c r="I64" s="811"/>
      <c r="J64" s="811"/>
      <c r="K64" s="812"/>
      <c r="L64" s="2"/>
      <c r="M64" s="590"/>
      <c r="N64" s="590"/>
      <c r="O64" s="590"/>
    </row>
    <row r="65" spans="2:15" ht="15" customHeight="1">
      <c r="B65" s="746"/>
      <c r="C65" s="265" t="str">
        <f>B270</f>
        <v>Employee Related Expenses</v>
      </c>
      <c r="D65" s="174" t="s">
        <v>311</v>
      </c>
      <c r="E65" s="172" t="s">
        <v>315</v>
      </c>
      <c r="F65" s="174"/>
      <c r="G65" s="170"/>
      <c r="H65" s="242"/>
      <c r="I65" s="726">
        <f>F270</f>
        <v>131000</v>
      </c>
      <c r="J65" s="727"/>
      <c r="K65" s="170"/>
      <c r="L65" s="2"/>
      <c r="M65" s="590"/>
      <c r="N65" s="590"/>
      <c r="O65" s="590"/>
    </row>
    <row r="66" spans="2:15" s="241" customFormat="1" ht="15" customHeight="1">
      <c r="B66" s="746"/>
      <c r="C66" s="265" t="str">
        <f>B249</f>
        <v>Administrative &amp; Office Expenses</v>
      </c>
      <c r="D66" s="174" t="s">
        <v>311</v>
      </c>
      <c r="E66" s="172" t="s">
        <v>315</v>
      </c>
      <c r="F66" s="174"/>
      <c r="G66" s="170"/>
      <c r="H66" s="644"/>
      <c r="I66" s="726">
        <f>F249</f>
        <v>0</v>
      </c>
      <c r="J66" s="727"/>
      <c r="K66" s="174" t="s">
        <v>361</v>
      </c>
      <c r="L66" s="60"/>
      <c r="M66" s="590"/>
      <c r="N66" s="590"/>
      <c r="O66" s="590"/>
    </row>
    <row r="67" spans="2:15" ht="15" customHeight="1">
      <c r="B67" s="746"/>
      <c r="C67" s="265" t="str">
        <f>B278</f>
        <v>Selling and Distribution Expenses</v>
      </c>
      <c r="D67" s="174" t="s">
        <v>311</v>
      </c>
      <c r="E67" s="172" t="s">
        <v>315</v>
      </c>
      <c r="F67" s="174"/>
      <c r="G67" s="170"/>
      <c r="H67" s="242"/>
      <c r="I67" s="726">
        <f>F278</f>
        <v>0</v>
      </c>
      <c r="J67" s="727"/>
      <c r="K67" s="174" t="s">
        <v>361</v>
      </c>
      <c r="L67" s="2"/>
      <c r="M67" s="590"/>
      <c r="N67" s="590"/>
      <c r="O67" s="590"/>
    </row>
    <row r="68" spans="2:15" ht="15" customHeight="1">
      <c r="B68" s="746"/>
      <c r="C68" s="265" t="str">
        <f>B290</f>
        <v>General Overheads</v>
      </c>
      <c r="D68" s="174" t="s">
        <v>311</v>
      </c>
      <c r="E68" s="172" t="s">
        <v>315</v>
      </c>
      <c r="F68" s="174"/>
      <c r="G68" s="170"/>
      <c r="H68" s="242"/>
      <c r="I68" s="726">
        <f>F290</f>
        <v>0</v>
      </c>
      <c r="J68" s="727"/>
      <c r="K68" s="174" t="s">
        <v>361</v>
      </c>
      <c r="L68" s="2"/>
      <c r="M68" s="591"/>
      <c r="N68" s="591"/>
      <c r="O68" s="591"/>
    </row>
    <row r="69" spans="2:15" ht="15" customHeight="1">
      <c r="B69" s="746"/>
      <c r="C69" s="265" t="str">
        <f>B298</f>
        <v>Miscellaneous Expenses</v>
      </c>
      <c r="D69" s="174" t="s">
        <v>311</v>
      </c>
      <c r="E69" s="172" t="s">
        <v>315</v>
      </c>
      <c r="F69" s="174"/>
      <c r="G69" s="170"/>
      <c r="H69" s="242"/>
      <c r="I69" s="726">
        <f>F298</f>
        <v>0</v>
      </c>
      <c r="J69" s="727"/>
      <c r="K69" s="174"/>
      <c r="L69" s="2"/>
      <c r="M69" s="591"/>
      <c r="N69" s="591"/>
      <c r="O69" s="591"/>
    </row>
    <row r="70" spans="2:15" ht="15" customHeight="1">
      <c r="B70" s="746"/>
      <c r="C70" s="810" t="s">
        <v>811</v>
      </c>
      <c r="D70" s="811"/>
      <c r="E70" s="811"/>
      <c r="F70" s="811"/>
      <c r="G70" s="811"/>
      <c r="H70" s="811"/>
      <c r="I70" s="811"/>
      <c r="J70" s="811"/>
      <c r="K70" s="812"/>
      <c r="L70" s="2"/>
      <c r="M70" s="591"/>
      <c r="N70" s="591"/>
      <c r="O70" s="591"/>
    </row>
    <row r="71" spans="2:15" ht="15" customHeight="1">
      <c r="B71" s="746"/>
      <c r="C71" s="265" t="str">
        <f>C65</f>
        <v>Employee Related Expenses</v>
      </c>
      <c r="D71" s="170" t="s">
        <v>325</v>
      </c>
      <c r="E71" s="172" t="s">
        <v>315</v>
      </c>
      <c r="F71" s="170"/>
      <c r="G71" s="170"/>
      <c r="H71" s="435">
        <v>5</v>
      </c>
      <c r="I71" s="728">
        <f>(1+1*H71/100)</f>
        <v>1.05</v>
      </c>
      <c r="J71" s="729"/>
      <c r="K71" s="174" t="s">
        <v>359</v>
      </c>
      <c r="L71" s="62"/>
      <c r="M71" s="124"/>
      <c r="N71" s="124"/>
      <c r="O71" s="124"/>
    </row>
    <row r="72" spans="2:15" ht="15" customHeight="1">
      <c r="B72" s="746"/>
      <c r="C72" s="265" t="str">
        <f>C66</f>
        <v>Administrative &amp; Office Expenses</v>
      </c>
      <c r="D72" s="170" t="s">
        <v>325</v>
      </c>
      <c r="E72" s="172" t="s">
        <v>315</v>
      </c>
      <c r="F72" s="174"/>
      <c r="G72" s="170"/>
      <c r="H72" s="435">
        <v>5</v>
      </c>
      <c r="I72" s="728">
        <f>(1+1*H72/100)</f>
        <v>1.05</v>
      </c>
      <c r="J72" s="729"/>
      <c r="K72" s="174" t="s">
        <v>359</v>
      </c>
      <c r="M72" s="8"/>
      <c r="N72" s="8"/>
      <c r="O72" s="8"/>
    </row>
    <row r="73" spans="2:15" ht="15" customHeight="1">
      <c r="B73" s="746"/>
      <c r="C73" s="265" t="str">
        <f>C67</f>
        <v>Selling and Distribution Expenses</v>
      </c>
      <c r="D73" s="170" t="s">
        <v>325</v>
      </c>
      <c r="E73" s="172" t="s">
        <v>315</v>
      </c>
      <c r="F73" s="170"/>
      <c r="G73" s="170"/>
      <c r="H73" s="435">
        <v>5</v>
      </c>
      <c r="I73" s="728">
        <f>(1+1*H73/100)</f>
        <v>1.05</v>
      </c>
      <c r="J73" s="729"/>
      <c r="K73" s="174" t="s">
        <v>359</v>
      </c>
      <c r="M73" s="2"/>
    </row>
    <row r="74" spans="2:15" ht="15" customHeight="1">
      <c r="B74" s="746"/>
      <c r="C74" s="265" t="str">
        <f>C68</f>
        <v>General Overheads</v>
      </c>
      <c r="D74" s="170" t="s">
        <v>325</v>
      </c>
      <c r="E74" s="172" t="s">
        <v>315</v>
      </c>
      <c r="F74" s="170"/>
      <c r="G74" s="170"/>
      <c r="H74" s="435">
        <v>5</v>
      </c>
      <c r="I74" s="728">
        <f>(1+1*H74/100)</f>
        <v>1.05</v>
      </c>
      <c r="J74" s="729"/>
      <c r="K74" s="174" t="s">
        <v>359</v>
      </c>
      <c r="M74" s="2"/>
    </row>
    <row r="75" spans="2:15" ht="15" customHeight="1">
      <c r="B75" s="746"/>
      <c r="C75" s="265" t="str">
        <f>C69</f>
        <v>Miscellaneous Expenses</v>
      </c>
      <c r="D75" s="170" t="s">
        <v>325</v>
      </c>
      <c r="E75" s="172" t="s">
        <v>315</v>
      </c>
      <c r="F75" s="170"/>
      <c r="G75" s="170"/>
      <c r="H75" s="435">
        <v>5</v>
      </c>
      <c r="I75" s="728">
        <f>(1+1*H75/100)</f>
        <v>1.05</v>
      </c>
      <c r="J75" s="729"/>
      <c r="K75" s="174" t="s">
        <v>359</v>
      </c>
      <c r="M75" s="2"/>
    </row>
    <row r="76" spans="2:15" ht="15" customHeight="1">
      <c r="B76" s="747"/>
      <c r="C76" s="265" t="s">
        <v>305</v>
      </c>
      <c r="D76" s="170" t="s">
        <v>325</v>
      </c>
      <c r="E76" s="172" t="s">
        <v>315</v>
      </c>
      <c r="F76" s="172"/>
      <c r="G76" s="170"/>
      <c r="H76" s="177"/>
      <c r="I76" s="728">
        <v>2.5</v>
      </c>
      <c r="J76" s="729"/>
      <c r="K76" s="173"/>
      <c r="M76" s="2"/>
    </row>
    <row r="77" spans="2:15" ht="15" customHeight="1">
      <c r="B77" s="307"/>
      <c r="C77" s="308"/>
      <c r="D77" s="308"/>
      <c r="E77" s="309"/>
      <c r="F77" s="309"/>
      <c r="G77" s="308"/>
      <c r="H77" s="310"/>
      <c r="I77" s="762"/>
      <c r="J77" s="762"/>
      <c r="K77" s="310"/>
      <c r="M77" s="2"/>
    </row>
    <row r="78" spans="2:15" ht="15" customHeight="1">
      <c r="B78" s="745" t="s">
        <v>424</v>
      </c>
      <c r="C78" s="170" t="s">
        <v>407</v>
      </c>
      <c r="D78" s="169" t="s">
        <v>421</v>
      </c>
      <c r="E78" s="172" t="s">
        <v>315</v>
      </c>
      <c r="F78" s="174"/>
      <c r="G78" s="170"/>
      <c r="H78" s="177"/>
      <c r="I78" s="175" t="s">
        <v>930</v>
      </c>
      <c r="J78" s="175" t="s">
        <v>422</v>
      </c>
      <c r="K78" s="170"/>
      <c r="M78" s="2"/>
    </row>
    <row r="79" spans="2:15" ht="15" customHeight="1">
      <c r="B79" s="746"/>
      <c r="C79" s="178" t="s">
        <v>408</v>
      </c>
      <c r="D79" s="169" t="s">
        <v>421</v>
      </c>
      <c r="E79" s="172" t="s">
        <v>315</v>
      </c>
      <c r="F79" s="242"/>
      <c r="G79" s="242"/>
      <c r="H79" s="177"/>
      <c r="I79" s="306" t="s">
        <v>931</v>
      </c>
      <c r="J79" s="306" t="s">
        <v>423</v>
      </c>
      <c r="K79" s="242"/>
      <c r="M79" s="2"/>
    </row>
    <row r="80" spans="2:15" ht="15" customHeight="1">
      <c r="B80" s="746"/>
      <c r="C80" s="178" t="s">
        <v>409</v>
      </c>
      <c r="D80" s="169" t="s">
        <v>421</v>
      </c>
      <c r="E80" s="172" t="s">
        <v>315</v>
      </c>
      <c r="F80" s="242"/>
      <c r="G80" s="242"/>
      <c r="H80" s="177"/>
      <c r="I80" s="306" t="s">
        <v>932</v>
      </c>
      <c r="J80" s="306" t="s">
        <v>423</v>
      </c>
      <c r="K80" s="242"/>
      <c r="M80" s="2"/>
    </row>
    <row r="81" spans="2:13" ht="15" customHeight="1">
      <c r="B81" s="746"/>
      <c r="C81" s="178" t="s">
        <v>410</v>
      </c>
      <c r="D81" s="169" t="s">
        <v>421</v>
      </c>
      <c r="E81" s="172" t="s">
        <v>315</v>
      </c>
      <c r="F81" s="242"/>
      <c r="G81" s="242"/>
      <c r="H81" s="177"/>
      <c r="I81" s="306" t="s">
        <v>933</v>
      </c>
      <c r="J81" s="306" t="s">
        <v>423</v>
      </c>
      <c r="K81" s="242"/>
      <c r="M81" s="2"/>
    </row>
    <row r="82" spans="2:13" ht="15" customHeight="1">
      <c r="B82" s="746"/>
      <c r="C82" s="178" t="s">
        <v>411</v>
      </c>
      <c r="D82" s="169" t="s">
        <v>421</v>
      </c>
      <c r="E82" s="172" t="s">
        <v>315</v>
      </c>
      <c r="F82" s="242"/>
      <c r="G82" s="242"/>
      <c r="H82" s="177"/>
      <c r="I82" s="306" t="s">
        <v>934</v>
      </c>
      <c r="J82" s="306" t="s">
        <v>423</v>
      </c>
      <c r="K82" s="242"/>
      <c r="M82" s="2"/>
    </row>
    <row r="83" spans="2:13" ht="15" customHeight="1">
      <c r="B83" s="746"/>
      <c r="C83" s="178" t="s">
        <v>412</v>
      </c>
      <c r="D83" s="169" t="s">
        <v>421</v>
      </c>
      <c r="E83" s="172" t="s">
        <v>315</v>
      </c>
      <c r="F83" s="242"/>
      <c r="G83" s="242"/>
      <c r="H83" s="177"/>
      <c r="I83" s="306" t="s">
        <v>935</v>
      </c>
      <c r="J83" s="306" t="s">
        <v>423</v>
      </c>
      <c r="K83" s="242"/>
      <c r="M83" s="2"/>
    </row>
    <row r="84" spans="2:13" ht="15" customHeight="1">
      <c r="B84" s="746"/>
      <c r="C84" s="178" t="s">
        <v>413</v>
      </c>
      <c r="D84" s="169" t="s">
        <v>421</v>
      </c>
      <c r="E84" s="172" t="s">
        <v>315</v>
      </c>
      <c r="F84" s="242"/>
      <c r="G84" s="242"/>
      <c r="H84" s="177"/>
      <c r="I84" s="306" t="s">
        <v>936</v>
      </c>
      <c r="J84" s="306" t="s">
        <v>423</v>
      </c>
      <c r="K84" s="242"/>
      <c r="M84" s="2"/>
    </row>
    <row r="85" spans="2:13" ht="15" customHeight="1">
      <c r="B85" s="747"/>
      <c r="C85" s="178" t="s">
        <v>414</v>
      </c>
      <c r="D85" s="169" t="s">
        <v>421</v>
      </c>
      <c r="E85" s="172" t="s">
        <v>315</v>
      </c>
      <c r="F85" s="242"/>
      <c r="G85" s="242"/>
      <c r="H85" s="177"/>
      <c r="I85" s="306" t="s">
        <v>937</v>
      </c>
      <c r="J85" s="306" t="s">
        <v>423</v>
      </c>
      <c r="K85" s="242"/>
      <c r="M85" s="2"/>
    </row>
    <row r="86" spans="2:13" ht="15" thickBot="1">
      <c r="B86" s="347"/>
      <c r="C86" s="352"/>
      <c r="D86" s="247"/>
      <c r="E86" s="247"/>
      <c r="F86" s="247"/>
      <c r="G86" s="247"/>
      <c r="H86" s="247"/>
      <c r="I86" s="247"/>
      <c r="J86" s="247"/>
      <c r="K86" s="247"/>
      <c r="M86" s="2"/>
    </row>
    <row r="87" spans="2:13" s="241" customFormat="1" ht="18" customHeight="1">
      <c r="B87" s="779" t="s">
        <v>490</v>
      </c>
      <c r="C87" s="346" t="s">
        <v>486</v>
      </c>
      <c r="D87" s="773" t="s">
        <v>489</v>
      </c>
      <c r="E87" s="774"/>
      <c r="F87" s="247"/>
      <c r="G87" s="247"/>
      <c r="H87" s="247"/>
      <c r="I87" s="247"/>
      <c r="J87" s="247"/>
      <c r="K87" s="247"/>
      <c r="L87" s="130"/>
      <c r="M87" s="60"/>
    </row>
    <row r="88" spans="2:13" s="241" customFormat="1" ht="15" customHeight="1">
      <c r="B88" s="780"/>
      <c r="C88" s="348" t="s">
        <v>404</v>
      </c>
      <c r="D88" s="775"/>
      <c r="E88" s="776"/>
      <c r="F88" s="344">
        <v>1.75</v>
      </c>
      <c r="G88" s="299"/>
      <c r="H88" s="299"/>
      <c r="I88" s="764"/>
      <c r="J88" s="764"/>
      <c r="K88" s="299"/>
      <c r="L88" s="130"/>
      <c r="M88" s="60"/>
    </row>
    <row r="89" spans="2:13" s="241" customFormat="1" ht="15" customHeight="1">
      <c r="B89" s="780"/>
      <c r="C89" s="348" t="s">
        <v>405</v>
      </c>
      <c r="D89" s="775"/>
      <c r="E89" s="776"/>
      <c r="F89" s="344">
        <v>2</v>
      </c>
      <c r="G89" s="299"/>
      <c r="H89" s="299"/>
      <c r="I89" s="764"/>
      <c r="J89" s="764"/>
      <c r="K89" s="299"/>
      <c r="L89" s="130"/>
      <c r="M89" s="60"/>
    </row>
    <row r="90" spans="2:13" s="241" customFormat="1" ht="18" customHeight="1">
      <c r="B90" s="780"/>
      <c r="C90" s="349" t="s">
        <v>406</v>
      </c>
      <c r="D90" s="775"/>
      <c r="E90" s="776"/>
      <c r="F90" s="625"/>
      <c r="G90" s="245"/>
      <c r="H90" s="245"/>
      <c r="I90" s="771"/>
      <c r="J90" s="772"/>
      <c r="K90" s="245"/>
      <c r="L90" s="130"/>
      <c r="M90" s="60"/>
    </row>
    <row r="91" spans="2:13" s="241" customFormat="1" ht="15" customHeight="1">
      <c r="B91" s="780"/>
      <c r="C91" s="348" t="s">
        <v>407</v>
      </c>
      <c r="D91" s="775"/>
      <c r="E91" s="776"/>
      <c r="F91" s="430">
        <v>0.09</v>
      </c>
      <c r="G91" s="299"/>
      <c r="H91" s="299"/>
      <c r="I91" s="764"/>
      <c r="J91" s="764"/>
      <c r="K91" s="299"/>
      <c r="L91" s="130"/>
      <c r="M91" s="60"/>
    </row>
    <row r="92" spans="2:13" s="241" customFormat="1" ht="15" customHeight="1">
      <c r="B92" s="780"/>
      <c r="C92" s="348" t="s">
        <v>408</v>
      </c>
      <c r="D92" s="775"/>
      <c r="E92" s="776"/>
      <c r="F92" s="430">
        <v>0.1</v>
      </c>
      <c r="G92" s="299"/>
      <c r="H92" s="299"/>
      <c r="I92" s="764"/>
      <c r="J92" s="764"/>
      <c r="K92" s="299"/>
      <c r="L92" s="130"/>
      <c r="M92" s="60"/>
    </row>
    <row r="93" spans="2:13" s="241" customFormat="1" ht="15" customHeight="1">
      <c r="B93" s="780"/>
      <c r="C93" s="348" t="s">
        <v>409</v>
      </c>
      <c r="D93" s="775"/>
      <c r="E93" s="776"/>
      <c r="F93" s="430">
        <v>0.11</v>
      </c>
      <c r="G93" s="299"/>
      <c r="H93" s="299"/>
      <c r="I93" s="764"/>
      <c r="J93" s="764"/>
      <c r="K93" s="299"/>
      <c r="L93" s="130"/>
      <c r="M93" s="60"/>
    </row>
    <row r="94" spans="2:13" s="241" customFormat="1" ht="15" customHeight="1">
      <c r="B94" s="780"/>
      <c r="C94" s="348" t="s">
        <v>410</v>
      </c>
      <c r="D94" s="775"/>
      <c r="E94" s="776"/>
      <c r="F94" s="430">
        <v>0.12</v>
      </c>
      <c r="G94" s="299"/>
      <c r="H94" s="299"/>
      <c r="I94" s="764"/>
      <c r="J94" s="764"/>
      <c r="K94" s="299"/>
      <c r="L94" s="130"/>
      <c r="M94" s="60"/>
    </row>
    <row r="95" spans="2:13" s="241" customFormat="1" ht="15" customHeight="1">
      <c r="B95" s="780"/>
      <c r="C95" s="348" t="s">
        <v>411</v>
      </c>
      <c r="D95" s="775"/>
      <c r="E95" s="776"/>
      <c r="F95" s="430">
        <v>0.13</v>
      </c>
      <c r="G95" s="299"/>
      <c r="H95" s="299"/>
      <c r="I95" s="764"/>
      <c r="J95" s="764"/>
      <c r="K95" s="299"/>
      <c r="L95" s="130"/>
      <c r="M95" s="60"/>
    </row>
    <row r="96" spans="2:13" s="241" customFormat="1" ht="15" customHeight="1">
      <c r="B96" s="780"/>
      <c r="C96" s="348" t="s">
        <v>412</v>
      </c>
      <c r="D96" s="775"/>
      <c r="E96" s="776"/>
      <c r="F96" s="430">
        <v>0.14000000000000001</v>
      </c>
      <c r="G96" s="299"/>
      <c r="H96" s="299"/>
      <c r="I96" s="764"/>
      <c r="J96" s="764"/>
      <c r="K96" s="299"/>
      <c r="L96" s="130"/>
      <c r="M96" s="60"/>
    </row>
    <row r="97" spans="1:13" s="241" customFormat="1" ht="15" customHeight="1">
      <c r="B97" s="780"/>
      <c r="C97" s="348" t="s">
        <v>413</v>
      </c>
      <c r="D97" s="775"/>
      <c r="E97" s="776"/>
      <c r="F97" s="430">
        <v>0.15</v>
      </c>
      <c r="G97" s="299"/>
      <c r="H97" s="299"/>
      <c r="I97" s="764"/>
      <c r="J97" s="764"/>
      <c r="K97" s="299"/>
      <c r="L97" s="130"/>
      <c r="M97" s="60"/>
    </row>
    <row r="98" spans="1:13" s="241" customFormat="1" ht="15" customHeight="1">
      <c r="B98" s="780"/>
      <c r="C98" s="348" t="s">
        <v>414</v>
      </c>
      <c r="D98" s="775"/>
      <c r="E98" s="776"/>
      <c r="F98" s="430">
        <v>0.16</v>
      </c>
      <c r="G98" s="299"/>
      <c r="H98" s="299"/>
      <c r="I98" s="764"/>
      <c r="J98" s="764"/>
      <c r="K98" s="299"/>
      <c r="L98" s="130"/>
      <c r="M98" s="60"/>
    </row>
    <row r="99" spans="1:13" s="241" customFormat="1" ht="18" customHeight="1">
      <c r="B99" s="780"/>
      <c r="C99" s="349" t="s">
        <v>491</v>
      </c>
      <c r="D99" s="775"/>
      <c r="E99" s="776"/>
      <c r="F99" s="645"/>
      <c r="G99" s="245"/>
      <c r="H99" s="245"/>
      <c r="I99" s="771"/>
      <c r="J99" s="772"/>
      <c r="K99" s="245"/>
      <c r="L99" s="130"/>
      <c r="M99" s="60"/>
    </row>
    <row r="100" spans="1:13" s="241" customFormat="1" ht="15" customHeight="1">
      <c r="B100" s="780"/>
      <c r="C100" s="348" t="s">
        <v>407</v>
      </c>
      <c r="D100" s="775"/>
      <c r="E100" s="776"/>
      <c r="F100" s="430">
        <f>0.09+0.08</f>
        <v>0.16999999999999998</v>
      </c>
      <c r="G100" s="299"/>
      <c r="H100" s="299"/>
      <c r="I100" s="764"/>
      <c r="J100" s="764"/>
      <c r="K100" s="299"/>
      <c r="L100" s="130"/>
      <c r="M100" s="60"/>
    </row>
    <row r="101" spans="1:13" s="241" customFormat="1" ht="15" customHeight="1">
      <c r="A101" s="770" t="s">
        <v>420</v>
      </c>
      <c r="B101" s="780"/>
      <c r="C101" s="348" t="s">
        <v>408</v>
      </c>
      <c r="D101" s="775"/>
      <c r="E101" s="776"/>
      <c r="F101" s="430">
        <f>0.15+0.08</f>
        <v>0.22999999999999998</v>
      </c>
      <c r="G101" s="299"/>
      <c r="H101" s="299"/>
      <c r="I101" s="764"/>
      <c r="J101" s="764"/>
      <c r="K101" s="299"/>
      <c r="L101" s="130"/>
      <c r="M101" s="60"/>
    </row>
    <row r="102" spans="1:13" s="241" customFormat="1" ht="15" customHeight="1">
      <c r="A102" s="770"/>
      <c r="B102" s="780"/>
      <c r="C102" s="348" t="s">
        <v>409</v>
      </c>
      <c r="D102" s="775"/>
      <c r="E102" s="776"/>
      <c r="F102" s="430">
        <f>0.23+0.08</f>
        <v>0.31</v>
      </c>
      <c r="G102" s="299"/>
      <c r="H102" s="299"/>
      <c r="I102" s="764"/>
      <c r="J102" s="764"/>
      <c r="K102" s="299"/>
      <c r="L102" s="130"/>
      <c r="M102" s="60"/>
    </row>
    <row r="103" spans="1:13" s="241" customFormat="1" ht="15" customHeight="1">
      <c r="A103" s="770"/>
      <c r="B103" s="780"/>
      <c r="C103" s="348" t="s">
        <v>410</v>
      </c>
      <c r="D103" s="775"/>
      <c r="E103" s="776"/>
      <c r="F103" s="430">
        <f>0.3+0.08</f>
        <v>0.38</v>
      </c>
      <c r="G103" s="299"/>
      <c r="H103" s="299"/>
      <c r="I103" s="767"/>
      <c r="J103" s="768"/>
      <c r="K103" s="299"/>
      <c r="L103" s="130"/>
      <c r="M103" s="60"/>
    </row>
    <row r="104" spans="1:13" s="241" customFormat="1" ht="15" customHeight="1">
      <c r="A104" s="770"/>
      <c r="B104" s="780"/>
      <c r="C104" s="348" t="s">
        <v>411</v>
      </c>
      <c r="D104" s="775"/>
      <c r="E104" s="776"/>
      <c r="F104" s="430">
        <f>0.37+0.08</f>
        <v>0.45</v>
      </c>
      <c r="G104" s="299"/>
      <c r="H104" s="299"/>
      <c r="I104" s="767"/>
      <c r="J104" s="768"/>
      <c r="K104" s="299"/>
      <c r="L104" s="130"/>
      <c r="M104" s="60"/>
    </row>
    <row r="105" spans="1:13" s="241" customFormat="1" ht="15" customHeight="1">
      <c r="A105" s="770"/>
      <c r="B105" s="780"/>
      <c r="C105" s="348" t="s">
        <v>412</v>
      </c>
      <c r="D105" s="775"/>
      <c r="E105" s="776"/>
      <c r="F105" s="430">
        <f>0.45+0.08</f>
        <v>0.53</v>
      </c>
      <c r="G105" s="299"/>
      <c r="H105" s="299"/>
      <c r="I105" s="767"/>
      <c r="J105" s="768"/>
      <c r="K105" s="299"/>
      <c r="L105" s="130"/>
      <c r="M105" s="60"/>
    </row>
    <row r="106" spans="1:13" s="241" customFormat="1" ht="15" customHeight="1">
      <c r="A106" s="770"/>
      <c r="B106" s="780"/>
      <c r="C106" s="348" t="s">
        <v>413</v>
      </c>
      <c r="D106" s="775"/>
      <c r="E106" s="776"/>
      <c r="F106" s="430">
        <f>0.53+0.08</f>
        <v>0.61</v>
      </c>
      <c r="G106" s="299"/>
      <c r="H106" s="299"/>
      <c r="I106" s="767"/>
      <c r="J106" s="768"/>
      <c r="K106" s="299"/>
      <c r="L106" s="130"/>
      <c r="M106" s="60"/>
    </row>
    <row r="107" spans="1:13" s="241" customFormat="1" ht="15" customHeight="1">
      <c r="A107" s="770"/>
      <c r="B107" s="780"/>
      <c r="C107" s="348" t="s">
        <v>414</v>
      </c>
      <c r="D107" s="775"/>
      <c r="E107" s="776"/>
      <c r="F107" s="430">
        <f>0.6+0.08</f>
        <v>0.67999999999999994</v>
      </c>
      <c r="G107" s="299"/>
      <c r="H107" s="299"/>
      <c r="I107" s="767"/>
      <c r="J107" s="768"/>
      <c r="K107" s="299"/>
      <c r="L107" s="130"/>
      <c r="M107" s="60"/>
    </row>
    <row r="108" spans="1:13" s="241" customFormat="1" ht="18.75" customHeight="1">
      <c r="A108" s="343"/>
      <c r="B108" s="780"/>
      <c r="C108" s="350" t="s">
        <v>487</v>
      </c>
      <c r="D108" s="775"/>
      <c r="E108" s="776"/>
      <c r="F108" s="645"/>
      <c r="G108" s="245"/>
      <c r="H108" s="245"/>
      <c r="I108" s="646"/>
      <c r="J108" s="647"/>
      <c r="K108" s="245"/>
      <c r="L108" s="130"/>
      <c r="M108" s="60"/>
    </row>
    <row r="109" spans="1:13" ht="15" customHeight="1">
      <c r="B109" s="780"/>
      <c r="C109" s="348" t="s">
        <v>341</v>
      </c>
      <c r="D109" s="775"/>
      <c r="E109" s="776"/>
      <c r="F109" s="431">
        <v>0.15</v>
      </c>
      <c r="G109" s="300"/>
      <c r="H109" s="300"/>
      <c r="I109" s="724"/>
      <c r="J109" s="725"/>
      <c r="K109" s="300"/>
    </row>
    <row r="110" spans="1:13" ht="15" customHeight="1">
      <c r="B110" s="780"/>
      <c r="C110" s="348" t="s">
        <v>342</v>
      </c>
      <c r="D110" s="775"/>
      <c r="E110" s="776"/>
      <c r="F110" s="431">
        <v>0.15</v>
      </c>
      <c r="G110" s="300"/>
      <c r="H110" s="300"/>
      <c r="I110" s="724"/>
      <c r="J110" s="725"/>
      <c r="K110" s="300"/>
    </row>
    <row r="111" spans="1:13" ht="15" customHeight="1">
      <c r="B111" s="780"/>
      <c r="C111" s="348" t="s">
        <v>593</v>
      </c>
      <c r="D111" s="775"/>
      <c r="E111" s="776"/>
      <c r="F111" s="431">
        <v>0.1</v>
      </c>
      <c r="G111" s="300"/>
      <c r="H111" s="300"/>
      <c r="I111" s="724"/>
      <c r="J111" s="725"/>
      <c r="K111" s="300"/>
    </row>
    <row r="112" spans="1:13" ht="15" customHeight="1">
      <c r="B112" s="780"/>
      <c r="C112" s="348" t="s">
        <v>343</v>
      </c>
      <c r="D112" s="775"/>
      <c r="E112" s="776"/>
      <c r="F112" s="431">
        <v>0</v>
      </c>
      <c r="G112" s="300"/>
      <c r="H112" s="300"/>
      <c r="I112" s="724"/>
      <c r="J112" s="725"/>
      <c r="K112" s="300"/>
    </row>
    <row r="113" spans="2:13" ht="15" customHeight="1">
      <c r="B113" s="780"/>
      <c r="C113" s="348" t="s">
        <v>348</v>
      </c>
      <c r="D113" s="775"/>
      <c r="E113" s="776"/>
      <c r="F113" s="431">
        <v>0.15</v>
      </c>
      <c r="G113" s="300"/>
      <c r="H113" s="300"/>
      <c r="I113" s="724"/>
      <c r="J113" s="725"/>
      <c r="K113" s="300"/>
    </row>
    <row r="114" spans="2:13" ht="15" customHeight="1">
      <c r="B114" s="780"/>
      <c r="C114" s="348" t="s">
        <v>344</v>
      </c>
      <c r="D114" s="775"/>
      <c r="E114" s="776"/>
      <c r="F114" s="431">
        <v>0.15</v>
      </c>
      <c r="G114" s="300"/>
      <c r="H114" s="300"/>
      <c r="I114" s="724"/>
      <c r="J114" s="725"/>
      <c r="K114" s="300"/>
    </row>
    <row r="115" spans="2:13" ht="15" customHeight="1">
      <c r="B115" s="780"/>
      <c r="C115" s="348" t="s">
        <v>259</v>
      </c>
      <c r="D115" s="775"/>
      <c r="E115" s="776"/>
      <c r="F115" s="431">
        <v>0.1</v>
      </c>
      <c r="G115" s="300"/>
      <c r="H115" s="300"/>
      <c r="I115" s="724"/>
      <c r="J115" s="725"/>
      <c r="K115" s="300"/>
    </row>
    <row r="116" spans="2:13" ht="15" customHeight="1">
      <c r="B116" s="780"/>
      <c r="C116" s="348" t="s">
        <v>308</v>
      </c>
      <c r="D116" s="775"/>
      <c r="E116" s="776"/>
      <c r="F116" s="431">
        <v>0.15</v>
      </c>
      <c r="G116" s="300"/>
      <c r="H116" s="300"/>
      <c r="I116" s="724"/>
      <c r="J116" s="725"/>
      <c r="K116" s="300"/>
    </row>
    <row r="117" spans="2:13" ht="15" customHeight="1">
      <c r="B117" s="780"/>
      <c r="C117" s="348" t="s">
        <v>260</v>
      </c>
      <c r="D117" s="775"/>
      <c r="E117" s="776"/>
      <c r="F117" s="430">
        <v>0</v>
      </c>
      <c r="G117" s="299"/>
      <c r="H117" s="299"/>
      <c r="I117" s="765"/>
      <c r="J117" s="766"/>
      <c r="K117" s="299"/>
      <c r="L117" s="62"/>
      <c r="M117" s="2"/>
    </row>
    <row r="118" spans="2:13" ht="15" customHeight="1">
      <c r="B118" s="780"/>
      <c r="C118" s="348" t="s">
        <v>261</v>
      </c>
      <c r="D118" s="775"/>
      <c r="E118" s="776"/>
      <c r="F118" s="430">
        <v>0.1</v>
      </c>
      <c r="G118" s="299"/>
      <c r="H118" s="299"/>
      <c r="I118" s="765"/>
      <c r="J118" s="766"/>
      <c r="K118" s="299"/>
      <c r="L118" s="62"/>
      <c r="M118" s="2"/>
    </row>
    <row r="119" spans="2:13" ht="18.75" customHeight="1">
      <c r="B119" s="780"/>
      <c r="C119" s="351" t="s">
        <v>488</v>
      </c>
      <c r="D119" s="775"/>
      <c r="E119" s="776"/>
      <c r="F119" s="432"/>
      <c r="G119" s="245"/>
      <c r="H119" s="245"/>
      <c r="I119" s="782"/>
      <c r="J119" s="783"/>
      <c r="K119" s="245"/>
      <c r="L119" s="62"/>
      <c r="M119" s="2"/>
    </row>
    <row r="120" spans="2:13" ht="15" customHeight="1">
      <c r="B120" s="780"/>
      <c r="C120" s="348" t="s">
        <v>450</v>
      </c>
      <c r="D120" s="775"/>
      <c r="E120" s="776"/>
      <c r="F120" s="430">
        <v>1.0049999999999999</v>
      </c>
      <c r="G120" s="299" t="s">
        <v>359</v>
      </c>
      <c r="H120" s="299"/>
      <c r="I120" s="724"/>
      <c r="J120" s="725"/>
      <c r="K120" s="299"/>
    </row>
    <row r="121" spans="2:13" ht="15" customHeight="1">
      <c r="B121" s="780"/>
      <c r="C121" s="348" t="s">
        <v>437</v>
      </c>
      <c r="D121" s="775"/>
      <c r="E121" s="776"/>
      <c r="F121" s="433">
        <v>0.8</v>
      </c>
      <c r="G121" s="299" t="s">
        <v>449</v>
      </c>
      <c r="H121" s="299"/>
      <c r="I121" s="724"/>
      <c r="J121" s="725"/>
      <c r="K121" s="300"/>
    </row>
    <row r="122" spans="2:13" ht="15" customHeight="1">
      <c r="B122" s="780"/>
      <c r="C122" s="348" t="s">
        <v>438</v>
      </c>
      <c r="D122" s="775"/>
      <c r="E122" s="776"/>
      <c r="F122" s="433">
        <v>1.3</v>
      </c>
      <c r="G122" s="299" t="s">
        <v>449</v>
      </c>
      <c r="H122" s="299"/>
      <c r="I122" s="724"/>
      <c r="J122" s="725"/>
      <c r="K122" s="300"/>
    </row>
    <row r="123" spans="2:13" ht="15" customHeight="1">
      <c r="B123" s="780"/>
      <c r="C123" s="348" t="s">
        <v>439</v>
      </c>
      <c r="D123" s="775"/>
      <c r="E123" s="776"/>
      <c r="F123" s="433">
        <v>1.01</v>
      </c>
      <c r="G123" s="299" t="s">
        <v>359</v>
      </c>
      <c r="H123" s="299"/>
      <c r="I123" s="724"/>
      <c r="J123" s="725"/>
      <c r="K123" s="300"/>
    </row>
    <row r="124" spans="2:13" ht="15" customHeight="1">
      <c r="B124" s="780"/>
      <c r="C124" s="348" t="s">
        <v>440</v>
      </c>
      <c r="D124" s="775"/>
      <c r="E124" s="776"/>
      <c r="F124" s="433">
        <v>0</v>
      </c>
      <c r="G124" s="299"/>
      <c r="H124" s="299"/>
      <c r="I124" s="724"/>
      <c r="J124" s="725"/>
      <c r="K124" s="300"/>
    </row>
    <row r="125" spans="2:13" ht="15" customHeight="1">
      <c r="B125" s="780"/>
      <c r="C125" s="348" t="s">
        <v>374</v>
      </c>
      <c r="D125" s="775"/>
      <c r="E125" s="776"/>
      <c r="F125" s="433">
        <f>65/35</f>
        <v>1.8571428571428572</v>
      </c>
      <c r="G125" s="299" t="s">
        <v>415</v>
      </c>
      <c r="H125" s="299"/>
      <c r="I125" s="724"/>
      <c r="J125" s="725"/>
      <c r="K125" s="300"/>
    </row>
    <row r="126" spans="2:13" ht="15" customHeight="1">
      <c r="B126" s="780"/>
      <c r="C126" s="348" t="s">
        <v>453</v>
      </c>
      <c r="D126" s="775"/>
      <c r="E126" s="776"/>
      <c r="F126" s="433">
        <v>0</v>
      </c>
      <c r="G126" s="299"/>
      <c r="H126" s="299"/>
      <c r="I126" s="318"/>
      <c r="J126" s="319"/>
      <c r="K126" s="300"/>
    </row>
    <row r="127" spans="2:13" ht="15" customHeight="1">
      <c r="B127" s="780"/>
      <c r="C127" s="348" t="s">
        <v>373</v>
      </c>
      <c r="D127" s="775"/>
      <c r="E127" s="776"/>
      <c r="F127" s="433">
        <v>1.0049999999999999</v>
      </c>
      <c r="G127" s="299" t="s">
        <v>359</v>
      </c>
      <c r="H127" s="299"/>
      <c r="I127" s="724"/>
      <c r="J127" s="725"/>
      <c r="K127" s="300"/>
    </row>
    <row r="128" spans="2:13" ht="15" customHeight="1">
      <c r="B128" s="780"/>
      <c r="C128" s="348" t="s">
        <v>608</v>
      </c>
      <c r="D128" s="775"/>
      <c r="E128" s="776"/>
      <c r="F128" s="433">
        <v>0.1</v>
      </c>
      <c r="G128" s="299"/>
      <c r="H128" s="299"/>
      <c r="I128" s="438"/>
      <c r="J128" s="439"/>
      <c r="K128" s="300"/>
    </row>
    <row r="129" spans="2:11" ht="15" customHeight="1">
      <c r="B129" s="780"/>
      <c r="C129" s="348" t="s">
        <v>602</v>
      </c>
      <c r="D129" s="775"/>
      <c r="E129" s="776"/>
      <c r="F129" s="433">
        <f>I45+0.03</f>
        <v>0.13500000000000001</v>
      </c>
      <c r="G129" s="299"/>
      <c r="H129" s="299"/>
      <c r="I129" s="428"/>
      <c r="J129" s="429"/>
      <c r="K129" s="300"/>
    </row>
    <row r="130" spans="2:11" ht="16.5" customHeight="1" thickBot="1">
      <c r="B130" s="781"/>
      <c r="C130" s="348" t="s">
        <v>399</v>
      </c>
      <c r="D130" s="777"/>
      <c r="E130" s="778"/>
      <c r="F130" s="430">
        <v>12</v>
      </c>
      <c r="G130" s="299"/>
      <c r="H130" s="299"/>
      <c r="I130" s="764"/>
      <c r="J130" s="764"/>
      <c r="K130" s="299"/>
    </row>
    <row r="131" spans="2:11">
      <c r="B131" s="247"/>
      <c r="C131" s="247"/>
      <c r="D131" s="247"/>
      <c r="E131" s="247"/>
      <c r="F131" s="247"/>
      <c r="G131" s="247"/>
      <c r="H131" s="247"/>
      <c r="I131" s="247"/>
      <c r="J131" s="247"/>
      <c r="K131" s="247"/>
    </row>
    <row r="132" spans="2:11" ht="21" customHeight="1">
      <c r="B132" s="247"/>
      <c r="C132" s="247"/>
      <c r="D132" s="247"/>
      <c r="E132" s="247"/>
      <c r="F132" s="247"/>
      <c r="G132" s="247"/>
      <c r="H132" s="247"/>
      <c r="I132" s="247"/>
      <c r="J132" s="247"/>
      <c r="K132" s="247"/>
    </row>
    <row r="133" spans="2:11" ht="35.25" customHeight="1" thickBot="1">
      <c r="B133" s="648" t="s">
        <v>588</v>
      </c>
      <c r="C133" s="649" t="s">
        <v>589</v>
      </c>
      <c r="D133" s="648" t="s">
        <v>590</v>
      </c>
      <c r="E133" s="650" t="s">
        <v>596</v>
      </c>
      <c r="F133" s="650" t="s">
        <v>595</v>
      </c>
    </row>
    <row r="134" spans="2:11">
      <c r="B134" s="787" t="str">
        <f>C28</f>
        <v>Plant and Machinery</v>
      </c>
      <c r="C134" s="409">
        <v>1</v>
      </c>
      <c r="D134" s="540"/>
      <c r="E134" s="541"/>
      <c r="F134" s="784">
        <f>SUM(E134:E143)</f>
        <v>70000</v>
      </c>
    </row>
    <row r="135" spans="2:11">
      <c r="B135" s="788"/>
      <c r="C135" s="410">
        <v>2</v>
      </c>
      <c r="D135" s="435" t="s">
        <v>938</v>
      </c>
      <c r="E135" s="542">
        <v>50000</v>
      </c>
      <c r="F135" s="785"/>
    </row>
    <row r="136" spans="2:11">
      <c r="B136" s="788"/>
      <c r="C136" s="410">
        <v>3</v>
      </c>
      <c r="D136" s="435" t="s">
        <v>939</v>
      </c>
      <c r="E136" s="542">
        <v>20000</v>
      </c>
      <c r="F136" s="785"/>
      <c r="G136" s="168"/>
    </row>
    <row r="137" spans="2:11">
      <c r="B137" s="788"/>
      <c r="C137" s="410">
        <v>4</v>
      </c>
      <c r="D137" s="435"/>
      <c r="E137" s="542"/>
      <c r="F137" s="785"/>
    </row>
    <row r="138" spans="2:11">
      <c r="B138" s="788"/>
      <c r="C138" s="410">
        <v>5</v>
      </c>
      <c r="D138" s="435"/>
      <c r="E138" s="542"/>
      <c r="F138" s="785"/>
    </row>
    <row r="139" spans="2:11">
      <c r="B139" s="788"/>
      <c r="C139" s="410">
        <v>6</v>
      </c>
      <c r="D139" s="435"/>
      <c r="E139" s="542"/>
      <c r="F139" s="785"/>
    </row>
    <row r="140" spans="2:11">
      <c r="B140" s="788"/>
      <c r="C140" s="410">
        <v>7</v>
      </c>
      <c r="D140" s="435"/>
      <c r="E140" s="542"/>
      <c r="F140" s="785"/>
    </row>
    <row r="141" spans="2:11">
      <c r="B141" s="788"/>
      <c r="C141" s="410">
        <v>8</v>
      </c>
      <c r="D141" s="435"/>
      <c r="E141" s="542"/>
      <c r="F141" s="785"/>
    </row>
    <row r="142" spans="2:11">
      <c r="B142" s="788"/>
      <c r="C142" s="410">
        <v>9</v>
      </c>
      <c r="D142" s="435"/>
      <c r="E142" s="542"/>
      <c r="F142" s="785"/>
    </row>
    <row r="143" spans="2:11" ht="13.8" thickBot="1">
      <c r="B143" s="789"/>
      <c r="C143" s="411">
        <v>10</v>
      </c>
      <c r="D143" s="543"/>
      <c r="E143" s="544"/>
      <c r="F143" s="786"/>
    </row>
    <row r="144" spans="2:11">
      <c r="B144" s="787" t="str">
        <f>C29</f>
        <v>Service Equipment</v>
      </c>
      <c r="C144" s="409">
        <v>1</v>
      </c>
      <c r="D144" s="540"/>
      <c r="E144" s="541"/>
      <c r="F144" s="784">
        <f>SUM(E144:E153)</f>
        <v>0</v>
      </c>
    </row>
    <row r="145" spans="2:6">
      <c r="B145" s="788"/>
      <c r="C145" s="410">
        <v>2</v>
      </c>
      <c r="D145" s="435"/>
      <c r="E145" s="542"/>
      <c r="F145" s="785"/>
    </row>
    <row r="146" spans="2:6">
      <c r="B146" s="788"/>
      <c r="C146" s="410">
        <v>3</v>
      </c>
      <c r="D146" s="435"/>
      <c r="E146" s="542"/>
      <c r="F146" s="785"/>
    </row>
    <row r="147" spans="2:6">
      <c r="B147" s="788"/>
      <c r="C147" s="410">
        <v>4</v>
      </c>
      <c r="D147" s="435"/>
      <c r="E147" s="542"/>
      <c r="F147" s="785"/>
    </row>
    <row r="148" spans="2:6">
      <c r="B148" s="788"/>
      <c r="C148" s="410">
        <v>5</v>
      </c>
      <c r="D148" s="435"/>
      <c r="E148" s="542"/>
      <c r="F148" s="785"/>
    </row>
    <row r="149" spans="2:6">
      <c r="B149" s="788"/>
      <c r="C149" s="410">
        <v>6</v>
      </c>
      <c r="D149" s="435"/>
      <c r="E149" s="542"/>
      <c r="F149" s="785"/>
    </row>
    <row r="150" spans="2:6">
      <c r="B150" s="788"/>
      <c r="C150" s="410">
        <v>7</v>
      </c>
      <c r="D150" s="435"/>
      <c r="E150" s="542"/>
      <c r="F150" s="785"/>
    </row>
    <row r="151" spans="2:6">
      <c r="B151" s="788"/>
      <c r="C151" s="410">
        <v>8</v>
      </c>
      <c r="D151" s="435"/>
      <c r="E151" s="542"/>
      <c r="F151" s="785"/>
    </row>
    <row r="152" spans="2:6">
      <c r="B152" s="788"/>
      <c r="C152" s="410">
        <v>9</v>
      </c>
      <c r="D152" s="435"/>
      <c r="E152" s="542"/>
      <c r="F152" s="785"/>
    </row>
    <row r="153" spans="2:6" ht="13.8" thickBot="1">
      <c r="B153" s="789"/>
      <c r="C153" s="411">
        <v>10</v>
      </c>
      <c r="D153" s="543"/>
      <c r="E153" s="544"/>
      <c r="F153" s="786"/>
    </row>
    <row r="154" spans="2:6">
      <c r="B154" s="787" t="str">
        <f>C30</f>
        <v>Shed Construction and Civil works</v>
      </c>
      <c r="C154" s="409">
        <v>1</v>
      </c>
      <c r="D154" s="540"/>
      <c r="E154" s="541"/>
      <c r="F154" s="784">
        <f>SUM(E154:E163)</f>
        <v>0</v>
      </c>
    </row>
    <row r="155" spans="2:6">
      <c r="B155" s="788"/>
      <c r="C155" s="410">
        <v>2</v>
      </c>
      <c r="D155" s="435"/>
      <c r="E155" s="542"/>
      <c r="F155" s="785"/>
    </row>
    <row r="156" spans="2:6">
      <c r="B156" s="788"/>
      <c r="C156" s="410">
        <v>3</v>
      </c>
      <c r="D156" s="435"/>
      <c r="E156" s="542"/>
      <c r="F156" s="785"/>
    </row>
    <row r="157" spans="2:6">
      <c r="B157" s="788"/>
      <c r="C157" s="410">
        <v>4</v>
      </c>
      <c r="D157" s="435"/>
      <c r="E157" s="542"/>
      <c r="F157" s="785"/>
    </row>
    <row r="158" spans="2:6">
      <c r="B158" s="788"/>
      <c r="C158" s="410">
        <v>5</v>
      </c>
      <c r="D158" s="435"/>
      <c r="E158" s="542"/>
      <c r="F158" s="785"/>
    </row>
    <row r="159" spans="2:6">
      <c r="B159" s="788"/>
      <c r="C159" s="410">
        <v>6</v>
      </c>
      <c r="D159" s="435"/>
      <c r="E159" s="542"/>
      <c r="F159" s="785"/>
    </row>
    <row r="160" spans="2:6">
      <c r="B160" s="788"/>
      <c r="C160" s="410">
        <v>7</v>
      </c>
      <c r="D160" s="435"/>
      <c r="E160" s="542"/>
      <c r="F160" s="785"/>
    </row>
    <row r="161" spans="2:6">
      <c r="B161" s="788"/>
      <c r="C161" s="410">
        <v>8</v>
      </c>
      <c r="D161" s="435"/>
      <c r="E161" s="542"/>
      <c r="F161" s="785"/>
    </row>
    <row r="162" spans="2:6">
      <c r="B162" s="788"/>
      <c r="C162" s="410">
        <v>9</v>
      </c>
      <c r="D162" s="435"/>
      <c r="E162" s="542"/>
      <c r="F162" s="785"/>
    </row>
    <row r="163" spans="2:6" ht="13.8" thickBot="1">
      <c r="B163" s="789"/>
      <c r="C163" s="411">
        <v>10</v>
      </c>
      <c r="D163" s="543"/>
      <c r="E163" s="544"/>
      <c r="F163" s="786"/>
    </row>
    <row r="164" spans="2:6">
      <c r="B164" s="796" t="str">
        <f>C31</f>
        <v>Land</v>
      </c>
      <c r="C164" s="413">
        <v>1</v>
      </c>
      <c r="D164" s="547"/>
      <c r="E164" s="548"/>
      <c r="F164" s="799">
        <f>SUM(E164:E166)</f>
        <v>0</v>
      </c>
    </row>
    <row r="165" spans="2:6">
      <c r="B165" s="797"/>
      <c r="C165" s="414">
        <v>2</v>
      </c>
      <c r="D165" s="549"/>
      <c r="E165" s="550"/>
      <c r="F165" s="800"/>
    </row>
    <row r="166" spans="2:6" ht="13.8" thickBot="1">
      <c r="B166" s="798"/>
      <c r="C166" s="415">
        <v>3</v>
      </c>
      <c r="D166" s="551"/>
      <c r="E166" s="552"/>
      <c r="F166" s="801"/>
    </row>
    <row r="167" spans="2:6">
      <c r="B167" s="787" t="str">
        <f>C32</f>
        <v xml:space="preserve">Electrical Items &amp; fittings                    </v>
      </c>
      <c r="C167" s="416">
        <v>1</v>
      </c>
      <c r="D167" s="553"/>
      <c r="E167" s="554"/>
      <c r="F167" s="784">
        <f>SUM(E167:E176)</f>
        <v>0</v>
      </c>
    </row>
    <row r="168" spans="2:6">
      <c r="B168" s="788"/>
      <c r="C168" s="410">
        <v>2</v>
      </c>
      <c r="D168" s="435"/>
      <c r="E168" s="542"/>
      <c r="F168" s="785"/>
    </row>
    <row r="169" spans="2:6">
      <c r="B169" s="788"/>
      <c r="C169" s="410">
        <v>3</v>
      </c>
      <c r="D169" s="435"/>
      <c r="E169" s="542"/>
      <c r="F169" s="785"/>
    </row>
    <row r="170" spans="2:6">
      <c r="B170" s="788"/>
      <c r="C170" s="410">
        <v>4</v>
      </c>
      <c r="D170" s="435"/>
      <c r="E170" s="542"/>
      <c r="F170" s="785"/>
    </row>
    <row r="171" spans="2:6">
      <c r="B171" s="788"/>
      <c r="C171" s="410">
        <v>5</v>
      </c>
      <c r="D171" s="435"/>
      <c r="E171" s="542"/>
      <c r="F171" s="785"/>
    </row>
    <row r="172" spans="2:6">
      <c r="B172" s="788"/>
      <c r="C172" s="410">
        <v>6</v>
      </c>
      <c r="D172" s="435"/>
      <c r="E172" s="542"/>
      <c r="F172" s="785"/>
    </row>
    <row r="173" spans="2:6">
      <c r="B173" s="788"/>
      <c r="C173" s="410">
        <v>7</v>
      </c>
      <c r="D173" s="435"/>
      <c r="E173" s="542"/>
      <c r="F173" s="785"/>
    </row>
    <row r="174" spans="2:6">
      <c r="B174" s="788"/>
      <c r="C174" s="410">
        <v>8</v>
      </c>
      <c r="D174" s="435"/>
      <c r="E174" s="542"/>
      <c r="F174" s="785"/>
    </row>
    <row r="175" spans="2:6">
      <c r="B175" s="788"/>
      <c r="C175" s="410">
        <v>9</v>
      </c>
      <c r="D175" s="435"/>
      <c r="E175" s="542"/>
      <c r="F175" s="785"/>
    </row>
    <row r="176" spans="2:6" ht="13.8" thickBot="1">
      <c r="B176" s="789"/>
      <c r="C176" s="412">
        <v>10</v>
      </c>
      <c r="D176" s="545"/>
      <c r="E176" s="546"/>
      <c r="F176" s="786"/>
    </row>
    <row r="177" spans="2:6">
      <c r="B177" s="787" t="str">
        <f>C33</f>
        <v>Electronic Items</v>
      </c>
      <c r="C177" s="417">
        <v>1</v>
      </c>
      <c r="D177" s="540"/>
      <c r="E177" s="555"/>
      <c r="F177" s="790">
        <f>SUM(E177:E186)</f>
        <v>0</v>
      </c>
    </row>
    <row r="178" spans="2:6">
      <c r="B178" s="788"/>
      <c r="C178" s="418">
        <v>2</v>
      </c>
      <c r="D178" s="435"/>
      <c r="E178" s="556"/>
      <c r="F178" s="791"/>
    </row>
    <row r="179" spans="2:6">
      <c r="B179" s="788"/>
      <c r="C179" s="418">
        <v>3</v>
      </c>
      <c r="D179" s="435"/>
      <c r="E179" s="556"/>
      <c r="F179" s="791"/>
    </row>
    <row r="180" spans="2:6">
      <c r="B180" s="788"/>
      <c r="C180" s="418">
        <v>4</v>
      </c>
      <c r="D180" s="435"/>
      <c r="E180" s="556"/>
      <c r="F180" s="791"/>
    </row>
    <row r="181" spans="2:6">
      <c r="B181" s="788"/>
      <c r="C181" s="418">
        <v>5</v>
      </c>
      <c r="D181" s="435"/>
      <c r="E181" s="556"/>
      <c r="F181" s="791"/>
    </row>
    <row r="182" spans="2:6">
      <c r="B182" s="788"/>
      <c r="C182" s="418">
        <v>6</v>
      </c>
      <c r="D182" s="435"/>
      <c r="E182" s="556"/>
      <c r="F182" s="791"/>
    </row>
    <row r="183" spans="2:6">
      <c r="B183" s="788"/>
      <c r="C183" s="418">
        <v>7</v>
      </c>
      <c r="D183" s="435"/>
      <c r="E183" s="556"/>
      <c r="F183" s="791"/>
    </row>
    <row r="184" spans="2:6">
      <c r="B184" s="788"/>
      <c r="C184" s="418">
        <v>8</v>
      </c>
      <c r="D184" s="435"/>
      <c r="E184" s="556"/>
      <c r="F184" s="791"/>
    </row>
    <row r="185" spans="2:6">
      <c r="B185" s="788"/>
      <c r="C185" s="418">
        <v>9</v>
      </c>
      <c r="D185" s="435"/>
      <c r="E185" s="556"/>
      <c r="F185" s="791"/>
    </row>
    <row r="186" spans="2:6" ht="13.8" thickBot="1">
      <c r="B186" s="789"/>
      <c r="C186" s="419">
        <v>10</v>
      </c>
      <c r="D186" s="543"/>
      <c r="E186" s="557"/>
      <c r="F186" s="792"/>
    </row>
    <row r="187" spans="2:6">
      <c r="B187" s="788" t="str">
        <f>C34</f>
        <v>Furniture and Fittings</v>
      </c>
      <c r="C187" s="417">
        <v>1</v>
      </c>
      <c r="D187" s="540"/>
      <c r="E187" s="541"/>
      <c r="F187" s="793">
        <f>SUM(E187:E196)</f>
        <v>5000</v>
      </c>
    </row>
    <row r="188" spans="2:6">
      <c r="B188" s="788"/>
      <c r="C188" s="418">
        <v>2</v>
      </c>
      <c r="D188" s="435" t="s">
        <v>940</v>
      </c>
      <c r="E188" s="542">
        <v>5000</v>
      </c>
      <c r="F188" s="794"/>
    </row>
    <row r="189" spans="2:6">
      <c r="B189" s="788"/>
      <c r="C189" s="418">
        <v>3</v>
      </c>
      <c r="D189" s="435"/>
      <c r="E189" s="542"/>
      <c r="F189" s="794"/>
    </row>
    <row r="190" spans="2:6">
      <c r="B190" s="788"/>
      <c r="C190" s="418">
        <v>4</v>
      </c>
      <c r="D190" s="435"/>
      <c r="E190" s="542"/>
      <c r="F190" s="794"/>
    </row>
    <row r="191" spans="2:6">
      <c r="B191" s="788"/>
      <c r="C191" s="418">
        <v>5</v>
      </c>
      <c r="D191" s="435"/>
      <c r="E191" s="542"/>
      <c r="F191" s="794"/>
    </row>
    <row r="192" spans="2:6">
      <c r="B192" s="788"/>
      <c r="C192" s="418">
        <v>6</v>
      </c>
      <c r="D192" s="435"/>
      <c r="E192" s="542"/>
      <c r="F192" s="794"/>
    </row>
    <row r="193" spans="2:6">
      <c r="B193" s="788"/>
      <c r="C193" s="418">
        <v>7</v>
      </c>
      <c r="D193" s="435"/>
      <c r="E193" s="542"/>
      <c r="F193" s="794"/>
    </row>
    <row r="194" spans="2:6">
      <c r="B194" s="788"/>
      <c r="C194" s="418">
        <v>8</v>
      </c>
      <c r="D194" s="435"/>
      <c r="E194" s="542"/>
      <c r="F194" s="794"/>
    </row>
    <row r="195" spans="2:6">
      <c r="B195" s="788"/>
      <c r="C195" s="418">
        <v>9</v>
      </c>
      <c r="D195" s="435"/>
      <c r="E195" s="542"/>
      <c r="F195" s="794"/>
    </row>
    <row r="196" spans="2:6" ht="13.8" thickBot="1">
      <c r="B196" s="789"/>
      <c r="C196" s="419">
        <v>10</v>
      </c>
      <c r="D196" s="543"/>
      <c r="E196" s="544"/>
      <c r="F196" s="795"/>
    </row>
    <row r="197" spans="2:6">
      <c r="B197" s="787" t="str">
        <f>C35</f>
        <v>Vehicles</v>
      </c>
      <c r="C197" s="416">
        <v>1</v>
      </c>
      <c r="D197" s="553"/>
      <c r="E197" s="554"/>
      <c r="F197" s="793">
        <f>SUM(E197:E205)</f>
        <v>0</v>
      </c>
    </row>
    <row r="198" spans="2:6">
      <c r="B198" s="788"/>
      <c r="C198" s="410">
        <v>2</v>
      </c>
      <c r="D198" s="435"/>
      <c r="E198" s="542"/>
      <c r="F198" s="794"/>
    </row>
    <row r="199" spans="2:6">
      <c r="B199" s="788"/>
      <c r="C199" s="410">
        <v>3</v>
      </c>
      <c r="D199" s="435"/>
      <c r="E199" s="542"/>
      <c r="F199" s="794"/>
    </row>
    <row r="200" spans="2:6">
      <c r="B200" s="788"/>
      <c r="C200" s="410">
        <v>4</v>
      </c>
      <c r="D200" s="435"/>
      <c r="E200" s="542"/>
      <c r="F200" s="794"/>
    </row>
    <row r="201" spans="2:6">
      <c r="B201" s="788"/>
      <c r="C201" s="410">
        <v>5</v>
      </c>
      <c r="D201" s="435"/>
      <c r="E201" s="542"/>
      <c r="F201" s="794"/>
    </row>
    <row r="202" spans="2:6">
      <c r="B202" s="788"/>
      <c r="C202" s="410">
        <v>6</v>
      </c>
      <c r="D202" s="435"/>
      <c r="E202" s="542"/>
      <c r="F202" s="794"/>
    </row>
    <row r="203" spans="2:6">
      <c r="B203" s="788"/>
      <c r="C203" s="410">
        <v>7</v>
      </c>
      <c r="D203" s="435"/>
      <c r="E203" s="542"/>
      <c r="F203" s="794"/>
    </row>
    <row r="204" spans="2:6">
      <c r="B204" s="788"/>
      <c r="C204" s="410">
        <v>8</v>
      </c>
      <c r="D204" s="435"/>
      <c r="E204" s="542"/>
      <c r="F204" s="794"/>
    </row>
    <row r="205" spans="2:6" ht="13.8" thickBot="1">
      <c r="B205" s="788"/>
      <c r="C205" s="412">
        <v>9</v>
      </c>
      <c r="D205" s="545"/>
      <c r="E205" s="546"/>
      <c r="F205" s="795"/>
    </row>
    <row r="206" spans="2:6">
      <c r="B206" s="796" t="str">
        <f>C36</f>
        <v>Live stock</v>
      </c>
      <c r="C206" s="413">
        <v>1</v>
      </c>
      <c r="D206" s="547"/>
      <c r="E206" s="558"/>
      <c r="F206" s="793">
        <f>SUM(E206:E215)</f>
        <v>0</v>
      </c>
    </row>
    <row r="207" spans="2:6">
      <c r="B207" s="797"/>
      <c r="C207" s="414">
        <v>2</v>
      </c>
      <c r="D207" s="549"/>
      <c r="E207" s="559"/>
      <c r="F207" s="794"/>
    </row>
    <row r="208" spans="2:6">
      <c r="B208" s="797"/>
      <c r="C208" s="414">
        <v>3</v>
      </c>
      <c r="D208" s="549"/>
      <c r="E208" s="559"/>
      <c r="F208" s="794"/>
    </row>
    <row r="209" spans="2:6">
      <c r="B209" s="797"/>
      <c r="C209" s="414">
        <v>4</v>
      </c>
      <c r="D209" s="549"/>
      <c r="E209" s="559"/>
      <c r="F209" s="794"/>
    </row>
    <row r="210" spans="2:6">
      <c r="B210" s="797"/>
      <c r="C210" s="414">
        <v>5</v>
      </c>
      <c r="D210" s="549"/>
      <c r="E210" s="559"/>
      <c r="F210" s="794"/>
    </row>
    <row r="211" spans="2:6">
      <c r="B211" s="797"/>
      <c r="C211" s="414">
        <v>6</v>
      </c>
      <c r="D211" s="549"/>
      <c r="E211" s="559"/>
      <c r="F211" s="794"/>
    </row>
    <row r="212" spans="2:6">
      <c r="B212" s="797"/>
      <c r="C212" s="414">
        <v>7</v>
      </c>
      <c r="D212" s="549"/>
      <c r="E212" s="559"/>
      <c r="F212" s="794"/>
    </row>
    <row r="213" spans="2:6">
      <c r="B213" s="797"/>
      <c r="C213" s="414">
        <v>8</v>
      </c>
      <c r="D213" s="549"/>
      <c r="E213" s="559"/>
      <c r="F213" s="794"/>
    </row>
    <row r="214" spans="2:6">
      <c r="B214" s="797"/>
      <c r="C214" s="414">
        <v>9</v>
      </c>
      <c r="D214" s="549"/>
      <c r="E214" s="559"/>
      <c r="F214" s="794"/>
    </row>
    <row r="215" spans="2:6" ht="13.8" thickBot="1">
      <c r="B215" s="798"/>
      <c r="C215" s="415">
        <v>10</v>
      </c>
      <c r="D215" s="551"/>
      <c r="E215" s="560"/>
      <c r="F215" s="795"/>
    </row>
    <row r="216" spans="2:6">
      <c r="B216" s="787" t="str">
        <f>C37</f>
        <v>Other Assets</v>
      </c>
      <c r="C216" s="600">
        <v>1</v>
      </c>
      <c r="D216" s="547"/>
      <c r="E216" s="603"/>
      <c r="F216" s="784">
        <f>SUM(E216:E225)</f>
        <v>0</v>
      </c>
    </row>
    <row r="217" spans="2:6">
      <c r="B217" s="788"/>
      <c r="C217" s="601">
        <v>2</v>
      </c>
      <c r="D217" s="549"/>
      <c r="E217" s="604"/>
      <c r="F217" s="785"/>
    </row>
    <row r="218" spans="2:6">
      <c r="B218" s="788"/>
      <c r="C218" s="601">
        <v>3</v>
      </c>
      <c r="D218" s="549"/>
      <c r="E218" s="604"/>
      <c r="F218" s="785"/>
    </row>
    <row r="219" spans="2:6">
      <c r="B219" s="788"/>
      <c r="C219" s="601">
        <v>4</v>
      </c>
      <c r="D219" s="549"/>
      <c r="E219" s="604"/>
      <c r="F219" s="785"/>
    </row>
    <row r="220" spans="2:6">
      <c r="B220" s="788"/>
      <c r="C220" s="601">
        <v>5</v>
      </c>
      <c r="D220" s="549"/>
      <c r="E220" s="604"/>
      <c r="F220" s="785"/>
    </row>
    <row r="221" spans="2:6">
      <c r="B221" s="788"/>
      <c r="C221" s="601">
        <v>6</v>
      </c>
      <c r="D221" s="549"/>
      <c r="E221" s="604"/>
      <c r="F221" s="785"/>
    </row>
    <row r="222" spans="2:6">
      <c r="B222" s="788"/>
      <c r="C222" s="601">
        <v>7</v>
      </c>
      <c r="D222" s="549"/>
      <c r="E222" s="604"/>
      <c r="F222" s="785"/>
    </row>
    <row r="223" spans="2:6">
      <c r="B223" s="788"/>
      <c r="C223" s="601">
        <v>8</v>
      </c>
      <c r="D223" s="549"/>
      <c r="E223" s="604"/>
      <c r="F223" s="785"/>
    </row>
    <row r="224" spans="2:6">
      <c r="B224" s="788"/>
      <c r="C224" s="601">
        <v>9</v>
      </c>
      <c r="D224" s="549"/>
      <c r="E224" s="604"/>
      <c r="F224" s="785"/>
    </row>
    <row r="225" spans="2:6" ht="13.8" thickBot="1">
      <c r="B225" s="788"/>
      <c r="C225" s="602">
        <v>10</v>
      </c>
      <c r="D225" s="551"/>
      <c r="E225" s="559"/>
      <c r="F225" s="808"/>
    </row>
    <row r="226" spans="2:6">
      <c r="B226" s="802" t="s">
        <v>807</v>
      </c>
      <c r="C226" s="413">
        <v>1</v>
      </c>
      <c r="D226" s="605"/>
      <c r="E226" s="605"/>
      <c r="F226" s="805">
        <f>SUM(E226:E234)</f>
        <v>0</v>
      </c>
    </row>
    <row r="227" spans="2:6">
      <c r="B227" s="803"/>
      <c r="C227" s="414">
        <v>2</v>
      </c>
      <c r="D227" s="606"/>
      <c r="E227" s="606"/>
      <c r="F227" s="806"/>
    </row>
    <row r="228" spans="2:6">
      <c r="B228" s="803"/>
      <c r="C228" s="414">
        <v>3</v>
      </c>
      <c r="D228" s="606"/>
      <c r="E228" s="606"/>
      <c r="F228" s="806"/>
    </row>
    <row r="229" spans="2:6">
      <c r="B229" s="803"/>
      <c r="C229" s="414">
        <v>4</v>
      </c>
      <c r="D229" s="606"/>
      <c r="E229" s="606"/>
      <c r="F229" s="806"/>
    </row>
    <row r="230" spans="2:6">
      <c r="B230" s="803"/>
      <c r="C230" s="414">
        <v>5</v>
      </c>
      <c r="D230" s="606"/>
      <c r="E230" s="606"/>
      <c r="F230" s="806"/>
    </row>
    <row r="231" spans="2:6">
      <c r="B231" s="803"/>
      <c r="C231" s="414">
        <v>6</v>
      </c>
      <c r="D231" s="606"/>
      <c r="E231" s="606"/>
      <c r="F231" s="806"/>
    </row>
    <row r="232" spans="2:6">
      <c r="B232" s="803"/>
      <c r="C232" s="414">
        <v>7</v>
      </c>
      <c r="D232" s="606"/>
      <c r="E232" s="606"/>
      <c r="F232" s="806"/>
    </row>
    <row r="233" spans="2:6">
      <c r="B233" s="803"/>
      <c r="C233" s="414">
        <v>8</v>
      </c>
      <c r="D233" s="606"/>
      <c r="E233" s="606"/>
      <c r="F233" s="806"/>
    </row>
    <row r="234" spans="2:6" ht="13.8" thickBot="1">
      <c r="B234" s="804"/>
      <c r="C234" s="415">
        <v>9</v>
      </c>
      <c r="D234" s="607"/>
      <c r="E234" s="607"/>
      <c r="F234" s="807"/>
    </row>
    <row r="235" spans="2:6">
      <c r="B235" s="802" t="str">
        <f>C39</f>
        <v>Non Current Assets (Deposits , Advances etc)</v>
      </c>
      <c r="C235" s="413">
        <v>1</v>
      </c>
      <c r="D235" s="605"/>
      <c r="E235" s="605"/>
      <c r="F235" s="805">
        <f>SUM(E235:E243)</f>
        <v>0</v>
      </c>
    </row>
    <row r="236" spans="2:6">
      <c r="B236" s="803"/>
      <c r="C236" s="414">
        <v>2</v>
      </c>
      <c r="D236" s="606"/>
      <c r="E236" s="606"/>
      <c r="F236" s="806"/>
    </row>
    <row r="237" spans="2:6">
      <c r="B237" s="803"/>
      <c r="C237" s="414">
        <v>3</v>
      </c>
      <c r="D237" s="606"/>
      <c r="E237" s="606"/>
      <c r="F237" s="806"/>
    </row>
    <row r="238" spans="2:6">
      <c r="B238" s="803"/>
      <c r="C238" s="414">
        <v>4</v>
      </c>
      <c r="D238" s="606"/>
      <c r="E238" s="606"/>
      <c r="F238" s="806"/>
    </row>
    <row r="239" spans="2:6">
      <c r="B239" s="803"/>
      <c r="C239" s="414">
        <v>5</v>
      </c>
      <c r="D239" s="606"/>
      <c r="E239" s="606"/>
      <c r="F239" s="806"/>
    </row>
    <row r="240" spans="2:6">
      <c r="B240" s="803"/>
      <c r="C240" s="414">
        <v>6</v>
      </c>
      <c r="D240" s="606"/>
      <c r="E240" s="606"/>
      <c r="F240" s="806"/>
    </row>
    <row r="241" spans="2:6">
      <c r="B241" s="803"/>
      <c r="C241" s="414">
        <v>7</v>
      </c>
      <c r="D241" s="606"/>
      <c r="E241" s="606"/>
      <c r="F241" s="806"/>
    </row>
    <row r="242" spans="2:6">
      <c r="B242" s="803"/>
      <c r="C242" s="414">
        <v>8</v>
      </c>
      <c r="D242" s="606"/>
      <c r="E242" s="606"/>
      <c r="F242" s="806"/>
    </row>
    <row r="243" spans="2:6" ht="13.8" thickBot="1">
      <c r="B243" s="804"/>
      <c r="C243" s="415">
        <v>9</v>
      </c>
      <c r="D243" s="607"/>
      <c r="E243" s="607"/>
      <c r="F243" s="807"/>
    </row>
    <row r="247" spans="2:6" ht="24" thickBot="1">
      <c r="B247" s="626" t="s">
        <v>812</v>
      </c>
      <c r="E247" s="627"/>
      <c r="F247" s="628" t="s">
        <v>813</v>
      </c>
    </row>
    <row r="248" spans="2:6" ht="27.75" customHeight="1" thickBot="1">
      <c r="B248" s="629" t="s">
        <v>814</v>
      </c>
      <c r="C248" s="629" t="s">
        <v>589</v>
      </c>
      <c r="D248" s="629" t="s">
        <v>815</v>
      </c>
      <c r="E248" s="629" t="s">
        <v>816</v>
      </c>
      <c r="F248" s="630" t="s">
        <v>817</v>
      </c>
    </row>
    <row r="249" spans="2:6">
      <c r="B249" s="802" t="s">
        <v>818</v>
      </c>
      <c r="C249" s="631">
        <v>1</v>
      </c>
      <c r="D249" s="632" t="s">
        <v>819</v>
      </c>
      <c r="E249" s="633"/>
      <c r="F249" s="790">
        <f>SUM(E249:E269)</f>
        <v>0</v>
      </c>
    </row>
    <row r="250" spans="2:6">
      <c r="B250" s="803"/>
      <c r="C250" s="634">
        <v>2</v>
      </c>
      <c r="D250" s="635" t="s">
        <v>820</v>
      </c>
      <c r="E250" s="636"/>
      <c r="F250" s="791"/>
    </row>
    <row r="251" spans="2:6">
      <c r="B251" s="803"/>
      <c r="C251" s="634">
        <v>3</v>
      </c>
      <c r="D251" s="635" t="s">
        <v>821</v>
      </c>
      <c r="E251" s="636"/>
      <c r="F251" s="791"/>
    </row>
    <row r="252" spans="2:6">
      <c r="B252" s="803"/>
      <c r="C252" s="634">
        <v>4</v>
      </c>
      <c r="D252" s="635" t="s">
        <v>822</v>
      </c>
      <c r="E252" s="636"/>
      <c r="F252" s="791"/>
    </row>
    <row r="253" spans="2:6">
      <c r="B253" s="803"/>
      <c r="C253" s="634">
        <v>5</v>
      </c>
      <c r="D253" s="635" t="s">
        <v>823</v>
      </c>
      <c r="E253" s="636"/>
      <c r="F253" s="791"/>
    </row>
    <row r="254" spans="2:6">
      <c r="B254" s="803"/>
      <c r="C254" s="634">
        <v>6</v>
      </c>
      <c r="D254" s="635" t="s">
        <v>824</v>
      </c>
      <c r="E254" s="636"/>
      <c r="F254" s="791"/>
    </row>
    <row r="255" spans="2:6">
      <c r="B255" s="803"/>
      <c r="C255" s="634">
        <v>7</v>
      </c>
      <c r="D255" s="635" t="s">
        <v>902</v>
      </c>
      <c r="E255" s="636"/>
      <c r="F255" s="791"/>
    </row>
    <row r="256" spans="2:6">
      <c r="B256" s="803"/>
      <c r="C256" s="634">
        <v>8</v>
      </c>
      <c r="D256" s="635" t="s">
        <v>825</v>
      </c>
      <c r="E256" s="636"/>
      <c r="F256" s="791"/>
    </row>
    <row r="257" spans="2:6">
      <c r="B257" s="803"/>
      <c r="C257" s="634">
        <v>9</v>
      </c>
      <c r="D257" s="635" t="s">
        <v>826</v>
      </c>
      <c r="E257" s="636"/>
      <c r="F257" s="791"/>
    </row>
    <row r="258" spans="2:6">
      <c r="B258" s="803"/>
      <c r="C258" s="634">
        <v>10</v>
      </c>
      <c r="D258" s="635" t="s">
        <v>827</v>
      </c>
      <c r="E258" s="636"/>
      <c r="F258" s="791"/>
    </row>
    <row r="259" spans="2:6">
      <c r="B259" s="803"/>
      <c r="C259" s="634">
        <v>11</v>
      </c>
      <c r="D259" s="635" t="s">
        <v>828</v>
      </c>
      <c r="E259" s="636"/>
      <c r="F259" s="791"/>
    </row>
    <row r="260" spans="2:6">
      <c r="B260" s="803"/>
      <c r="C260" s="634">
        <v>12</v>
      </c>
      <c r="D260" s="635" t="s">
        <v>829</v>
      </c>
      <c r="E260" s="636"/>
      <c r="F260" s="791"/>
    </row>
    <row r="261" spans="2:6">
      <c r="B261" s="803"/>
      <c r="C261" s="634">
        <v>13</v>
      </c>
      <c r="D261" s="635" t="s">
        <v>830</v>
      </c>
      <c r="E261" s="636"/>
      <c r="F261" s="791"/>
    </row>
    <row r="262" spans="2:6">
      <c r="B262" s="803"/>
      <c r="C262" s="634">
        <v>14</v>
      </c>
      <c r="D262" s="635" t="s">
        <v>831</v>
      </c>
      <c r="E262" s="636"/>
      <c r="F262" s="791"/>
    </row>
    <row r="263" spans="2:6">
      <c r="B263" s="803"/>
      <c r="C263" s="634">
        <v>15</v>
      </c>
      <c r="D263" s="635" t="s">
        <v>832</v>
      </c>
      <c r="E263" s="636"/>
      <c r="F263" s="791"/>
    </row>
    <row r="264" spans="2:6">
      <c r="B264" s="803"/>
      <c r="C264" s="634">
        <v>16</v>
      </c>
      <c r="D264" s="635" t="s">
        <v>833</v>
      </c>
      <c r="E264" s="636"/>
      <c r="F264" s="791"/>
    </row>
    <row r="265" spans="2:6">
      <c r="B265" s="803"/>
      <c r="C265" s="634">
        <v>17</v>
      </c>
      <c r="D265" s="635" t="s">
        <v>834</v>
      </c>
      <c r="E265" s="636"/>
      <c r="F265" s="791"/>
    </row>
    <row r="266" spans="2:6">
      <c r="B266" s="803"/>
      <c r="C266" s="634">
        <v>18</v>
      </c>
      <c r="D266" s="635" t="s">
        <v>835</v>
      </c>
      <c r="E266" s="636"/>
      <c r="F266" s="791"/>
    </row>
    <row r="267" spans="2:6">
      <c r="B267" s="803"/>
      <c r="C267" s="634">
        <v>19</v>
      </c>
      <c r="D267" s="635" t="s">
        <v>836</v>
      </c>
      <c r="E267" s="636"/>
      <c r="F267" s="791"/>
    </row>
    <row r="268" spans="2:6">
      <c r="B268" s="809"/>
      <c r="C268" s="637">
        <v>20</v>
      </c>
      <c r="D268" s="635" t="s">
        <v>837</v>
      </c>
      <c r="E268" s="638"/>
      <c r="F268" s="791"/>
    </row>
    <row r="269" spans="2:6" ht="13.8" thickBot="1">
      <c r="B269" s="804"/>
      <c r="C269" s="639">
        <v>21</v>
      </c>
      <c r="D269" s="640" t="s">
        <v>838</v>
      </c>
      <c r="E269" s="638"/>
      <c r="F269" s="792"/>
    </row>
    <row r="270" spans="2:6">
      <c r="B270" s="787" t="s">
        <v>839</v>
      </c>
      <c r="C270" s="631">
        <v>1</v>
      </c>
      <c r="D270" s="632" t="s">
        <v>840</v>
      </c>
      <c r="E270" s="633">
        <f>I24*J24+I25*J25+I26*J26</f>
        <v>131000</v>
      </c>
      <c r="F270" s="790">
        <f>SUM(E270:E277)</f>
        <v>131000</v>
      </c>
    </row>
    <row r="271" spans="2:6">
      <c r="B271" s="788"/>
      <c r="C271" s="634">
        <v>2</v>
      </c>
      <c r="D271" s="635" t="s">
        <v>841</v>
      </c>
      <c r="E271" s="636"/>
      <c r="F271" s="791"/>
    </row>
    <row r="272" spans="2:6">
      <c r="B272" s="788"/>
      <c r="C272" s="634">
        <v>3</v>
      </c>
      <c r="D272" s="635" t="s">
        <v>842</v>
      </c>
      <c r="E272" s="636"/>
      <c r="F272" s="791"/>
    </row>
    <row r="273" spans="2:6">
      <c r="B273" s="788"/>
      <c r="C273" s="634">
        <v>4</v>
      </c>
      <c r="D273" s="635" t="s">
        <v>843</v>
      </c>
      <c r="E273" s="636"/>
      <c r="F273" s="791"/>
    </row>
    <row r="274" spans="2:6">
      <c r="B274" s="788"/>
      <c r="C274" s="634">
        <v>5</v>
      </c>
      <c r="D274" s="635" t="s">
        <v>844</v>
      </c>
      <c r="E274" s="636"/>
      <c r="F274" s="791"/>
    </row>
    <row r="275" spans="2:6">
      <c r="B275" s="788"/>
      <c r="C275" s="634">
        <v>6</v>
      </c>
      <c r="D275" s="635" t="s">
        <v>845</v>
      </c>
      <c r="E275" s="636"/>
      <c r="F275" s="791"/>
    </row>
    <row r="276" spans="2:6">
      <c r="B276" s="788"/>
      <c r="C276" s="637">
        <v>7</v>
      </c>
      <c r="D276" s="635" t="s">
        <v>846</v>
      </c>
      <c r="E276" s="638"/>
      <c r="F276" s="791"/>
    </row>
    <row r="277" spans="2:6" ht="13.8" thickBot="1">
      <c r="B277" s="789"/>
      <c r="C277" s="639">
        <v>8</v>
      </c>
      <c r="D277" s="640" t="s">
        <v>847</v>
      </c>
      <c r="E277" s="641"/>
      <c r="F277" s="792"/>
    </row>
    <row r="278" spans="2:6">
      <c r="B278" s="802" t="s">
        <v>848</v>
      </c>
      <c r="C278" s="413">
        <v>1</v>
      </c>
      <c r="D278" s="632" t="s">
        <v>849</v>
      </c>
      <c r="E278" s="633"/>
      <c r="F278" s="790">
        <f>SUM(E278:E289)</f>
        <v>0</v>
      </c>
    </row>
    <row r="279" spans="2:6">
      <c r="B279" s="803"/>
      <c r="C279" s="414">
        <v>2</v>
      </c>
      <c r="D279" s="635" t="s">
        <v>850</v>
      </c>
      <c r="E279" s="636"/>
      <c r="F279" s="791"/>
    </row>
    <row r="280" spans="2:6">
      <c r="B280" s="803"/>
      <c r="C280" s="414">
        <v>3</v>
      </c>
      <c r="D280" s="635" t="s">
        <v>851</v>
      </c>
      <c r="E280" s="636"/>
      <c r="F280" s="791"/>
    </row>
    <row r="281" spans="2:6">
      <c r="B281" s="803"/>
      <c r="C281" s="414">
        <v>4</v>
      </c>
      <c r="D281" s="635" t="s">
        <v>893</v>
      </c>
      <c r="E281" s="636"/>
      <c r="F281" s="791"/>
    </row>
    <row r="282" spans="2:6">
      <c r="B282" s="803"/>
      <c r="C282" s="414">
        <v>5</v>
      </c>
      <c r="D282" s="635" t="s">
        <v>915</v>
      </c>
      <c r="E282" s="636"/>
      <c r="F282" s="791"/>
    </row>
    <row r="283" spans="2:6">
      <c r="B283" s="803"/>
      <c r="C283" s="414">
        <v>6</v>
      </c>
      <c r="D283" s="635" t="s">
        <v>852</v>
      </c>
      <c r="E283" s="636"/>
      <c r="F283" s="791"/>
    </row>
    <row r="284" spans="2:6">
      <c r="B284" s="803"/>
      <c r="C284" s="414">
        <v>7</v>
      </c>
      <c r="D284" s="635" t="s">
        <v>853</v>
      </c>
      <c r="E284" s="636"/>
      <c r="F284" s="791"/>
    </row>
    <row r="285" spans="2:6">
      <c r="B285" s="803"/>
      <c r="C285" s="414">
        <v>8</v>
      </c>
      <c r="D285" s="635" t="s">
        <v>854</v>
      </c>
      <c r="E285" s="636"/>
      <c r="F285" s="791"/>
    </row>
    <row r="286" spans="2:6">
      <c r="B286" s="803"/>
      <c r="C286" s="414">
        <v>9</v>
      </c>
      <c r="D286" s="635" t="s">
        <v>855</v>
      </c>
      <c r="E286" s="636"/>
      <c r="F286" s="791"/>
    </row>
    <row r="287" spans="2:6">
      <c r="B287" s="803"/>
      <c r="C287" s="414">
        <v>10</v>
      </c>
      <c r="D287" s="635" t="s">
        <v>856</v>
      </c>
      <c r="E287" s="636"/>
      <c r="F287" s="791"/>
    </row>
    <row r="288" spans="2:6">
      <c r="B288" s="809"/>
      <c r="C288" s="642">
        <v>11</v>
      </c>
      <c r="D288" s="635" t="s">
        <v>857</v>
      </c>
      <c r="E288" s="638"/>
      <c r="F288" s="791"/>
    </row>
    <row r="289" spans="2:6" ht="13.8" thickBot="1">
      <c r="B289" s="804"/>
      <c r="C289" s="415">
        <v>12</v>
      </c>
      <c r="D289" s="640" t="s">
        <v>858</v>
      </c>
      <c r="E289" s="641"/>
      <c r="F289" s="792"/>
    </row>
    <row r="290" spans="2:6">
      <c r="B290" s="805" t="s">
        <v>859</v>
      </c>
      <c r="C290" s="631">
        <v>1</v>
      </c>
      <c r="D290" s="632" t="s">
        <v>860</v>
      </c>
      <c r="E290" s="633"/>
      <c r="F290" s="790">
        <f>SUM(E290:E297)</f>
        <v>0</v>
      </c>
    </row>
    <row r="291" spans="2:6">
      <c r="B291" s="806"/>
      <c r="C291" s="634">
        <v>2</v>
      </c>
      <c r="D291" s="635" t="s">
        <v>861</v>
      </c>
      <c r="E291" s="636"/>
      <c r="F291" s="791"/>
    </row>
    <row r="292" spans="2:6">
      <c r="B292" s="806"/>
      <c r="C292" s="634">
        <v>3</v>
      </c>
      <c r="D292" s="635" t="s">
        <v>862</v>
      </c>
      <c r="E292" s="636"/>
      <c r="F292" s="791"/>
    </row>
    <row r="293" spans="2:6">
      <c r="B293" s="806"/>
      <c r="C293" s="634">
        <v>4</v>
      </c>
      <c r="D293" s="635" t="s">
        <v>863</v>
      </c>
      <c r="E293" s="636"/>
      <c r="F293" s="791"/>
    </row>
    <row r="294" spans="2:6">
      <c r="B294" s="806"/>
      <c r="C294" s="634">
        <v>5</v>
      </c>
      <c r="D294" s="635" t="s">
        <v>864</v>
      </c>
      <c r="E294" s="636"/>
      <c r="F294" s="791"/>
    </row>
    <row r="295" spans="2:6">
      <c r="B295" s="806"/>
      <c r="C295" s="634">
        <v>6</v>
      </c>
      <c r="D295" s="635" t="s">
        <v>865</v>
      </c>
      <c r="E295" s="636"/>
      <c r="F295" s="791"/>
    </row>
    <row r="296" spans="2:6">
      <c r="B296" s="813"/>
      <c r="C296" s="637">
        <v>7</v>
      </c>
      <c r="D296" s="635" t="s">
        <v>866</v>
      </c>
      <c r="E296" s="638"/>
      <c r="F296" s="791"/>
    </row>
    <row r="297" spans="2:6" ht="13.8" thickBot="1">
      <c r="B297" s="807"/>
      <c r="C297" s="639">
        <v>8</v>
      </c>
      <c r="D297" s="640" t="s">
        <v>867</v>
      </c>
      <c r="E297" s="641"/>
      <c r="F297" s="792"/>
    </row>
    <row r="298" spans="2:6">
      <c r="B298" s="805" t="s">
        <v>868</v>
      </c>
      <c r="C298" s="413">
        <v>1</v>
      </c>
      <c r="D298" s="632" t="s">
        <v>869</v>
      </c>
      <c r="E298" s="548"/>
      <c r="F298" s="790">
        <f>SUM(E298:E305)</f>
        <v>0</v>
      </c>
    </row>
    <row r="299" spans="2:6">
      <c r="B299" s="806"/>
      <c r="C299" s="414">
        <v>2</v>
      </c>
      <c r="D299" s="635" t="s">
        <v>870</v>
      </c>
      <c r="E299" s="550"/>
      <c r="F299" s="791"/>
    </row>
    <row r="300" spans="2:6">
      <c r="B300" s="806"/>
      <c r="C300" s="414">
        <v>3</v>
      </c>
      <c r="D300" s="635" t="s">
        <v>871</v>
      </c>
      <c r="E300" s="550"/>
      <c r="F300" s="791"/>
    </row>
    <row r="301" spans="2:6">
      <c r="B301" s="806"/>
      <c r="C301" s="414">
        <v>4</v>
      </c>
      <c r="D301" s="635" t="s">
        <v>872</v>
      </c>
      <c r="E301" s="550"/>
      <c r="F301" s="791"/>
    </row>
    <row r="302" spans="2:6">
      <c r="B302" s="806"/>
      <c r="C302" s="414">
        <v>5</v>
      </c>
      <c r="D302" s="635" t="s">
        <v>873</v>
      </c>
      <c r="E302" s="550"/>
      <c r="F302" s="791"/>
    </row>
    <row r="303" spans="2:6">
      <c r="B303" s="806"/>
      <c r="C303" s="414">
        <v>6</v>
      </c>
      <c r="D303" s="635" t="s">
        <v>874</v>
      </c>
      <c r="E303" s="550"/>
      <c r="F303" s="791"/>
    </row>
    <row r="304" spans="2:6">
      <c r="B304" s="806"/>
      <c r="C304" s="414">
        <v>7</v>
      </c>
      <c r="D304" s="635" t="s">
        <v>875</v>
      </c>
      <c r="E304" s="550"/>
      <c r="F304" s="791"/>
    </row>
    <row r="305" spans="2:6" ht="13.8" thickBot="1">
      <c r="B305" s="807"/>
      <c r="C305" s="415">
        <v>8</v>
      </c>
      <c r="D305" s="643" t="s">
        <v>876</v>
      </c>
      <c r="E305" s="552"/>
      <c r="F305" s="792"/>
    </row>
  </sheetData>
  <mergeCells count="156">
    <mergeCell ref="C64:K64"/>
    <mergeCell ref="C70:K70"/>
    <mergeCell ref="B290:B297"/>
    <mergeCell ref="F290:F297"/>
    <mergeCell ref="B298:B305"/>
    <mergeCell ref="F298:F305"/>
    <mergeCell ref="I65:J65"/>
    <mergeCell ref="I69:J69"/>
    <mergeCell ref="I74:J74"/>
    <mergeCell ref="I75:J75"/>
    <mergeCell ref="B249:B269"/>
    <mergeCell ref="F249:F269"/>
    <mergeCell ref="B270:B277"/>
    <mergeCell ref="F270:F277"/>
    <mergeCell ref="B278:B289"/>
    <mergeCell ref="F278:F289"/>
    <mergeCell ref="B235:B243"/>
    <mergeCell ref="F235:F243"/>
    <mergeCell ref="B206:B215"/>
    <mergeCell ref="F206:F215"/>
    <mergeCell ref="B216:B225"/>
    <mergeCell ref="F216:F225"/>
    <mergeCell ref="B226:B234"/>
    <mergeCell ref="F226:F234"/>
    <mergeCell ref="B177:B186"/>
    <mergeCell ref="F177:F186"/>
    <mergeCell ref="B187:B196"/>
    <mergeCell ref="F187:F196"/>
    <mergeCell ref="F154:F163"/>
    <mergeCell ref="B197:B205"/>
    <mergeCell ref="F197:F205"/>
    <mergeCell ref="B164:B166"/>
    <mergeCell ref="F164:F166"/>
    <mergeCell ref="B167:B176"/>
    <mergeCell ref="F167:F176"/>
    <mergeCell ref="B154:B163"/>
    <mergeCell ref="B134:B143"/>
    <mergeCell ref="F134:F143"/>
    <mergeCell ref="B144:B153"/>
    <mergeCell ref="F144:F153"/>
    <mergeCell ref="D87:E130"/>
    <mergeCell ref="B87:B130"/>
    <mergeCell ref="I99:J99"/>
    <mergeCell ref="I130:J130"/>
    <mergeCell ref="I88:J88"/>
    <mergeCell ref="I89:J89"/>
    <mergeCell ref="I105:J105"/>
    <mergeCell ref="I119:J119"/>
    <mergeCell ref="I112:J112"/>
    <mergeCell ref="I113:J113"/>
    <mergeCell ref="I115:J115"/>
    <mergeCell ref="I116:J116"/>
    <mergeCell ref="I100:J100"/>
    <mergeCell ref="I102:J102"/>
    <mergeCell ref="I104:J104"/>
    <mergeCell ref="I117:J117"/>
    <mergeCell ref="I106:J106"/>
    <mergeCell ref="I111:J111"/>
    <mergeCell ref="I118:J118"/>
    <mergeCell ref="I109:J109"/>
    <mergeCell ref="I110:J110"/>
    <mergeCell ref="I107:J107"/>
    <mergeCell ref="A34:A37"/>
    <mergeCell ref="A101:A107"/>
    <mergeCell ref="B78:B85"/>
    <mergeCell ref="I103:J103"/>
    <mergeCell ref="I93:J93"/>
    <mergeCell ref="I90:J90"/>
    <mergeCell ref="I92:J92"/>
    <mergeCell ref="I95:J95"/>
    <mergeCell ref="I76:J76"/>
    <mergeCell ref="I101:J101"/>
    <mergeCell ref="I91:J91"/>
    <mergeCell ref="I94:J94"/>
    <mergeCell ref="I71:J71"/>
    <mergeCell ref="I72:J72"/>
    <mergeCell ref="I73:J73"/>
    <mergeCell ref="I61:J61"/>
    <mergeCell ref="I59:J59"/>
    <mergeCell ref="I114:J114"/>
    <mergeCell ref="I96:J96"/>
    <mergeCell ref="I97:J97"/>
    <mergeCell ref="I98:J98"/>
    <mergeCell ref="I66:J66"/>
    <mergeCell ref="I42:J42"/>
    <mergeCell ref="I43:J43"/>
    <mergeCell ref="I44:J44"/>
    <mergeCell ref="I60:J60"/>
    <mergeCell ref="I63:J63"/>
    <mergeCell ref="I77:J77"/>
    <mergeCell ref="I57:J57"/>
    <mergeCell ref="I46:J46"/>
    <mergeCell ref="I67:J67"/>
    <mergeCell ref="I68:J68"/>
    <mergeCell ref="I49:J49"/>
    <mergeCell ref="I50:J50"/>
    <mergeCell ref="I51:J51"/>
    <mergeCell ref="I55:J55"/>
    <mergeCell ref="I56:J56"/>
    <mergeCell ref="I58:J58"/>
    <mergeCell ref="I52:J52"/>
    <mergeCell ref="I53:J53"/>
    <mergeCell ref="I54:J54"/>
    <mergeCell ref="I35:J35"/>
    <mergeCell ref="I36:J36"/>
    <mergeCell ref="I37:J37"/>
    <mergeCell ref="I40:J40"/>
    <mergeCell ref="I41:J41"/>
    <mergeCell ref="I38:J38"/>
    <mergeCell ref="I39:J39"/>
    <mergeCell ref="I19:J19"/>
    <mergeCell ref="I20:J20"/>
    <mergeCell ref="I21:J21"/>
    <mergeCell ref="I22:J22"/>
    <mergeCell ref="I33:J33"/>
    <mergeCell ref="I34:J34"/>
    <mergeCell ref="B2:B6"/>
    <mergeCell ref="I28:J28"/>
    <mergeCell ref="B28:B41"/>
    <mergeCell ref="I10:J10"/>
    <mergeCell ref="I11:J11"/>
    <mergeCell ref="I13:J13"/>
    <mergeCell ref="I12:J12"/>
    <mergeCell ref="I29:J29"/>
    <mergeCell ref="I27:J27"/>
    <mergeCell ref="I30:J30"/>
    <mergeCell ref="L2:L6"/>
    <mergeCell ref="I2:J6"/>
    <mergeCell ref="H2:H6"/>
    <mergeCell ref="I120:J120"/>
    <mergeCell ref="B24:B26"/>
    <mergeCell ref="B58:B76"/>
    <mergeCell ref="B7:B22"/>
    <mergeCell ref="I7:J7"/>
    <mergeCell ref="I8:J8"/>
    <mergeCell ref="I9:J9"/>
    <mergeCell ref="C2:C6"/>
    <mergeCell ref="I122:J122"/>
    <mergeCell ref="I16:J16"/>
    <mergeCell ref="I17:J17"/>
    <mergeCell ref="K2:K6"/>
    <mergeCell ref="I14:J14"/>
    <mergeCell ref="I15:J15"/>
    <mergeCell ref="I31:J31"/>
    <mergeCell ref="I32:J32"/>
    <mergeCell ref="I18:J18"/>
    <mergeCell ref="B43:B56"/>
    <mergeCell ref="I121:J121"/>
    <mergeCell ref="I123:J123"/>
    <mergeCell ref="I124:J124"/>
    <mergeCell ref="I125:J125"/>
    <mergeCell ref="I127:J127"/>
    <mergeCell ref="I62:J62"/>
    <mergeCell ref="I45:J45"/>
    <mergeCell ref="I47:J47"/>
    <mergeCell ref="I48:J48"/>
  </mergeCells>
  <pageMargins left="0.7" right="0.7" top="0.75" bottom="0.75" header="0.3" footer="0.3"/>
  <pageSetup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D7E85-C900-479F-BC06-F6BD06999B41}">
  <sheetPr codeName="Sheet3"/>
  <dimension ref="A1:AK77"/>
  <sheetViews>
    <sheetView topLeftCell="A18" zoomScale="40" zoomScaleNormal="40" zoomScaleSheetLayoutView="40" workbookViewId="0">
      <selection activeCell="N37" sqref="N37"/>
    </sheetView>
  </sheetViews>
  <sheetFormatPr defaultColWidth="21.77734375" defaultRowHeight="25.8"/>
  <cols>
    <col min="1" max="1" width="41.5546875" style="90" customWidth="1"/>
    <col min="2" max="2" width="16" style="90" customWidth="1"/>
    <col min="3" max="3" width="4.21875" style="90" customWidth="1"/>
    <col min="4" max="4" width="22.44140625" style="90" customWidth="1"/>
    <col min="5" max="5" width="21.77734375" style="90" customWidth="1"/>
    <col min="6" max="6" width="21.21875" style="90" customWidth="1"/>
    <col min="7" max="11" width="21.77734375" style="90"/>
    <col min="12" max="12" width="43" style="90" customWidth="1"/>
    <col min="13" max="13" width="23.77734375" style="90" bestFit="1" customWidth="1"/>
    <col min="14" max="14" width="21.77734375" style="90"/>
    <col min="15" max="15" width="32.21875" style="90" customWidth="1"/>
    <col min="16" max="16" width="21.77734375" style="90"/>
    <col min="17" max="17" width="23.77734375" style="90" bestFit="1" customWidth="1"/>
    <col min="18" max="21" width="21.77734375" style="90"/>
    <col min="22" max="22" width="27.77734375" style="90" customWidth="1"/>
    <col min="23" max="24" width="25.77734375" style="90" customWidth="1"/>
    <col min="25" max="25" width="23.77734375" style="90" customWidth="1"/>
    <col min="26" max="26" width="27.21875" style="90" customWidth="1"/>
    <col min="27" max="27" width="25.77734375" style="90" customWidth="1"/>
    <col min="28" max="16384" width="21.77734375" style="90"/>
  </cols>
  <sheetData>
    <row r="1" spans="1:37" ht="30.6">
      <c r="A1" s="814" t="s">
        <v>462</v>
      </c>
      <c r="B1" s="814"/>
      <c r="C1" s="814"/>
      <c r="D1" s="814"/>
      <c r="E1" s="814"/>
      <c r="F1" s="814"/>
      <c r="G1" s="814"/>
      <c r="H1" s="814"/>
      <c r="I1" s="814"/>
      <c r="J1" s="814"/>
      <c r="K1" s="814"/>
    </row>
    <row r="2" spans="1:37" ht="57" customHeight="1">
      <c r="A2" s="815" t="s">
        <v>442</v>
      </c>
      <c r="B2" s="815"/>
      <c r="C2" s="815"/>
      <c r="D2" s="815"/>
      <c r="E2" s="815"/>
      <c r="F2" s="815"/>
      <c r="G2" s="815"/>
      <c r="H2" s="815"/>
      <c r="I2" s="815"/>
      <c r="J2" s="815"/>
      <c r="K2" s="815"/>
    </row>
    <row r="3" spans="1:37" ht="37.5" customHeight="1">
      <c r="A3" s="816" t="s">
        <v>0</v>
      </c>
      <c r="B3" s="818"/>
      <c r="C3" s="218"/>
      <c r="D3" s="219"/>
      <c r="E3" s="219"/>
      <c r="F3" s="219"/>
      <c r="G3" s="218"/>
      <c r="H3" s="218"/>
      <c r="I3" s="218"/>
      <c r="J3" s="218"/>
      <c r="K3" s="218"/>
    </row>
    <row r="4" spans="1:37" s="92" customFormat="1" ht="59.25" customHeight="1" thickBot="1">
      <c r="A4" s="817"/>
      <c r="B4" s="819"/>
      <c r="C4" s="220"/>
      <c r="D4" s="220" t="str">
        <f>Assumptions!I78</f>
        <v>2024-25</v>
      </c>
      <c r="E4" s="220" t="str">
        <f>Assumptions!I79</f>
        <v>2025-26</v>
      </c>
      <c r="F4" s="220" t="str">
        <f>Assumptions!I80</f>
        <v>2026-27</v>
      </c>
      <c r="G4" s="220" t="str">
        <f>Assumptions!I81</f>
        <v>2027-28</v>
      </c>
      <c r="H4" s="220" t="str">
        <f>Assumptions!I82</f>
        <v>2028-29</v>
      </c>
      <c r="I4" s="220" t="str">
        <f>Assumptions!I83</f>
        <v>2029-30</v>
      </c>
      <c r="J4" s="220" t="str">
        <f>Assumptions!I84</f>
        <v>2030-31</v>
      </c>
      <c r="K4" s="220" t="str">
        <f>Assumptions!I85</f>
        <v>2031-32</v>
      </c>
    </row>
    <row r="5" spans="1:37" s="92" customFormat="1" ht="26.4" thickTop="1">
      <c r="A5" s="93"/>
      <c r="B5" s="94"/>
      <c r="C5" s="95"/>
    </row>
    <row r="6" spans="1:37" s="92" customFormat="1" ht="33" hidden="1" customHeight="1">
      <c r="A6" s="90"/>
      <c r="B6" s="90"/>
      <c r="C6" s="90"/>
      <c r="D6" s="89"/>
      <c r="E6" s="89"/>
      <c r="F6" s="89"/>
      <c r="G6" s="89"/>
      <c r="H6" s="89"/>
      <c r="I6" s="89"/>
      <c r="J6" s="89"/>
      <c r="K6" s="89"/>
    </row>
    <row r="7" spans="1:37" s="92" customFormat="1" ht="33" hidden="1" customHeight="1">
      <c r="A7" s="90"/>
      <c r="B7" s="90"/>
      <c r="C7" s="90"/>
      <c r="D7" s="89"/>
      <c r="E7" s="89"/>
      <c r="F7" s="89"/>
      <c r="G7" s="89"/>
      <c r="H7" s="89"/>
      <c r="I7" s="89"/>
      <c r="J7" s="89"/>
      <c r="K7" s="89"/>
    </row>
    <row r="8" spans="1:37" ht="38.25" customHeight="1">
      <c r="A8" s="90" t="s">
        <v>333</v>
      </c>
      <c r="D8" s="89">
        <f t="shared" ref="D8:K8" si="0">D17+D16</f>
        <v>27534148125</v>
      </c>
      <c r="E8" s="89">
        <f>E17+E16</f>
        <v>-8573603125.0000114</v>
      </c>
      <c r="F8" s="89">
        <f t="shared" si="0"/>
        <v>44750180285.714279</v>
      </c>
      <c r="G8" s="89">
        <f t="shared" si="0"/>
        <v>46822651714.285706</v>
      </c>
      <c r="H8" s="89">
        <f t="shared" si="0"/>
        <v>48895300442.857147</v>
      </c>
      <c r="I8" s="89">
        <f t="shared" si="0"/>
        <v>50967901876.428558</v>
      </c>
      <c r="J8" s="89">
        <f t="shared" si="0"/>
        <v>53040456013.650009</v>
      </c>
      <c r="K8" s="89">
        <f t="shared" si="0"/>
        <v>55112962876.73793</v>
      </c>
      <c r="M8" s="89"/>
      <c r="N8" s="89"/>
      <c r="O8" s="89"/>
      <c r="P8" s="89"/>
      <c r="Q8" s="89"/>
      <c r="R8" s="89"/>
      <c r="S8" s="89"/>
      <c r="T8" s="89"/>
    </row>
    <row r="9" spans="1:37" ht="35.25" hidden="1" customHeight="1">
      <c r="A9" s="90" t="s">
        <v>1</v>
      </c>
      <c r="D9" s="89">
        <v>0</v>
      </c>
      <c r="E9" s="89" t="e">
        <f t="shared" ref="E9:K9" si="1">D11</f>
        <v>#REF!</v>
      </c>
      <c r="F9" s="89" t="e">
        <f t="shared" si="1"/>
        <v>#REF!</v>
      </c>
      <c r="G9" s="89" t="e">
        <f t="shared" si="1"/>
        <v>#REF!</v>
      </c>
      <c r="H9" s="89" t="e">
        <f t="shared" si="1"/>
        <v>#REF!</v>
      </c>
      <c r="I9" s="89" t="e">
        <f t="shared" si="1"/>
        <v>#REF!</v>
      </c>
      <c r="J9" s="89" t="e">
        <f t="shared" si="1"/>
        <v>#REF!</v>
      </c>
      <c r="K9" s="89" t="e">
        <f t="shared" si="1"/>
        <v>#REF!</v>
      </c>
    </row>
    <row r="10" spans="1:37" ht="37.5" hidden="1" customHeight="1">
      <c r="A10" s="90" t="s">
        <v>313</v>
      </c>
      <c r="C10" s="89"/>
      <c r="D10" s="89" t="e">
        <f>D6*Assumptions!#REF!</f>
        <v>#REF!</v>
      </c>
      <c r="E10" s="89" t="e">
        <f>E6*Assumptions!#REF!</f>
        <v>#REF!</v>
      </c>
      <c r="F10" s="89" t="e">
        <f>F6*Assumptions!#REF!</f>
        <v>#REF!</v>
      </c>
      <c r="G10" s="89" t="e">
        <f>G6*Assumptions!#REF!</f>
        <v>#REF!</v>
      </c>
      <c r="H10" s="89" t="e">
        <f>H6*Assumptions!#REF!</f>
        <v>#REF!</v>
      </c>
      <c r="I10" s="89" t="e">
        <f>I6*Assumptions!#REF!</f>
        <v>#REF!</v>
      </c>
      <c r="J10" s="89" t="e">
        <f>J6*Assumptions!#REF!</f>
        <v>#REF!</v>
      </c>
      <c r="K10" s="89" t="e">
        <f>J10*Assumptions!#REF!</f>
        <v>#REF!</v>
      </c>
      <c r="L10" s="89"/>
      <c r="AE10" s="90" t="e">
        <f>#REF!</f>
        <v>#REF!</v>
      </c>
      <c r="AF10" s="90" t="e">
        <f>#REF!</f>
        <v>#REF!</v>
      </c>
      <c r="AG10" s="90" t="e">
        <f>#REF!</f>
        <v>#REF!</v>
      </c>
      <c r="AH10" s="90" t="e">
        <f>#REF!</f>
        <v>#REF!</v>
      </c>
      <c r="AI10" s="90" t="e">
        <f>#REF!</f>
        <v>#REF!</v>
      </c>
      <c r="AJ10" s="90" t="e">
        <f>#REF!</f>
        <v>#REF!</v>
      </c>
      <c r="AK10" s="90" t="e">
        <f>#REF!</f>
        <v>#REF!</v>
      </c>
    </row>
    <row r="11" spans="1:37" ht="36" hidden="1" customHeight="1">
      <c r="A11" s="90" t="s">
        <v>2</v>
      </c>
      <c r="C11" s="89"/>
      <c r="D11" s="89" t="e">
        <f>Assumptions!#REF!*D6</f>
        <v>#REF!</v>
      </c>
      <c r="E11" s="89" t="e">
        <f>Assumptions!#REF!*E6</f>
        <v>#REF!</v>
      </c>
      <c r="F11" s="89" t="e">
        <f>Assumptions!#REF!*F6</f>
        <v>#REF!</v>
      </c>
      <c r="G11" s="89" t="e">
        <f>Assumptions!#REF!*G6</f>
        <v>#REF!</v>
      </c>
      <c r="H11" s="89" t="e">
        <f>Assumptions!#REF!*H6</f>
        <v>#REF!</v>
      </c>
      <c r="I11" s="89" t="e">
        <f>Assumptions!#REF!*I6</f>
        <v>#REF!</v>
      </c>
      <c r="J11" s="89" t="e">
        <f>Assumptions!#REF!*J6</f>
        <v>#REF!</v>
      </c>
      <c r="K11" s="89" t="e">
        <f>Assumptions!#REF!*K6</f>
        <v>#REF!</v>
      </c>
      <c r="M11" s="138"/>
      <c r="N11" s="138"/>
      <c r="O11" s="138"/>
      <c r="P11" s="138"/>
      <c r="Q11" s="138"/>
      <c r="R11" s="138"/>
      <c r="S11" s="138"/>
      <c r="AE11" s="138" t="e">
        <f>#REF!/D6*100</f>
        <v>#REF!</v>
      </c>
      <c r="AF11" s="138" t="e">
        <f>#REF!/E6*100</f>
        <v>#REF!</v>
      </c>
      <c r="AG11" s="138" t="e">
        <f>#REF!/F6*100</f>
        <v>#REF!</v>
      </c>
      <c r="AH11" s="138" t="e">
        <f>#REF!/G6*100</f>
        <v>#REF!</v>
      </c>
      <c r="AI11" s="138" t="e">
        <f>#REF!/H6*100</f>
        <v>#REF!</v>
      </c>
      <c r="AJ11" s="138" t="e">
        <f>#REF!/I6*100</f>
        <v>#REF!</v>
      </c>
      <c r="AK11" s="138" t="e">
        <f>#REF!/J6*100</f>
        <v>#REF!</v>
      </c>
    </row>
    <row r="12" spans="1:37" ht="36" customHeight="1">
      <c r="A12" s="90" t="s">
        <v>1</v>
      </c>
      <c r="C12" s="89"/>
      <c r="D12" s="89">
        <v>0</v>
      </c>
      <c r="E12" s="89">
        <f t="shared" ref="E12:K12" si="2">D14</f>
        <v>6669762589.2857141</v>
      </c>
      <c r="F12" s="89">
        <f t="shared" si="2"/>
        <v>58500000000</v>
      </c>
      <c r="G12" s="89">
        <f t="shared" si="2"/>
        <v>59085000000</v>
      </c>
      <c r="H12" s="89">
        <f t="shared" si="2"/>
        <v>59675850000</v>
      </c>
      <c r="I12" s="89">
        <f t="shared" si="2"/>
        <v>60272608500</v>
      </c>
      <c r="J12" s="89">
        <f t="shared" si="2"/>
        <v>60875334585</v>
      </c>
      <c r="K12" s="89">
        <f t="shared" si="2"/>
        <v>61484087930.849998</v>
      </c>
      <c r="M12" s="138"/>
      <c r="N12" s="138"/>
      <c r="O12" s="89"/>
      <c r="P12" s="89"/>
      <c r="Q12" s="89"/>
      <c r="R12" s="89"/>
      <c r="S12" s="89"/>
      <c r="AE12" s="138"/>
      <c r="AF12" s="138"/>
      <c r="AG12" s="138"/>
      <c r="AH12" s="138"/>
      <c r="AI12" s="138"/>
      <c r="AJ12" s="138"/>
      <c r="AK12" s="138"/>
    </row>
    <row r="13" spans="1:37" ht="36" customHeight="1">
      <c r="A13" s="90" t="s">
        <v>208</v>
      </c>
      <c r="C13" s="89"/>
      <c r="D13" s="89">
        <f>D17*Assumptions!F125</f>
        <v>22232541964.285713</v>
      </c>
      <c r="E13" s="89">
        <f>IF(AND(Assumptions!I62=0,Assumptions!I63=0),0,
IF(AND(Assumptions!I62=0,Assumptions!I63&gt;0,Assumptions!I63&lt;7),E17*65/28,E17*65/35))</f>
        <v>28116812285.714279</v>
      </c>
      <c r="F13" s="89">
        <f>F17*Assumptions!F125</f>
        <v>29467867185.714279</v>
      </c>
      <c r="G13" s="89">
        <f>G17*Assumptions!F125</f>
        <v>30818776114.285709</v>
      </c>
      <c r="H13" s="89">
        <f>H17*Assumptions!F125</f>
        <v>32169838312.857143</v>
      </c>
      <c r="I13" s="89">
        <f>I17*Assumptions!F125</f>
        <v>33520908174.928566</v>
      </c>
      <c r="J13" s="89">
        <f>J17*Assumptions!F125</f>
        <v>34871986083.675003</v>
      </c>
      <c r="K13" s="89">
        <f>K17*Assumptions!F125</f>
        <v>36223072441.430176</v>
      </c>
      <c r="L13" s="138"/>
      <c r="M13" s="138"/>
      <c r="N13" s="138"/>
      <c r="R13" s="89"/>
      <c r="S13" s="89"/>
      <c r="AE13" s="138"/>
      <c r="AF13" s="138"/>
      <c r="AG13" s="138"/>
      <c r="AH13" s="138"/>
      <c r="AI13" s="138"/>
      <c r="AJ13" s="138"/>
      <c r="AK13" s="138"/>
    </row>
    <row r="14" spans="1:37" ht="36" customHeight="1">
      <c r="A14" s="90" t="s">
        <v>363</v>
      </c>
      <c r="C14" s="89"/>
      <c r="D14" s="89">
        <f>MIN(D53,D55)</f>
        <v>6669762589.2857141</v>
      </c>
      <c r="E14" s="89">
        <f>D54</f>
        <v>58500000000</v>
      </c>
      <c r="F14" s="89">
        <f>E14*Assumptions!F123</f>
        <v>59085000000</v>
      </c>
      <c r="G14" s="89">
        <f>F14*Assumptions!F123</f>
        <v>59675850000</v>
      </c>
      <c r="H14" s="89">
        <f>G14*Assumptions!F123</f>
        <v>60272608500</v>
      </c>
      <c r="I14" s="89">
        <f>H14*Assumptions!F123</f>
        <v>60875334585</v>
      </c>
      <c r="J14" s="89">
        <f>I14*Assumptions!F123</f>
        <v>61484087930.849998</v>
      </c>
      <c r="K14" s="89">
        <f>J14*Assumptions!F123</f>
        <v>62098928810.158501</v>
      </c>
      <c r="R14" s="89"/>
      <c r="S14" s="138"/>
      <c r="T14" s="89"/>
      <c r="AE14" s="138"/>
      <c r="AF14" s="138"/>
      <c r="AG14" s="138"/>
      <c r="AH14" s="138"/>
      <c r="AI14" s="138"/>
      <c r="AJ14" s="138"/>
      <c r="AK14" s="138"/>
    </row>
    <row r="15" spans="1:37" ht="36" customHeight="1">
      <c r="C15" s="89"/>
      <c r="E15" s="89">
        <f>IF(Assumptions!I62&gt;0,'Workings for PL BS 1'!E54,MIN(E53,E55))</f>
        <v>58500000000</v>
      </c>
      <c r="F15" s="89"/>
      <c r="G15" s="89"/>
      <c r="H15" s="89"/>
      <c r="I15" s="89"/>
      <c r="J15" s="89"/>
      <c r="K15" s="89"/>
      <c r="M15" s="89"/>
      <c r="N15" s="89"/>
      <c r="O15" s="138"/>
      <c r="P15" s="89"/>
      <c r="Q15" s="89"/>
      <c r="R15" s="89"/>
      <c r="S15" s="89"/>
      <c r="AE15" s="138"/>
      <c r="AF15" s="138"/>
      <c r="AG15" s="138"/>
      <c r="AH15" s="138"/>
      <c r="AI15" s="138"/>
      <c r="AJ15" s="138"/>
      <c r="AK15" s="138"/>
    </row>
    <row r="16" spans="1:37" ht="36" customHeight="1">
      <c r="A16" s="90" t="s">
        <v>452</v>
      </c>
      <c r="C16" s="89"/>
      <c r="D16" s="89">
        <f>D12+D13-D14</f>
        <v>15562779375</v>
      </c>
      <c r="E16" s="89">
        <f>E12+E13-E15</f>
        <v>-23713425125.000008</v>
      </c>
      <c r="F16" s="89">
        <f t="shared" ref="F16:K16" si="3">F12+F13-F14</f>
        <v>28882867185.714279</v>
      </c>
      <c r="G16" s="89">
        <f t="shared" si="3"/>
        <v>30227926114.285706</v>
      </c>
      <c r="H16" s="89">
        <f>H12+H13-H14</f>
        <v>31573079812.857147</v>
      </c>
      <c r="I16" s="89">
        <f t="shared" si="3"/>
        <v>32918182089.928558</v>
      </c>
      <c r="J16" s="89">
        <f t="shared" si="3"/>
        <v>34263232737.825005</v>
      </c>
      <c r="K16" s="89">
        <f t="shared" si="3"/>
        <v>35608231562.121681</v>
      </c>
      <c r="P16" s="89"/>
      <c r="Q16" s="89"/>
      <c r="R16" s="89"/>
      <c r="S16" s="89"/>
      <c r="AE16" s="138"/>
      <c r="AF16" s="138"/>
      <c r="AG16" s="138"/>
      <c r="AH16" s="138"/>
      <c r="AI16" s="138"/>
      <c r="AJ16" s="138"/>
      <c r="AK16" s="138"/>
    </row>
    <row r="17" spans="1:37" ht="36" customHeight="1">
      <c r="A17" s="90" t="s">
        <v>364</v>
      </c>
      <c r="C17" s="89"/>
      <c r="D17" s="89">
        <f t="shared" ref="D17:K17" si="4">D19+D18</f>
        <v>11971368750</v>
      </c>
      <c r="E17" s="89">
        <f t="shared" si="4"/>
        <v>15139821999.999996</v>
      </c>
      <c r="F17" s="89">
        <f t="shared" si="4"/>
        <v>15867313099.999996</v>
      </c>
      <c r="G17" s="89">
        <f t="shared" si="4"/>
        <v>16594725599.999996</v>
      </c>
      <c r="H17" s="89">
        <f t="shared" si="4"/>
        <v>17322220630</v>
      </c>
      <c r="I17" s="89">
        <f t="shared" si="4"/>
        <v>18049719786.499996</v>
      </c>
      <c r="J17" s="89">
        <f t="shared" si="4"/>
        <v>18777223275.825001</v>
      </c>
      <c r="K17" s="89">
        <f t="shared" si="4"/>
        <v>19504731314.616249</v>
      </c>
      <c r="L17" s="89"/>
      <c r="M17" s="89"/>
      <c r="N17" s="89"/>
      <c r="O17" s="89"/>
      <c r="P17" s="89"/>
      <c r="Q17" s="89"/>
      <c r="R17" s="89"/>
      <c r="S17" s="89"/>
      <c r="T17" s="89"/>
      <c r="U17" s="89"/>
      <c r="AE17" s="138"/>
      <c r="AF17" s="138"/>
      <c r="AG17" s="138"/>
      <c r="AH17" s="138"/>
      <c r="AI17" s="138"/>
      <c r="AJ17" s="138"/>
      <c r="AK17" s="138"/>
    </row>
    <row r="18" spans="1:37" ht="62.25" customHeight="1">
      <c r="A18" s="277" t="s">
        <v>354</v>
      </c>
      <c r="B18" s="99"/>
      <c r="C18" s="89"/>
      <c r="D18" s="89">
        <f t="shared" ref="D18:J18" si="5">D47</f>
        <v>606650000</v>
      </c>
      <c r="E18" s="89">
        <f t="shared" si="5"/>
        <v>591572000</v>
      </c>
      <c r="F18" s="89">
        <f t="shared" si="5"/>
        <v>591650600</v>
      </c>
      <c r="G18" s="89">
        <f t="shared" si="5"/>
        <v>591650600</v>
      </c>
      <c r="H18" s="89">
        <f>H47</f>
        <v>591733130</v>
      </c>
      <c r="I18" s="89">
        <f t="shared" si="5"/>
        <v>591819786.5</v>
      </c>
      <c r="J18" s="89">
        <f t="shared" si="5"/>
        <v>591910775.82500005</v>
      </c>
      <c r="K18" s="89">
        <f>K47</f>
        <v>592006314.61625004</v>
      </c>
      <c r="L18" s="138"/>
      <c r="M18" s="138"/>
      <c r="N18" s="89"/>
      <c r="O18" s="89"/>
      <c r="P18" s="138"/>
      <c r="Q18" s="138"/>
      <c r="R18" s="589"/>
      <c r="S18" s="138"/>
      <c r="T18" s="138"/>
      <c r="U18" s="138"/>
      <c r="AF18" s="89"/>
    </row>
    <row r="19" spans="1:37" ht="43.5" customHeight="1">
      <c r="A19" s="90" t="s">
        <v>133</v>
      </c>
      <c r="B19" s="656"/>
      <c r="C19" s="89"/>
      <c r="D19" s="89">
        <f>'WorKings for PL BS 2'!B31</f>
        <v>11364718750</v>
      </c>
      <c r="E19" s="89">
        <f>'WorKings for PL BS 2'!C31</f>
        <v>14548249999.999996</v>
      </c>
      <c r="F19" s="89">
        <f>'WorKings for PL BS 2'!D31</f>
        <v>15275662499.999996</v>
      </c>
      <c r="G19" s="89">
        <f>'WorKings for PL BS 2'!E31</f>
        <v>16003074999.999996</v>
      </c>
      <c r="H19" s="89">
        <f>'WorKings for PL BS 2'!F31</f>
        <v>16730487499.999998</v>
      </c>
      <c r="I19" s="89">
        <f>'WorKings for PL BS 2'!G31</f>
        <v>17457899999.999996</v>
      </c>
      <c r="J19" s="89">
        <f>'WorKings for PL BS 2'!H31</f>
        <v>18185312500</v>
      </c>
      <c r="K19" s="89">
        <f>'WorKings for PL BS 2'!I31</f>
        <v>18912725000</v>
      </c>
      <c r="L19" s="305"/>
      <c r="O19" s="89"/>
      <c r="AE19" s="92"/>
      <c r="AF19" s="92"/>
      <c r="AG19" s="92"/>
      <c r="AH19" s="92"/>
      <c r="AI19" s="92"/>
      <c r="AJ19" s="92"/>
      <c r="AK19" s="92"/>
    </row>
    <row r="20" spans="1:37" ht="43.5" customHeight="1">
      <c r="A20" s="90" t="s">
        <v>134</v>
      </c>
      <c r="B20" s="99"/>
      <c r="C20" s="111"/>
      <c r="D20" s="89">
        <f>'Dep IT act'!M17*100000</f>
        <v>916666666.66666663</v>
      </c>
      <c r="E20" s="111">
        <f>'Dep IT act'!M24*100000</f>
        <v>964583333.33333337</v>
      </c>
      <c r="F20" s="111">
        <f>'Dep IT act'!M31*100000</f>
        <v>822187500</v>
      </c>
      <c r="G20" s="111">
        <f>'Dep IT act'!M38*100000</f>
        <v>700921875</v>
      </c>
      <c r="H20" s="111">
        <f>'Dep IT act'!M45*100000</f>
        <v>597639843.75</v>
      </c>
      <c r="I20" s="89">
        <f>'Dep IT act'!M52*100000</f>
        <v>509664492.18749994</v>
      </c>
      <c r="J20" s="89">
        <f>'Dep IT act'!M59*100000</f>
        <v>434718380.859375</v>
      </c>
      <c r="K20" s="89">
        <f>'Dep IT act'!M66*100000</f>
        <v>370863829.98046875</v>
      </c>
      <c r="L20" s="138"/>
      <c r="N20" s="89"/>
      <c r="O20" s="89"/>
      <c r="P20" s="89"/>
      <c r="Q20" s="89"/>
      <c r="R20" s="138"/>
      <c r="S20" s="138"/>
    </row>
    <row r="21" spans="1:37" s="101" customFormat="1" ht="39" customHeight="1">
      <c r="A21" s="90" t="s">
        <v>132</v>
      </c>
      <c r="B21" s="90"/>
      <c r="C21" s="89"/>
      <c r="D21" s="89">
        <f t="shared" ref="D21:K21" si="6">D19-D20</f>
        <v>10448052083.333334</v>
      </c>
      <c r="E21" s="89">
        <f t="shared" si="6"/>
        <v>13583666666.666662</v>
      </c>
      <c r="F21" s="89">
        <f t="shared" si="6"/>
        <v>14453474999.999996</v>
      </c>
      <c r="G21" s="89">
        <f t="shared" si="6"/>
        <v>15302153124.999996</v>
      </c>
      <c r="H21" s="89">
        <f t="shared" si="6"/>
        <v>16132847656.249998</v>
      </c>
      <c r="I21" s="89">
        <f t="shared" si="6"/>
        <v>16948235507.812496</v>
      </c>
      <c r="J21" s="89">
        <f t="shared" si="6"/>
        <v>17750594119.140625</v>
      </c>
      <c r="K21" s="89">
        <f t="shared" si="6"/>
        <v>18541861170.019531</v>
      </c>
      <c r="M21" s="90"/>
      <c r="N21" s="138"/>
      <c r="O21" s="89"/>
      <c r="P21" s="89"/>
      <c r="Q21" s="89"/>
      <c r="AE21" s="138">
        <f>RATIO!C11</f>
        <v>1.7500001924816662</v>
      </c>
      <c r="AF21" s="138" t="str">
        <f>RATIO!D11</f>
        <v/>
      </c>
      <c r="AG21" s="138">
        <f>RATIO!E11</f>
        <v>2.1433130469859871</v>
      </c>
      <c r="AH21" s="138">
        <f>RATIO!F11</f>
        <v>2.283784246624216</v>
      </c>
      <c r="AI21" s="138">
        <f>RATIO!G11</f>
        <v>2.6972292427818809</v>
      </c>
      <c r="AJ21" s="138">
        <f>RATIO!H11</f>
        <v>3.169083964191477</v>
      </c>
      <c r="AK21" s="138">
        <f>RATIO!I11</f>
        <v>3.2847088375428704</v>
      </c>
    </row>
    <row r="22" spans="1:37" ht="42.75" customHeight="1">
      <c r="A22" s="90" t="s">
        <v>20</v>
      </c>
      <c r="B22" s="99"/>
      <c r="C22" s="89"/>
      <c r="D22" s="89">
        <f t="shared" ref="D22:K22" si="7">D51</f>
        <v>5094125000</v>
      </c>
      <c r="E22" s="89">
        <f t="shared" si="7"/>
        <v>5874124999.9999981</v>
      </c>
      <c r="F22" s="89">
        <f t="shared" si="7"/>
        <v>5727124999.999999</v>
      </c>
      <c r="G22" s="89">
        <f t="shared" si="7"/>
        <v>5607259999.9999981</v>
      </c>
      <c r="H22" s="89">
        <f t="shared" si="7"/>
        <v>5502843174.9999971</v>
      </c>
      <c r="I22" s="89">
        <f t="shared" si="7"/>
        <v>5508812703.3749962</v>
      </c>
      <c r="J22" s="89">
        <f t="shared" si="7"/>
        <v>5536356766.8918705</v>
      </c>
      <c r="K22" s="89">
        <f t="shared" si="7"/>
        <v>5564038550.7263288</v>
      </c>
      <c r="L22" s="138"/>
      <c r="M22" s="138"/>
      <c r="N22" s="138"/>
      <c r="O22" s="138"/>
      <c r="P22" s="138"/>
      <c r="Q22" s="138"/>
      <c r="R22" s="138"/>
      <c r="S22" s="138"/>
    </row>
    <row r="23" spans="1:37" ht="30" customHeight="1">
      <c r="O23" s="138"/>
    </row>
    <row r="24" spans="1:37" s="92" customFormat="1" ht="48" customHeight="1" thickBot="1">
      <c r="A24" s="103" t="s">
        <v>441</v>
      </c>
      <c r="B24" s="103"/>
      <c r="C24" s="104"/>
      <c r="D24" s="104">
        <f t="shared" ref="D24:K24" si="8">D21-D22</f>
        <v>5353927083.333334</v>
      </c>
      <c r="E24" s="104">
        <f t="shared" si="8"/>
        <v>7709541666.6666641</v>
      </c>
      <c r="F24" s="104">
        <f t="shared" si="8"/>
        <v>8726349999.9999962</v>
      </c>
      <c r="G24" s="104">
        <f t="shared" si="8"/>
        <v>9694893124.9999981</v>
      </c>
      <c r="H24" s="104">
        <f t="shared" si="8"/>
        <v>10630004481.25</v>
      </c>
      <c r="I24" s="104">
        <f t="shared" si="8"/>
        <v>11439422804.4375</v>
      </c>
      <c r="J24" s="104">
        <f t="shared" si="8"/>
        <v>12214237352.248755</v>
      </c>
      <c r="K24" s="104">
        <f t="shared" si="8"/>
        <v>12977822619.293201</v>
      </c>
      <c r="L24" s="141"/>
      <c r="M24" s="141"/>
      <c r="N24" s="141"/>
      <c r="O24" s="141"/>
      <c r="P24" s="141"/>
      <c r="Q24" s="141"/>
      <c r="R24" s="141"/>
      <c r="S24" s="141"/>
    </row>
    <row r="25" spans="1:37" s="92" customFormat="1" ht="35.25" customHeight="1" thickTop="1">
      <c r="A25" s="102"/>
      <c r="B25" s="103"/>
      <c r="C25" s="125"/>
      <c r="D25" s="125"/>
      <c r="E25" s="125"/>
      <c r="F25" s="125"/>
      <c r="G25" s="125"/>
      <c r="H25" s="125"/>
      <c r="I25" s="125"/>
      <c r="J25" s="125"/>
      <c r="K25" s="125"/>
    </row>
    <row r="26" spans="1:37">
      <c r="A26" s="90" t="s">
        <v>226</v>
      </c>
      <c r="D26" s="89">
        <f t="shared" ref="D26:K26" si="9">D31-SUM(D27:D30)</f>
        <v>-1441121487.5</v>
      </c>
      <c r="E26" s="89">
        <f t="shared" si="9"/>
        <v>11506127635.416672</v>
      </c>
      <c r="F26" s="89">
        <f t="shared" si="9"/>
        <v>34293304886.666672</v>
      </c>
      <c r="G26" s="89">
        <f t="shared" si="9"/>
        <v>40199483148.809525</v>
      </c>
      <c r="H26" s="89">
        <f t="shared" si="9"/>
        <v>46546551704.773819</v>
      </c>
      <c r="I26" s="89" t="e">
        <f t="shared" si="9"/>
        <v>#VALUE!</v>
      </c>
      <c r="J26" s="89" t="e">
        <f t="shared" si="9"/>
        <v>#VALUE!</v>
      </c>
      <c r="K26" s="89">
        <f t="shared" si="9"/>
        <v>65576572894.682526</v>
      </c>
      <c r="L26" s="149"/>
      <c r="M26" s="138"/>
      <c r="N26" s="138"/>
      <c r="O26" s="138"/>
      <c r="P26" s="138"/>
      <c r="Q26" s="138"/>
      <c r="R26" s="138"/>
      <c r="S26" s="138"/>
      <c r="T26" s="138"/>
      <c r="U26" s="138"/>
    </row>
    <row r="27" spans="1:37" ht="33" customHeight="1">
      <c r="A27" s="90" t="s">
        <v>188</v>
      </c>
      <c r="B27" s="107"/>
      <c r="C27" s="89"/>
      <c r="D27" s="89">
        <f>'WorKings for PL BS 2'!B14</f>
        <v>4783333333.333333</v>
      </c>
      <c r="E27" s="89">
        <f>'WorKings for PL BS 2'!C14</f>
        <v>3383333333.3333292</v>
      </c>
      <c r="F27" s="89">
        <f>'WorKings for PL BS 2'!D14</f>
        <v>1983333333.3333292</v>
      </c>
      <c r="G27" s="89">
        <f>'WorKings for PL BS 2'!E14</f>
        <v>1283333333.3333306</v>
      </c>
      <c r="H27" s="89">
        <f>'WorKings for PL BS 2'!F14</f>
        <v>583333333.33333027</v>
      </c>
      <c r="I27" s="89" t="e">
        <f>'WorKings for PL BS 2'!G14</f>
        <v>#VALUE!</v>
      </c>
      <c r="J27" s="89" t="e">
        <f>'WorKings for PL BS 2'!H14</f>
        <v>#VALUE!</v>
      </c>
      <c r="K27" s="89">
        <f>'WorKings for PL BS 2'!I14</f>
        <v>0</v>
      </c>
      <c r="L27" s="149"/>
      <c r="M27" s="89"/>
      <c r="N27" s="89"/>
      <c r="O27" s="138"/>
      <c r="P27" s="138"/>
      <c r="Q27" s="138"/>
      <c r="R27" s="138"/>
      <c r="S27" s="138"/>
      <c r="T27" s="138"/>
      <c r="U27" s="138"/>
    </row>
    <row r="28" spans="1:37" ht="42.75" customHeight="1">
      <c r="A28" s="90" t="str">
        <f>'project cost'!A31</f>
        <v>Working capital Loan</v>
      </c>
      <c r="B28" s="107"/>
      <c r="C28" s="108"/>
      <c r="D28" s="108">
        <f>Assumptions!I51*100000</f>
        <v>45000000000</v>
      </c>
      <c r="E28" s="108">
        <f>Assumptions!I51*100000</f>
        <v>45000000000</v>
      </c>
      <c r="F28" s="108">
        <f t="shared" ref="F28:K28" si="10">E28</f>
        <v>45000000000</v>
      </c>
      <c r="G28" s="108">
        <f t="shared" si="10"/>
        <v>45000000000</v>
      </c>
      <c r="H28" s="108">
        <f t="shared" si="10"/>
        <v>45000000000</v>
      </c>
      <c r="I28" s="108">
        <f t="shared" si="10"/>
        <v>45000000000</v>
      </c>
      <c r="J28" s="108">
        <f t="shared" si="10"/>
        <v>45000000000</v>
      </c>
      <c r="K28" s="108">
        <f t="shared" si="10"/>
        <v>45000000000</v>
      </c>
      <c r="L28" s="149"/>
      <c r="O28" s="138"/>
      <c r="P28" s="138"/>
      <c r="Q28" s="138"/>
      <c r="R28" s="138"/>
      <c r="S28" s="138"/>
      <c r="T28" s="138"/>
      <c r="U28" s="138"/>
    </row>
    <row r="29" spans="1:37" ht="38.25" customHeight="1">
      <c r="A29" s="90" t="s">
        <v>447</v>
      </c>
      <c r="B29" s="91"/>
      <c r="C29" s="89"/>
      <c r="D29" s="89">
        <f>'WorKings for PL BS 2'!B13</f>
        <v>1400000000</v>
      </c>
      <c r="E29" s="89">
        <f>'WorKings for PL BS 2'!C13</f>
        <v>1400000000</v>
      </c>
      <c r="F29" s="89">
        <f>'WorKings for PL BS 2'!D13</f>
        <v>1400000000</v>
      </c>
      <c r="G29" s="89">
        <f>'WorKings for PL BS 2'!E13</f>
        <v>700000000</v>
      </c>
      <c r="H29" s="89">
        <f>'WorKings for PL BS 2'!F13</f>
        <v>0</v>
      </c>
      <c r="I29" s="89">
        <f>'WorKings for PL BS 2'!G13</f>
        <v>0</v>
      </c>
      <c r="J29" s="89">
        <f>'WorKings for PL BS 2'!H13</f>
        <v>0</v>
      </c>
      <c r="K29" s="89">
        <f>'WorKings for PL BS 2'!I13</f>
        <v>0</v>
      </c>
      <c r="O29" s="301"/>
      <c r="P29" s="302"/>
      <c r="Q29" s="167"/>
    </row>
    <row r="30" spans="1:37" ht="24" customHeight="1">
      <c r="O30" s="303"/>
      <c r="P30" s="304"/>
      <c r="Q30" s="166"/>
      <c r="R30" s="138"/>
    </row>
    <row r="31" spans="1:37" ht="47.25" customHeight="1" thickBot="1">
      <c r="A31" s="92" t="s">
        <v>444</v>
      </c>
      <c r="C31" s="109"/>
      <c r="D31" s="109">
        <f t="shared" ref="D31:I31" si="11">D38</f>
        <v>49742211845.833336</v>
      </c>
      <c r="E31" s="109">
        <f t="shared" si="11"/>
        <v>61289460968.75</v>
      </c>
      <c r="F31" s="109">
        <f t="shared" si="11"/>
        <v>82676638220</v>
      </c>
      <c r="G31" s="109">
        <f>G38</f>
        <v>87182816482.142853</v>
      </c>
      <c r="H31" s="109">
        <f t="shared" si="11"/>
        <v>92129885038.107147</v>
      </c>
      <c r="I31" s="109">
        <f t="shared" si="11"/>
        <v>98012160546.269638</v>
      </c>
      <c r="J31" s="109">
        <f>J38</f>
        <v>104348454478.57713</v>
      </c>
      <c r="K31" s="109">
        <f>K38</f>
        <v>110576572894.68253</v>
      </c>
      <c r="O31" s="303"/>
      <c r="P31" s="301"/>
      <c r="Q31" s="166"/>
      <c r="R31" s="138"/>
      <c r="S31" s="138"/>
    </row>
    <row r="32" spans="1:37" ht="26.4" thickTop="1">
      <c r="O32" s="303"/>
      <c r="P32" s="304"/>
      <c r="Q32" s="166"/>
      <c r="R32" s="138"/>
      <c r="S32" s="138"/>
    </row>
    <row r="33" spans="1:20" ht="31.5" customHeight="1">
      <c r="A33" s="90" t="s">
        <v>446</v>
      </c>
      <c r="C33" s="89"/>
      <c r="D33" s="89">
        <f>'Dep IT act'!M18*100000</f>
        <v>6583333333.333333</v>
      </c>
      <c r="E33" s="89">
        <f>'Dep IT act'!M25*100000</f>
        <v>5618750000</v>
      </c>
      <c r="F33" s="89">
        <f>'Dep IT act'!M32*100000</f>
        <v>4796562500</v>
      </c>
      <c r="G33" s="89">
        <f>'Dep IT act'!M39*100000</f>
        <v>4095640625</v>
      </c>
      <c r="H33" s="89">
        <f>'Dep IT act'!M46*100000</f>
        <v>3498000781.25</v>
      </c>
      <c r="I33" s="89">
        <f>'Dep IT act'!M53*100000</f>
        <v>2988336289.0625</v>
      </c>
      <c r="J33" s="89">
        <f>'Dep IT act'!M60*100000</f>
        <v>2553617908.2031255</v>
      </c>
      <c r="K33" s="89">
        <f>'Dep IT act'!M67*100000</f>
        <v>2182754078.2226563</v>
      </c>
      <c r="L33" s="89"/>
      <c r="M33" s="89"/>
      <c r="O33" s="303"/>
      <c r="P33" s="304"/>
      <c r="Q33" s="166"/>
      <c r="R33" s="138"/>
      <c r="S33" s="138"/>
    </row>
    <row r="34" spans="1:20" ht="31.5" customHeight="1">
      <c r="A34" s="90" t="s">
        <v>801</v>
      </c>
      <c r="C34" s="89"/>
      <c r="D34" s="89">
        <f>Assumptions!I39</f>
        <v>0</v>
      </c>
      <c r="E34" s="89">
        <f>D34</f>
        <v>0</v>
      </c>
      <c r="F34" s="89">
        <f t="shared" ref="F34:K34" si="12">E34</f>
        <v>0</v>
      </c>
      <c r="G34" s="89">
        <f t="shared" si="12"/>
        <v>0</v>
      </c>
      <c r="H34" s="89">
        <f t="shared" si="12"/>
        <v>0</v>
      </c>
      <c r="I34" s="89">
        <f t="shared" si="12"/>
        <v>0</v>
      </c>
      <c r="J34" s="89">
        <f t="shared" si="12"/>
        <v>0</v>
      </c>
      <c r="K34" s="89">
        <f t="shared" si="12"/>
        <v>0</v>
      </c>
      <c r="L34" s="89"/>
      <c r="M34" s="89"/>
      <c r="O34" s="303"/>
      <c r="P34" s="304"/>
      <c r="Q34" s="166"/>
      <c r="R34" s="138"/>
      <c r="S34" s="138"/>
    </row>
    <row r="35" spans="1:20" ht="42.75" customHeight="1">
      <c r="A35" s="90" t="str">
        <f>A14</f>
        <v>Closing stock</v>
      </c>
      <c r="B35" s="107"/>
      <c r="C35" s="89"/>
      <c r="D35" s="89">
        <f>D59</f>
        <v>36000000000</v>
      </c>
      <c r="E35" s="89">
        <f>'Final workings'!C9</f>
        <v>58500000000</v>
      </c>
      <c r="F35" s="89">
        <f>'Final workings'!D9</f>
        <v>59085000000</v>
      </c>
      <c r="G35" s="89">
        <f>'Final workings'!E9</f>
        <v>59675850000</v>
      </c>
      <c r="H35" s="89">
        <f>'Final workings'!F9</f>
        <v>60272610000</v>
      </c>
      <c r="I35" s="89">
        <f>'Final workings'!G9</f>
        <v>60875330000</v>
      </c>
      <c r="J35" s="89">
        <f>'Final workings'!H9</f>
        <v>61484090000</v>
      </c>
      <c r="K35" s="89">
        <f>'Final workings'!I9</f>
        <v>62098930000</v>
      </c>
      <c r="N35" s="89"/>
      <c r="O35" s="89"/>
      <c r="P35" s="89"/>
      <c r="Q35" s="89"/>
      <c r="R35" s="89"/>
      <c r="S35" s="89"/>
    </row>
    <row r="36" spans="1:20" ht="44.25" customHeight="1">
      <c r="A36" s="90" t="s">
        <v>331</v>
      </c>
      <c r="B36" s="91"/>
      <c r="D36" s="89">
        <f>D8*Assumptions!F91</f>
        <v>2478073331.25</v>
      </c>
      <c r="E36" s="89">
        <f>E8*Assumptions!F92</f>
        <v>-857360312.50000119</v>
      </c>
      <c r="F36" s="89">
        <f>F8*Assumptions!F93</f>
        <v>4922519831.4285707</v>
      </c>
      <c r="G36" s="89">
        <f>G8*Assumptions!F94</f>
        <v>5618718205.7142849</v>
      </c>
      <c r="H36" s="89">
        <f>H8*Assumptions!F95</f>
        <v>6356389057.5714293</v>
      </c>
      <c r="I36" s="89">
        <f>I8*Assumptions!F96</f>
        <v>7135506262.6999989</v>
      </c>
      <c r="J36" s="89">
        <f>J8*Assumptions!F97</f>
        <v>7956068402.0475006</v>
      </c>
      <c r="K36" s="89">
        <f>K8*Assumptions!F98</f>
        <v>8818074060.2780685</v>
      </c>
    </row>
    <row r="37" spans="1:20" ht="41.25" customHeight="1">
      <c r="A37" s="90" t="s">
        <v>187</v>
      </c>
      <c r="C37" s="89"/>
      <c r="D37" s="89">
        <f>D8*Assumptions!F100</f>
        <v>4680805181.25</v>
      </c>
      <c r="E37" s="89">
        <f>E8*Assumptions!F101</f>
        <v>-1971928718.7500024</v>
      </c>
      <c r="F37" s="89">
        <f>F8*Assumptions!F102</f>
        <v>13872555888.571426</v>
      </c>
      <c r="G37" s="89">
        <f>G8*Assumptions!F103</f>
        <v>17792607651.42857</v>
      </c>
      <c r="H37" s="89">
        <f>H8*Assumptions!F104</f>
        <v>22002885199.285717</v>
      </c>
      <c r="I37" s="89">
        <f>I8*Assumptions!F105</f>
        <v>27012987994.507137</v>
      </c>
      <c r="J37" s="89">
        <f>J8*Assumptions!F106</f>
        <v>32354678168.326504</v>
      </c>
      <c r="K37" s="89">
        <f>K8*Assumptions!F107</f>
        <v>37476814756.181786</v>
      </c>
      <c r="M37" s="138"/>
      <c r="N37" s="138"/>
      <c r="O37" s="138"/>
      <c r="P37" s="138"/>
      <c r="Q37" s="138"/>
      <c r="R37" s="138"/>
      <c r="S37" s="138"/>
      <c r="T37" s="301"/>
    </row>
    <row r="38" spans="1:20" ht="51.75" customHeight="1" thickBot="1">
      <c r="A38" s="92" t="s">
        <v>445</v>
      </c>
      <c r="C38" s="112"/>
      <c r="D38" s="112">
        <f>SUM(D33:D37)</f>
        <v>49742211845.833336</v>
      </c>
      <c r="E38" s="112">
        <f t="shared" ref="E38:K38" si="13">SUM(E33:E37)</f>
        <v>61289460968.75</v>
      </c>
      <c r="F38" s="112">
        <f t="shared" si="13"/>
        <v>82676638220</v>
      </c>
      <c r="G38" s="112">
        <f t="shared" si="13"/>
        <v>87182816482.142853</v>
      </c>
      <c r="H38" s="112">
        <f>SUM(H33:H37)</f>
        <v>92129885038.107147</v>
      </c>
      <c r="I38" s="112">
        <f>SUM(I33:I37)</f>
        <v>98012160546.269638</v>
      </c>
      <c r="J38" s="112">
        <f t="shared" si="13"/>
        <v>104348454478.57713</v>
      </c>
      <c r="K38" s="112">
        <f t="shared" si="13"/>
        <v>110576572894.68253</v>
      </c>
      <c r="M38" s="89"/>
      <c r="N38" s="89"/>
      <c r="O38" s="89"/>
      <c r="P38" s="89"/>
      <c r="Q38" s="89"/>
      <c r="R38" s="89"/>
      <c r="S38" s="89"/>
    </row>
    <row r="39" spans="1:20" ht="26.4" thickTop="1">
      <c r="C39" s="89"/>
      <c r="D39" s="89"/>
      <c r="E39" s="89"/>
      <c r="F39" s="89"/>
      <c r="G39" s="89"/>
      <c r="H39" s="89"/>
      <c r="I39" s="89"/>
      <c r="J39" s="89"/>
      <c r="K39" s="89"/>
      <c r="M39" s="89"/>
      <c r="N39" s="89"/>
      <c r="O39" s="89"/>
      <c r="P39" s="89"/>
      <c r="Q39" s="89"/>
      <c r="R39" s="89"/>
      <c r="S39" s="89"/>
    </row>
    <row r="40" spans="1:20" ht="33.75" customHeight="1">
      <c r="A40" s="90" t="s">
        <v>240</v>
      </c>
      <c r="C40" s="89"/>
      <c r="D40" s="89">
        <f>Assumptions!I54*Assumptions!I53*100000</f>
        <v>605340000</v>
      </c>
      <c r="E40" s="89">
        <f>Assumptions!I40*100000*Assumptions!I53</f>
        <v>590000000</v>
      </c>
      <c r="F40" s="89">
        <f t="shared" ref="F40:K40" si="14">E40</f>
        <v>590000000</v>
      </c>
      <c r="G40" s="89">
        <f t="shared" si="14"/>
        <v>590000000</v>
      </c>
      <c r="H40" s="89">
        <f t="shared" si="14"/>
        <v>590000000</v>
      </c>
      <c r="I40" s="89">
        <f t="shared" si="14"/>
        <v>590000000</v>
      </c>
      <c r="J40" s="89">
        <f t="shared" si="14"/>
        <v>590000000</v>
      </c>
      <c r="K40" s="89">
        <f t="shared" si="14"/>
        <v>590000000</v>
      </c>
    </row>
    <row r="41" spans="1:20" ht="30" customHeight="1">
      <c r="A41" s="90" t="str">
        <f>Assumptions!C65</f>
        <v>Employee Related Expenses</v>
      </c>
      <c r="C41" s="89"/>
      <c r="D41" s="89">
        <f>Assumptions!I65*Assumptions!I62</f>
        <v>1310000</v>
      </c>
      <c r="E41" s="89">
        <f>Assumptions!I65*Assumptions!I63</f>
        <v>1572000</v>
      </c>
      <c r="F41" s="89">
        <f>Assumptions!I65*Assumptions!F130*Assumptions!I71</f>
        <v>1650600</v>
      </c>
      <c r="G41" s="89">
        <f>Assumptions!I65*Assumptions!F130*Assumptions!I71</f>
        <v>1650600</v>
      </c>
      <c r="H41" s="89">
        <f>G41*Assumptions!I71</f>
        <v>1733130</v>
      </c>
      <c r="I41" s="89">
        <f>H41*Assumptions!I71</f>
        <v>1819786.5</v>
      </c>
      <c r="J41" s="89">
        <f>I41*Assumptions!I71</f>
        <v>1910775.8250000002</v>
      </c>
      <c r="K41" s="89">
        <f>J41*Assumptions!I71</f>
        <v>2006314.6162500002</v>
      </c>
      <c r="M41" s="89"/>
      <c r="N41" s="89"/>
      <c r="O41" s="89"/>
      <c r="P41" s="89"/>
      <c r="Q41" s="89"/>
      <c r="R41" s="89"/>
      <c r="S41" s="89"/>
    </row>
    <row r="42" spans="1:20" ht="33.75" customHeight="1">
      <c r="A42" s="90" t="str">
        <f>Assumptions!C66</f>
        <v>Administrative &amp; Office Expenses</v>
      </c>
      <c r="C42" s="89"/>
      <c r="D42" s="89">
        <f>Assumptions!I66*Assumptions!I62</f>
        <v>0</v>
      </c>
      <c r="E42" s="89">
        <f>Assumptions!I66*Assumptions!I63</f>
        <v>0</v>
      </c>
      <c r="F42" s="89">
        <f>Assumptions!I66*Assumptions!F130*Assumptions!I72</f>
        <v>0</v>
      </c>
      <c r="G42" s="89">
        <f>Assumptions!I66*Assumptions!F130*Assumptions!I72</f>
        <v>0</v>
      </c>
      <c r="H42" s="89">
        <f>G42*Assumptions!I72</f>
        <v>0</v>
      </c>
      <c r="I42" s="89">
        <f>H42*Assumptions!I72</f>
        <v>0</v>
      </c>
      <c r="J42" s="89">
        <f>I42*Assumptions!I72</f>
        <v>0</v>
      </c>
      <c r="K42" s="89">
        <f>J42*Assumptions!I72</f>
        <v>0</v>
      </c>
    </row>
    <row r="43" spans="1:20" ht="36.75" customHeight="1">
      <c r="A43" s="90" t="str">
        <f>Assumptions!C67</f>
        <v>Selling and Distribution Expenses</v>
      </c>
      <c r="C43" s="89"/>
      <c r="D43" s="89">
        <f>Assumptions!I67*Assumptions!I62</f>
        <v>0</v>
      </c>
      <c r="E43" s="89">
        <f>Assumptions!I67*Assumptions!I63</f>
        <v>0</v>
      </c>
      <c r="F43" s="89">
        <f>Assumptions!I67*Assumptions!F130*Assumptions!I73</f>
        <v>0</v>
      </c>
      <c r="G43" s="89">
        <f>F43*Assumptions!I73</f>
        <v>0</v>
      </c>
      <c r="H43" s="89">
        <f>G43*Assumptions!I73</f>
        <v>0</v>
      </c>
      <c r="I43" s="89">
        <f>H43*Assumptions!I73</f>
        <v>0</v>
      </c>
      <c r="J43" s="89">
        <f>I43*Assumptions!I73</f>
        <v>0</v>
      </c>
      <c r="K43" s="89">
        <f>J43*Assumptions!I73</f>
        <v>0</v>
      </c>
    </row>
    <row r="44" spans="1:20">
      <c r="A44" s="90" t="str">
        <f>Assumptions!C68</f>
        <v>General Overheads</v>
      </c>
      <c r="D44" s="90">
        <f>Assumptions!I68*Assumptions!I62</f>
        <v>0</v>
      </c>
      <c r="E44" s="90">
        <f>Assumptions!I68*Assumptions!I63</f>
        <v>0</v>
      </c>
      <c r="F44" s="90">
        <f>Assumptions!I68*Assumptions!F130*Assumptions!I74</f>
        <v>0</v>
      </c>
      <c r="G44" s="90">
        <f>Assumptions!I68*Assumptions!F130*Assumptions!I74</f>
        <v>0</v>
      </c>
      <c r="H44" s="90">
        <f>G44*Assumptions!I74</f>
        <v>0</v>
      </c>
      <c r="I44" s="90">
        <f>H44*Assumptions!I74</f>
        <v>0</v>
      </c>
      <c r="J44" s="90">
        <f>I44*Assumptions!I74</f>
        <v>0</v>
      </c>
      <c r="K44" s="90">
        <f>J44*Assumptions!I74</f>
        <v>0</v>
      </c>
    </row>
    <row r="45" spans="1:20" ht="33.75" customHeight="1">
      <c r="A45" s="90" t="str">
        <f>Assumptions!C69</f>
        <v>Miscellaneous Expenses</v>
      </c>
      <c r="C45" s="89"/>
      <c r="D45" s="89">
        <f>Assumptions!I69*Assumptions!I62</f>
        <v>0</v>
      </c>
      <c r="E45" s="89">
        <f>Assumptions!I69*Assumptions!I63</f>
        <v>0</v>
      </c>
      <c r="F45" s="89">
        <f>Assumptions!I69*Assumptions!F130</f>
        <v>0</v>
      </c>
      <c r="G45" s="89">
        <f>Assumptions!I69*Assumptions!F130*Assumptions!I75</f>
        <v>0</v>
      </c>
      <c r="H45" s="89">
        <f>G45*Assumptions!I75</f>
        <v>0</v>
      </c>
      <c r="I45" s="89">
        <f>H45*Assumptions!I75</f>
        <v>0</v>
      </c>
      <c r="J45" s="89">
        <f>I45*Assumptions!I75</f>
        <v>0</v>
      </c>
      <c r="K45" s="89">
        <f>J45*Assumptions!I75</f>
        <v>0</v>
      </c>
    </row>
    <row r="46" spans="1:20" ht="33.75" customHeight="1">
      <c r="C46" s="89"/>
      <c r="D46" s="89"/>
      <c r="E46" s="89"/>
      <c r="F46" s="89"/>
      <c r="G46" s="89"/>
      <c r="H46" s="89"/>
      <c r="I46" s="89"/>
      <c r="J46" s="89"/>
      <c r="K46" s="89"/>
    </row>
    <row r="47" spans="1:20" ht="84" customHeight="1" thickBot="1">
      <c r="A47" s="277" t="s">
        <v>443</v>
      </c>
      <c r="C47" s="109"/>
      <c r="D47" s="109">
        <f>SUM(D40:D46)</f>
        <v>606650000</v>
      </c>
      <c r="E47" s="109">
        <f t="shared" ref="E47:K47" si="15">SUM(E40:E46)</f>
        <v>591572000</v>
      </c>
      <c r="F47" s="109">
        <f t="shared" si="15"/>
        <v>591650600</v>
      </c>
      <c r="G47" s="109">
        <f t="shared" si="15"/>
        <v>591650600</v>
      </c>
      <c r="H47" s="109">
        <f t="shared" si="15"/>
        <v>591733130</v>
      </c>
      <c r="I47" s="109">
        <f t="shared" si="15"/>
        <v>591819786.5</v>
      </c>
      <c r="J47" s="109">
        <f t="shared" si="15"/>
        <v>591910775.82500005</v>
      </c>
      <c r="K47" s="109">
        <f t="shared" si="15"/>
        <v>592006314.61625004</v>
      </c>
    </row>
    <row r="48" spans="1:20" ht="41.25" customHeight="1" thickTop="1">
      <c r="C48" s="94"/>
    </row>
    <row r="49" spans="1:11" ht="34.5" customHeight="1">
      <c r="A49" s="90" t="s">
        <v>219</v>
      </c>
      <c r="C49" s="110"/>
      <c r="D49" s="321">
        <f>SUM('Loan sch'!E24:E35)</f>
        <v>594124999.99999964</v>
      </c>
      <c r="E49" s="321">
        <f>SUM('Loan sch'!E36:E47)</f>
        <v>447124999.99999952</v>
      </c>
      <c r="F49" s="321">
        <f>SUM('Loan sch'!E48:E59)</f>
        <v>300124999.99999958</v>
      </c>
      <c r="G49" s="321">
        <f>SUM('Loan sch'!E60:E71)</f>
        <v>153124999.99999967</v>
      </c>
      <c r="H49" s="321">
        <f>SUM('Loan sch'!E72:E83)</f>
        <v>21437499.999999836</v>
      </c>
      <c r="I49" s="321">
        <f>SUM('Loan sch'!E84:E95)</f>
        <v>0</v>
      </c>
      <c r="J49" s="321">
        <f>SUM('Loan sch'!E96:E107)</f>
        <v>0</v>
      </c>
      <c r="K49" s="321">
        <f>SUM('Loan sch'!E108:E119)</f>
        <v>0</v>
      </c>
    </row>
    <row r="50" spans="1:11" ht="34.5" customHeight="1">
      <c r="A50" s="90" t="s">
        <v>372</v>
      </c>
      <c r="C50" s="110"/>
      <c r="D50" s="110">
        <f>D28*Assumptions!I52*Assumptions!I62/Assumptions!F130</f>
        <v>4500000000</v>
      </c>
      <c r="E50" s="110">
        <f>E28*Assumptions!I52*Assumptions!I63/Assumptions!F130*Assumptions!F120</f>
        <v>5426999999.999999</v>
      </c>
      <c r="F50" s="89">
        <f>IF(E50=0,Assumptions!I51*100000*Assumptions!I52,Assumptions!I51*100000*Assumptions!I52*Assumptions!F127)</f>
        <v>5426999999.999999</v>
      </c>
      <c r="G50" s="89">
        <f>F50*Assumptions!F127</f>
        <v>5454134999.9999981</v>
      </c>
      <c r="H50" s="89">
        <f>G50*Assumptions!F127</f>
        <v>5481405674.9999971</v>
      </c>
      <c r="I50" s="89">
        <f>H50*Assumptions!F127</f>
        <v>5508812703.3749962</v>
      </c>
      <c r="J50" s="89">
        <f>I50*Assumptions!F127</f>
        <v>5536356766.8918705</v>
      </c>
      <c r="K50" s="89">
        <f>J50*Assumptions!F127</f>
        <v>5564038550.7263288</v>
      </c>
    </row>
    <row r="51" spans="1:11" ht="46.5" customHeight="1" thickBot="1">
      <c r="C51" s="109"/>
      <c r="D51" s="109">
        <f>SUM(D49:D50)</f>
        <v>5094125000</v>
      </c>
      <c r="E51" s="109">
        <f t="shared" ref="E51:K51" si="16">SUM(E49:E50)</f>
        <v>5874124999.9999981</v>
      </c>
      <c r="F51" s="109">
        <f t="shared" si="16"/>
        <v>5727124999.999999</v>
      </c>
      <c r="G51" s="109">
        <f t="shared" si="16"/>
        <v>5607259999.9999981</v>
      </c>
      <c r="H51" s="109">
        <f t="shared" si="16"/>
        <v>5502843174.9999971</v>
      </c>
      <c r="I51" s="109">
        <f t="shared" si="16"/>
        <v>5508812703.3749962</v>
      </c>
      <c r="J51" s="109">
        <f t="shared" si="16"/>
        <v>5536356766.8918705</v>
      </c>
      <c r="K51" s="109">
        <f t="shared" si="16"/>
        <v>5564038550.7263288</v>
      </c>
    </row>
    <row r="52" spans="1:11" ht="25.5" customHeight="1" thickTop="1">
      <c r="C52" s="94"/>
    </row>
    <row r="53" spans="1:11" ht="25.5" customHeight="1">
      <c r="C53" s="89"/>
      <c r="D53" s="89">
        <f>D13*30%</f>
        <v>6669762589.2857141</v>
      </c>
      <c r="E53" s="89">
        <f>E13*30%</f>
        <v>8435043685.714283</v>
      </c>
      <c r="F53" s="89"/>
      <c r="G53" s="89"/>
      <c r="H53" s="89"/>
      <c r="I53" s="89"/>
      <c r="J53" s="89"/>
      <c r="K53" s="89"/>
    </row>
    <row r="54" spans="1:11">
      <c r="A54" s="89" t="s">
        <v>779</v>
      </c>
      <c r="B54" s="89"/>
      <c r="C54" s="138"/>
      <c r="D54" s="89">
        <f>Assumptions!I51*Assumptions!F122*100000</f>
        <v>58500000000</v>
      </c>
      <c r="E54" s="89">
        <f>D54</f>
        <v>58500000000</v>
      </c>
      <c r="F54" s="89"/>
      <c r="G54" s="89"/>
      <c r="H54" s="89"/>
      <c r="I54" s="89"/>
      <c r="J54" s="89"/>
      <c r="K54" s="89"/>
    </row>
    <row r="55" spans="1:11">
      <c r="A55" s="89" t="s">
        <v>780</v>
      </c>
      <c r="B55" s="89"/>
      <c r="C55" s="138"/>
      <c r="D55" s="89">
        <f>Assumptions!I51*Assumptions!F121*100000</f>
        <v>36000000000</v>
      </c>
      <c r="E55" s="89">
        <f>D55</f>
        <v>36000000000</v>
      </c>
    </row>
    <row r="57" spans="1:11">
      <c r="A57" s="90" t="s">
        <v>792</v>
      </c>
      <c r="E57" s="89">
        <f>MIN(E53,E55)</f>
        <v>8435043685.714283</v>
      </c>
    </row>
    <row r="59" spans="1:11">
      <c r="A59" s="90" t="s">
        <v>781</v>
      </c>
      <c r="D59" s="89">
        <f>IF(Assumptions!I62&lt;9,D13*30%,D55)</f>
        <v>36000000000</v>
      </c>
      <c r="E59" s="89">
        <f>IF(Assumptions!J63&lt;9,E13*30%,E55)</f>
        <v>8435043685.714283</v>
      </c>
    </row>
    <row r="62" spans="1:11">
      <c r="A62" s="593" t="s">
        <v>786</v>
      </c>
      <c r="D62" s="321">
        <f>'Final workings'!B9</f>
        <v>6669760000</v>
      </c>
      <c r="E62" s="321">
        <f>'Final workings'!C9</f>
        <v>58500000000</v>
      </c>
    </row>
    <row r="63" spans="1:11">
      <c r="A63" s="593" t="s">
        <v>787</v>
      </c>
      <c r="D63" s="321">
        <f>'Final workings'!B19</f>
        <v>2478070000</v>
      </c>
      <c r="E63" s="321">
        <f>'Final workings'!C19</f>
        <v>-857360000</v>
      </c>
    </row>
    <row r="64" spans="1:11">
      <c r="A64" s="593"/>
      <c r="D64" s="321"/>
      <c r="E64" s="321"/>
    </row>
    <row r="65" spans="1:5">
      <c r="A65" s="593" t="s">
        <v>786</v>
      </c>
      <c r="B65" s="149">
        <v>0.75</v>
      </c>
      <c r="D65" s="321">
        <f>D62*B65</f>
        <v>5002320000</v>
      </c>
      <c r="E65" s="321">
        <f>B65*E62</f>
        <v>43875000000</v>
      </c>
    </row>
    <row r="66" spans="1:5">
      <c r="A66" s="593" t="s">
        <v>787</v>
      </c>
      <c r="B66" s="149">
        <v>0.5</v>
      </c>
      <c r="D66" s="321">
        <f>B66*D63</f>
        <v>1239035000</v>
      </c>
      <c r="E66" s="321">
        <f>B66*E63</f>
        <v>-428680000</v>
      </c>
    </row>
    <row r="67" spans="1:5">
      <c r="A67" s="593" t="s">
        <v>790</v>
      </c>
      <c r="D67" s="321">
        <f>D65+D66</f>
        <v>6241355000</v>
      </c>
      <c r="E67" s="321">
        <f>E65+E66</f>
        <v>43446320000</v>
      </c>
    </row>
    <row r="68" spans="1:5">
      <c r="A68" s="90" t="s">
        <v>788</v>
      </c>
      <c r="D68" s="321">
        <f>ROUND(D67,-4)</f>
        <v>6241360000</v>
      </c>
      <c r="E68" s="321">
        <f>ROUND(E67,-4)</f>
        <v>43446320000</v>
      </c>
    </row>
    <row r="69" spans="1:5">
      <c r="A69" s="593"/>
      <c r="D69" s="321"/>
      <c r="E69" s="89"/>
    </row>
    <row r="70" spans="1:5">
      <c r="A70" s="93" t="s">
        <v>789</v>
      </c>
      <c r="D70" s="321">
        <f>'Workings for PL BS 1'!D28</f>
        <v>45000000000</v>
      </c>
      <c r="E70" s="321">
        <f>'Workings for PL BS 1'!E28</f>
        <v>45000000000</v>
      </c>
    </row>
    <row r="71" spans="1:5">
      <c r="A71" s="93"/>
      <c r="D71" s="321"/>
      <c r="E71" s="321"/>
    </row>
    <row r="72" spans="1:5">
      <c r="A72" s="93" t="s">
        <v>791</v>
      </c>
      <c r="D72" s="321">
        <f>IF(D68&lt;D70,D68,D70)</f>
        <v>6241360000</v>
      </c>
      <c r="E72" s="321">
        <f>IF(E68&lt;E70,E68,E70)</f>
        <v>43446320000</v>
      </c>
    </row>
    <row r="73" spans="1:5">
      <c r="A73" s="593"/>
      <c r="D73" s="593"/>
    </row>
    <row r="74" spans="1:5">
      <c r="A74" s="593" t="s">
        <v>784</v>
      </c>
      <c r="D74" s="321">
        <f>ROUND(D62,-4)</f>
        <v>6669760000</v>
      </c>
      <c r="E74" s="321">
        <f>ROUND(E62,-4)</f>
        <v>58500000000</v>
      </c>
    </row>
    <row r="75" spans="1:5">
      <c r="A75" s="90" t="s">
        <v>785</v>
      </c>
    </row>
    <row r="77" spans="1:5">
      <c r="A77" s="90" t="s">
        <v>796</v>
      </c>
      <c r="D77" s="595">
        <f>IF(AND(Assumptions!I62=0,Assumptions!I63=0),F17*65/30,
IF(AND(Assumptions!I62=0,Assumptions!I63&gt;0,Assumptions!I63&lt;6),F17*65/29,
IF(AND(Assumptions!I62=0,Assumptions!I63&gt;=6),F17*65/31,
IF(Assumptions!I62=0,F17*65/32,F17*65/35))))</f>
        <v>29467867185.714279</v>
      </c>
      <c r="E77" s="595">
        <f>G17*65/32</f>
        <v>33708036374.999992</v>
      </c>
    </row>
  </sheetData>
  <mergeCells count="4">
    <mergeCell ref="A1:K1"/>
    <mergeCell ref="A2:K2"/>
    <mergeCell ref="A3:A4"/>
    <mergeCell ref="B3:B4"/>
  </mergeCells>
  <phoneticPr fontId="2" type="noConversion"/>
  <pageMargins left="0.15748031496062992" right="0.15748031496062992" top="0.43307086614173229" bottom="0.23622047244094491" header="0.27559055118110237" footer="0.15748031496062992"/>
  <pageSetup scale="45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68761-C95C-4396-AD70-00EDE0BB22F1}">
  <sheetPr codeName="Sheet4"/>
  <dimension ref="A1:M31"/>
  <sheetViews>
    <sheetView zoomScale="85" zoomScaleNormal="85" workbookViewId="0">
      <selection activeCell="J31" sqref="J31"/>
    </sheetView>
  </sheetViews>
  <sheetFormatPr defaultRowHeight="13.2"/>
  <cols>
    <col min="1" max="1" width="48.77734375" customWidth="1"/>
    <col min="2" max="2" width="13" customWidth="1"/>
    <col min="3" max="3" width="12.21875" customWidth="1"/>
    <col min="4" max="4" width="11.5546875" customWidth="1"/>
    <col min="5" max="5" width="10.77734375" customWidth="1"/>
    <col min="6" max="6" width="11.21875" customWidth="1"/>
    <col min="7" max="7" width="10.77734375" customWidth="1"/>
    <col min="8" max="8" width="11.5546875" customWidth="1"/>
    <col min="9" max="9" width="11.21875" customWidth="1"/>
    <col min="10" max="10" width="14.44140625" customWidth="1"/>
  </cols>
  <sheetData>
    <row r="1" spans="1:10" ht="13.8" thickBot="1"/>
    <row r="2" spans="1:10" ht="15" thickBot="1">
      <c r="A2" s="822" t="s">
        <v>478</v>
      </c>
      <c r="B2" s="823"/>
      <c r="C2" s="823"/>
      <c r="D2" s="823"/>
      <c r="E2" s="823"/>
      <c r="F2" s="823"/>
      <c r="G2" s="823"/>
      <c r="H2" s="823"/>
      <c r="I2" s="824"/>
    </row>
    <row r="3" spans="1:10" ht="14.4">
      <c r="A3" s="820" t="s">
        <v>457</v>
      </c>
      <c r="B3" s="821"/>
      <c r="C3" s="821"/>
      <c r="D3" s="821"/>
      <c r="E3" s="821"/>
      <c r="F3" s="821"/>
      <c r="G3" s="821"/>
      <c r="H3" s="821"/>
      <c r="I3" s="821"/>
    </row>
    <row r="4" spans="1:10" ht="15" thickBot="1">
      <c r="A4" s="325" t="s">
        <v>14</v>
      </c>
      <c r="B4" s="323" t="str">
        <f>Assumptions!I78</f>
        <v>2024-25</v>
      </c>
      <c r="C4" s="324" t="str">
        <f>Assumptions!I79</f>
        <v>2025-26</v>
      </c>
      <c r="D4" s="324" t="str">
        <f>Assumptions!I80</f>
        <v>2026-27</v>
      </c>
      <c r="E4" s="324" t="str">
        <f>Assumptions!I81</f>
        <v>2027-28</v>
      </c>
      <c r="F4" s="324" t="str">
        <f>Assumptions!I82</f>
        <v>2028-29</v>
      </c>
      <c r="G4" s="324" t="str">
        <f>Assumptions!I83</f>
        <v>2029-30</v>
      </c>
      <c r="H4" s="324" t="str">
        <f>Assumptions!I84</f>
        <v>2030-31</v>
      </c>
      <c r="I4" s="324" t="str">
        <f>Assumptions!I85</f>
        <v>2031-32</v>
      </c>
    </row>
    <row r="5" spans="1:10" ht="14.4">
      <c r="A5" s="22" t="s">
        <v>391</v>
      </c>
      <c r="B5" s="163">
        <f>'Workings for PL BS 1'!D49</f>
        <v>594124999.99999964</v>
      </c>
      <c r="C5" s="163">
        <f>'Workings for PL BS 1'!E49</f>
        <v>447124999.99999952</v>
      </c>
      <c r="D5" s="163">
        <f>'Workings for PL BS 1'!F49</f>
        <v>300124999.99999958</v>
      </c>
      <c r="E5" s="163">
        <f>'Workings for PL BS 1'!G49</f>
        <v>153124999.99999967</v>
      </c>
      <c r="F5" s="163">
        <f>'Workings for PL BS 1'!H49</f>
        <v>21437499.999999836</v>
      </c>
      <c r="G5" s="163">
        <f>'Workings for PL BS 1'!I49</f>
        <v>0</v>
      </c>
      <c r="H5" s="163">
        <f>'Workings for PL BS 1'!J49</f>
        <v>0</v>
      </c>
      <c r="I5" s="163">
        <f>'Workings for PL BS 1'!K49</f>
        <v>0</v>
      </c>
    </row>
    <row r="6" spans="1:10" ht="14.4">
      <c r="A6" s="22" t="s">
        <v>372</v>
      </c>
      <c r="B6" s="163">
        <f>'Workings for PL BS 1'!D50</f>
        <v>4500000000</v>
      </c>
      <c r="C6" s="163">
        <f>'Workings for PL BS 1'!E50</f>
        <v>5426999999.999999</v>
      </c>
      <c r="D6" s="163">
        <f>'Workings for PL BS 1'!F50</f>
        <v>5426999999.999999</v>
      </c>
      <c r="E6" s="163">
        <f>'Workings for PL BS 1'!G50</f>
        <v>5454134999.9999981</v>
      </c>
      <c r="F6" s="163">
        <f>'Workings for PL BS 1'!H50</f>
        <v>5481405674.9999971</v>
      </c>
      <c r="G6" s="163">
        <f>'Workings for PL BS 1'!I50</f>
        <v>5508812703.3749962</v>
      </c>
      <c r="H6" s="163">
        <f>'Workings for PL BS 1'!J50</f>
        <v>5536356766.8918705</v>
      </c>
      <c r="I6" s="163">
        <f>'Workings for PL BS 1'!K50</f>
        <v>5564038550.7263288</v>
      </c>
    </row>
    <row r="7" spans="1:10" ht="15" thickBot="1">
      <c r="A7" s="32" t="s">
        <v>398</v>
      </c>
      <c r="B7" s="322">
        <f t="shared" ref="B7:I7" si="0">SUM(B5:B6)</f>
        <v>5094125000</v>
      </c>
      <c r="C7" s="322">
        <f t="shared" si="0"/>
        <v>5874124999.9999981</v>
      </c>
      <c r="D7" s="322">
        <f t="shared" si="0"/>
        <v>5727124999.999999</v>
      </c>
      <c r="E7" s="322">
        <f t="shared" si="0"/>
        <v>5607259999.9999981</v>
      </c>
      <c r="F7" s="322">
        <f t="shared" si="0"/>
        <v>5502843174.9999971</v>
      </c>
      <c r="G7" s="322">
        <f t="shared" si="0"/>
        <v>5508812703.3749962</v>
      </c>
      <c r="H7" s="322">
        <f t="shared" si="0"/>
        <v>5536356766.8918705</v>
      </c>
      <c r="I7" s="322">
        <f t="shared" si="0"/>
        <v>5564038550.7263288</v>
      </c>
    </row>
    <row r="8" spans="1:10" ht="14.4">
      <c r="A8" s="2"/>
      <c r="B8" s="2"/>
      <c r="C8" s="2"/>
      <c r="D8" s="2"/>
      <c r="E8" s="2"/>
      <c r="F8" s="2"/>
      <c r="G8" s="2"/>
      <c r="H8" s="2"/>
      <c r="I8" s="2"/>
    </row>
    <row r="9" spans="1:10" ht="15">
      <c r="A9" s="293" t="s">
        <v>392</v>
      </c>
      <c r="B9" s="2"/>
      <c r="C9" s="2"/>
      <c r="D9" s="2"/>
      <c r="E9" s="2"/>
      <c r="F9" s="2"/>
      <c r="G9" s="2"/>
      <c r="H9" s="2"/>
      <c r="I9" s="2"/>
    </row>
    <row r="10" spans="1:10" ht="14.4">
      <c r="A10" s="22" t="s">
        <v>393</v>
      </c>
      <c r="B10" s="163">
        <f>Repayment!B21</f>
        <v>1400000000</v>
      </c>
      <c r="C10" s="163">
        <f>Repayment!C21</f>
        <v>1400000000</v>
      </c>
      <c r="D10" s="163">
        <f>Repayment!D21</f>
        <v>1400000000</v>
      </c>
      <c r="E10" s="163">
        <f>Repayment!E21</f>
        <v>1400000000</v>
      </c>
      <c r="F10" s="163">
        <f>Repayment!F21</f>
        <v>700000000</v>
      </c>
      <c r="G10" s="163">
        <f>Repayment!G21</f>
        <v>0</v>
      </c>
      <c r="H10" s="163">
        <f>Repayment!H21</f>
        <v>0</v>
      </c>
      <c r="I10" s="163">
        <f>Repayment!I21</f>
        <v>0</v>
      </c>
    </row>
    <row r="11" spans="1:10" ht="17.25" customHeight="1">
      <c r="A11" s="22"/>
      <c r="B11" s="163"/>
      <c r="C11" s="163"/>
      <c r="D11" s="163"/>
      <c r="E11" s="163"/>
      <c r="F11" s="163"/>
      <c r="G11" s="163"/>
      <c r="H11" s="163"/>
      <c r="I11" s="163"/>
    </row>
    <row r="12" spans="1:10" ht="14.4">
      <c r="A12" s="22" t="s">
        <v>394</v>
      </c>
      <c r="B12" s="163">
        <f>'Loan sch'!G24</f>
        <v>6183333333.333333</v>
      </c>
      <c r="C12" s="163">
        <f>'Loan sch'!G36</f>
        <v>4783333333.3333292</v>
      </c>
      <c r="D12" s="163">
        <f>'Loan sch'!G48</f>
        <v>3383333333.3333292</v>
      </c>
      <c r="E12" s="163">
        <f>'Loan sch'!G60</f>
        <v>1983333333.3333306</v>
      </c>
      <c r="F12" s="163">
        <f>'Loan sch'!G72</f>
        <v>583333333.33333027</v>
      </c>
      <c r="G12" s="163" t="str">
        <f>'Loan sch'!G84</f>
        <v/>
      </c>
      <c r="H12" s="163" t="str">
        <f>'Loan sch'!G96</f>
        <v/>
      </c>
      <c r="I12" s="163">
        <f>'Loan sch'!G108</f>
        <v>0</v>
      </c>
    </row>
    <row r="13" spans="1:10" ht="14.4">
      <c r="A13" s="22" t="s">
        <v>395</v>
      </c>
      <c r="B13" s="163">
        <f>Repayment!B22</f>
        <v>1400000000</v>
      </c>
      <c r="C13" s="163">
        <f>Repayment!C22</f>
        <v>1400000000</v>
      </c>
      <c r="D13" s="163">
        <f>Repayment!D22</f>
        <v>1400000000</v>
      </c>
      <c r="E13" s="163">
        <f>Repayment!E22</f>
        <v>700000000</v>
      </c>
      <c r="F13" s="163">
        <f>Repayment!F22</f>
        <v>0</v>
      </c>
      <c r="G13" s="163">
        <f>Repayment!G22</f>
        <v>0</v>
      </c>
      <c r="H13" s="163">
        <f>Repayment!H22</f>
        <v>0</v>
      </c>
      <c r="I13" s="163">
        <f>Repayment!I22</f>
        <v>0</v>
      </c>
    </row>
    <row r="14" spans="1:10" ht="15" thickBot="1">
      <c r="A14" s="32" t="s">
        <v>396</v>
      </c>
      <c r="B14" s="322">
        <f t="shared" ref="B14:I14" si="1">B12-B13</f>
        <v>4783333333.333333</v>
      </c>
      <c r="C14" s="322">
        <f t="shared" si="1"/>
        <v>3383333333.3333292</v>
      </c>
      <c r="D14" s="322">
        <f t="shared" si="1"/>
        <v>1983333333.3333292</v>
      </c>
      <c r="E14" s="322">
        <f t="shared" si="1"/>
        <v>1283333333.3333306</v>
      </c>
      <c r="F14" s="322">
        <f t="shared" si="1"/>
        <v>583333333.33333027</v>
      </c>
      <c r="G14" s="322" t="e">
        <f t="shared" si="1"/>
        <v>#VALUE!</v>
      </c>
      <c r="H14" s="322" t="e">
        <f t="shared" si="1"/>
        <v>#VALUE!</v>
      </c>
      <c r="I14" s="322">
        <f t="shared" si="1"/>
        <v>0</v>
      </c>
    </row>
    <row r="15" spans="1:10" ht="14.4">
      <c r="A15" s="152" t="s">
        <v>400</v>
      </c>
      <c r="B15" s="331">
        <f>IF('PL BS'!D14&gt;0,Assumptions!I51*100000,0)</f>
        <v>45000000000</v>
      </c>
      <c r="C15" s="332">
        <f>IF('PL BS'!E14&gt;0,Assumptions!I51*100000,0)</f>
        <v>0</v>
      </c>
      <c r="D15" s="332">
        <f>IF('PL BS'!F14&gt;0,Assumptions!I51*100000,0)</f>
        <v>45000000000</v>
      </c>
      <c r="E15" s="332">
        <f>IF('PL BS'!G14&gt;0,Assumptions!I51*100000)</f>
        <v>45000000000</v>
      </c>
      <c r="F15" s="332">
        <f>IF('PL BS'!H14&gt;0,Assumptions!I51*100000,0)</f>
        <v>45000000000</v>
      </c>
      <c r="G15" s="332">
        <f>IF('PL BS'!I14&gt;0,Assumptions!I51*100000,0)</f>
        <v>45000000000</v>
      </c>
      <c r="H15" s="332">
        <f>IF('PL BS'!J14&gt;0,Assumptions!I51*100000,0)</f>
        <v>45000000000</v>
      </c>
      <c r="I15" s="332">
        <f>IF('PL BS'!K14&gt;0,Assumptions!I51*100000,0)</f>
        <v>45000000000</v>
      </c>
      <c r="J15" s="121"/>
    </row>
    <row r="16" spans="1:10" ht="14.4">
      <c r="A16" s="32"/>
      <c r="B16" s="330"/>
      <c r="C16" s="330"/>
      <c r="D16" s="330"/>
      <c r="E16" s="330"/>
      <c r="F16" s="330"/>
      <c r="G16" s="330"/>
      <c r="H16" s="330"/>
      <c r="I16" s="330"/>
    </row>
    <row r="17" spans="1:13" ht="14.4">
      <c r="A17" s="32"/>
      <c r="B17" s="296"/>
      <c r="C17" s="296"/>
      <c r="D17" s="296"/>
      <c r="E17" s="296"/>
      <c r="F17" s="296"/>
      <c r="G17" s="296"/>
      <c r="H17" s="296"/>
      <c r="I17" s="296"/>
    </row>
    <row r="18" spans="1:13" ht="14.4">
      <c r="A18" s="293" t="s">
        <v>455</v>
      </c>
      <c r="B18" s="296"/>
      <c r="C18" s="296"/>
      <c r="D18" s="296"/>
      <c r="E18" s="296"/>
      <c r="F18" s="296"/>
      <c r="G18" s="296"/>
      <c r="H18" s="296"/>
      <c r="I18" s="296"/>
    </row>
    <row r="19" spans="1:13" ht="14.4">
      <c r="A19" s="32" t="s">
        <v>397</v>
      </c>
      <c r="B19" s="296"/>
      <c r="C19" s="296"/>
      <c r="D19" s="296"/>
      <c r="E19" s="296"/>
      <c r="F19" s="296"/>
      <c r="G19" s="296"/>
      <c r="H19" s="296"/>
      <c r="I19" s="296"/>
    </row>
    <row r="20" spans="1:13" ht="14.4">
      <c r="A20" s="22" t="s">
        <v>418</v>
      </c>
      <c r="B20" s="163">
        <f>'Dep IT act'!M16*100000</f>
        <v>7500000000</v>
      </c>
      <c r="C20" s="163">
        <f>'Dep IT act'!M23*100000</f>
        <v>6583333333.333333</v>
      </c>
      <c r="D20" s="163">
        <f>'Dep IT act'!M30*100000</f>
        <v>5618750000</v>
      </c>
      <c r="E20" s="163">
        <f>'Dep IT act'!M37*100000</f>
        <v>4796562500</v>
      </c>
      <c r="F20" s="163">
        <f>'Dep IT act'!M44*100000</f>
        <v>4095640625</v>
      </c>
      <c r="G20" s="163">
        <f>'Dep IT act'!M51*100000</f>
        <v>3498000781.25</v>
      </c>
      <c r="H20" s="163">
        <f>'Dep IT act'!M58*100000</f>
        <v>2988336289.0625</v>
      </c>
      <c r="I20" s="163">
        <f>'Dep IT act'!M65*100000</f>
        <v>2553617908.2031255</v>
      </c>
    </row>
    <row r="21" spans="1:13" ht="14.4">
      <c r="A21" s="22" t="s">
        <v>416</v>
      </c>
      <c r="B21" s="163">
        <f>'Dep IT act'!M17*100000</f>
        <v>916666666.66666663</v>
      </c>
      <c r="C21" s="163">
        <f>'Dep IT act'!M24*100000</f>
        <v>964583333.33333337</v>
      </c>
      <c r="D21" s="163">
        <f>'Dep IT act'!M31*100000</f>
        <v>822187500</v>
      </c>
      <c r="E21" s="163">
        <f>'Dep IT act'!M38*100000</f>
        <v>700921875</v>
      </c>
      <c r="F21" s="163">
        <f>'Dep IT act'!M45*100000</f>
        <v>597639843.75</v>
      </c>
      <c r="G21" s="163">
        <f>'Dep IT act'!M52*100000</f>
        <v>509664492.18749994</v>
      </c>
      <c r="H21" s="163">
        <f>'Dep IT act'!M59*100000</f>
        <v>434718380.859375</v>
      </c>
      <c r="I21" s="163">
        <f>'Dep IT act'!M66*100000</f>
        <v>370863829.98046875</v>
      </c>
    </row>
    <row r="22" spans="1:13" ht="15" thickBot="1">
      <c r="A22" s="32" t="s">
        <v>417</v>
      </c>
      <c r="B22" s="322">
        <f t="shared" ref="B22:I22" si="2">B20-B21</f>
        <v>6583333333.333333</v>
      </c>
      <c r="C22" s="322">
        <f t="shared" si="2"/>
        <v>5618750000</v>
      </c>
      <c r="D22" s="322">
        <f t="shared" si="2"/>
        <v>4796562500</v>
      </c>
      <c r="E22" s="322">
        <f t="shared" si="2"/>
        <v>4095640625</v>
      </c>
      <c r="F22" s="322">
        <f t="shared" si="2"/>
        <v>3498000781.25</v>
      </c>
      <c r="G22" s="322">
        <f t="shared" si="2"/>
        <v>2988336289.0625</v>
      </c>
      <c r="H22" s="322">
        <f t="shared" si="2"/>
        <v>2553617908.203125</v>
      </c>
      <c r="I22" s="322">
        <f t="shared" si="2"/>
        <v>2182754078.2226567</v>
      </c>
    </row>
    <row r="25" spans="1:13" s="22" customFormat="1" ht="16.5" customHeight="1">
      <c r="A25" s="288" t="str">
        <f t="shared" ref="A25:I25" si="3">A10</f>
        <v>Total Principal amount Repayment</v>
      </c>
      <c r="B25" s="143">
        <f t="shared" si="3"/>
        <v>1400000000</v>
      </c>
      <c r="C25" s="143">
        <f t="shared" si="3"/>
        <v>1400000000</v>
      </c>
      <c r="D25" s="143">
        <f t="shared" si="3"/>
        <v>1400000000</v>
      </c>
      <c r="E25" s="143">
        <f t="shared" si="3"/>
        <v>1400000000</v>
      </c>
      <c r="F25" s="143">
        <f t="shared" si="3"/>
        <v>700000000</v>
      </c>
      <c r="G25" s="143">
        <f t="shared" si="3"/>
        <v>0</v>
      </c>
      <c r="H25" s="143">
        <f t="shared" si="3"/>
        <v>0</v>
      </c>
      <c r="I25" s="143">
        <f t="shared" si="3"/>
        <v>0</v>
      </c>
      <c r="K25" s="326"/>
      <c r="L25" s="326"/>
      <c r="M25" s="326"/>
    </row>
    <row r="26" spans="1:13" s="22" customFormat="1" ht="14.4">
      <c r="A26" s="288" t="str">
        <f t="shared" ref="A26:I26" si="4">A7</f>
        <v>Total Interest</v>
      </c>
      <c r="B26" s="327">
        <f t="shared" si="4"/>
        <v>5094125000</v>
      </c>
      <c r="C26" s="327">
        <f t="shared" si="4"/>
        <v>5874124999.9999981</v>
      </c>
      <c r="D26" s="327">
        <f t="shared" si="4"/>
        <v>5727124999.999999</v>
      </c>
      <c r="E26" s="327">
        <f t="shared" si="4"/>
        <v>5607259999.9999981</v>
      </c>
      <c r="F26" s="327">
        <f t="shared" si="4"/>
        <v>5502843174.9999971</v>
      </c>
      <c r="G26" s="327">
        <f t="shared" si="4"/>
        <v>5508812703.3749962</v>
      </c>
      <c r="H26" s="327">
        <f t="shared" si="4"/>
        <v>5536356766.8918705</v>
      </c>
      <c r="I26" s="327">
        <f t="shared" si="4"/>
        <v>5564038550.7263288</v>
      </c>
      <c r="J26" s="163"/>
      <c r="K26" s="326"/>
      <c r="L26" s="326"/>
      <c r="M26" s="326"/>
    </row>
    <row r="27" spans="1:13" s="22" customFormat="1" ht="14.4">
      <c r="A27" s="288" t="s">
        <v>456</v>
      </c>
      <c r="B27" s="333">
        <f t="shared" ref="B27:I27" si="5">B26+B25</f>
        <v>6494125000</v>
      </c>
      <c r="C27" s="333">
        <f t="shared" si="5"/>
        <v>7274124999.9999981</v>
      </c>
      <c r="D27" s="333">
        <f t="shared" si="5"/>
        <v>7127124999.999999</v>
      </c>
      <c r="E27" s="333">
        <f t="shared" si="5"/>
        <v>7007259999.9999981</v>
      </c>
      <c r="F27" s="333">
        <f t="shared" si="5"/>
        <v>6202843174.9999971</v>
      </c>
      <c r="G27" s="333">
        <f t="shared" si="5"/>
        <v>5508812703.3749962</v>
      </c>
      <c r="H27" s="333">
        <f t="shared" si="5"/>
        <v>5536356766.8918705</v>
      </c>
      <c r="I27" s="333">
        <f t="shared" si="5"/>
        <v>5564038550.7263288</v>
      </c>
      <c r="K27" s="326"/>
      <c r="L27" s="326"/>
      <c r="M27" s="326"/>
    </row>
    <row r="28" spans="1:13" s="22" customFormat="1" ht="14.4">
      <c r="A28" s="288" t="s">
        <v>481</v>
      </c>
      <c r="B28" s="143">
        <f>B27</f>
        <v>6494125000</v>
      </c>
      <c r="C28" s="143">
        <f>C27</f>
        <v>7274124999.9999981</v>
      </c>
      <c r="D28" s="825">
        <f>MAX(C27:I27)</f>
        <v>7274124999.9999981</v>
      </c>
      <c r="E28" s="826"/>
      <c r="F28" s="826"/>
      <c r="G28" s="826"/>
      <c r="H28" s="826"/>
      <c r="I28" s="827"/>
      <c r="M28" s="163"/>
    </row>
    <row r="29" spans="1:13" s="22" customFormat="1" ht="15" thickBot="1">
      <c r="A29" s="328"/>
      <c r="B29" s="297"/>
      <c r="C29" s="329"/>
      <c r="D29" s="329"/>
      <c r="E29" s="329"/>
      <c r="F29" s="329"/>
      <c r="G29" s="329"/>
      <c r="H29" s="329"/>
      <c r="I29" s="329"/>
      <c r="M29" s="163"/>
    </row>
    <row r="30" spans="1:13" s="22" customFormat="1" ht="14.4">
      <c r="A30" s="32"/>
      <c r="B30" s="163"/>
      <c r="C30" s="290"/>
      <c r="D30" s="290"/>
      <c r="E30" s="290"/>
      <c r="F30" s="290"/>
      <c r="G30" s="290"/>
      <c r="H30" s="290"/>
      <c r="I30" s="290"/>
      <c r="M30" s="163"/>
    </row>
    <row r="31" spans="1:13" s="22" customFormat="1" ht="14.4">
      <c r="A31" s="395" t="s">
        <v>795</v>
      </c>
      <c r="B31" s="143">
        <f>'Final workings'!B6*'WorKings for PL BS 2'!B28</f>
        <v>11364718750</v>
      </c>
      <c r="C31" s="143">
        <f>'Final workings'!C6*C28</f>
        <v>14548249999.999996</v>
      </c>
      <c r="D31" s="143">
        <f>'Final workings'!D6*'WorKings for PL BS 2'!D28</f>
        <v>15275662499.999996</v>
      </c>
      <c r="E31" s="143">
        <f>'Final workings'!E6*'WorKings for PL BS 2'!D28</f>
        <v>16003074999.999996</v>
      </c>
      <c r="F31" s="143">
        <f>'Final workings'!F6*'WorKings for PL BS 2'!D28</f>
        <v>16730487499.999998</v>
      </c>
      <c r="G31" s="143">
        <f>'Final workings'!G6*'WorKings for PL BS 2'!D28</f>
        <v>17457899999.999996</v>
      </c>
      <c r="H31" s="143">
        <f>'Final workings'!H6*'WorKings for PL BS 2'!D28</f>
        <v>18185312500</v>
      </c>
      <c r="I31" s="143">
        <f>'Final workings'!I6*'WorKings for PL BS 2'!D28</f>
        <v>18912725000</v>
      </c>
      <c r="J31" s="530"/>
      <c r="K31" s="531"/>
    </row>
  </sheetData>
  <mergeCells count="3">
    <mergeCell ref="A3:I3"/>
    <mergeCell ref="A2:I2"/>
    <mergeCell ref="D28:I28"/>
  </mergeCells>
  <pageMargins left="0.15748031496062992" right="0.15748031496062992" top="0.39370078740157483" bottom="0.33" header="0.31496062992125984" footer="0.16"/>
  <pageSetup scale="75" orientation="portrait" horizontalDpi="0" verticalDpi="0" r:id="rId1"/>
  <rowBreaks count="1" manualBreakCount="1">
    <brk id="56" max="8" man="1"/>
  </rowBreaks>
  <colBreaks count="1" manualBreakCount="1">
    <brk id="9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249E3-73BA-43F7-8D28-DA7A8D391937}">
  <sheetPr codeName="Sheet5"/>
  <dimension ref="A1:M77"/>
  <sheetViews>
    <sheetView tabSelected="1" view="pageBreakPreview" topLeftCell="A19" zoomScale="60" zoomScaleNormal="85" workbookViewId="0">
      <selection activeCell="L31" sqref="L31"/>
    </sheetView>
  </sheetViews>
  <sheetFormatPr defaultRowHeight="13.2"/>
  <cols>
    <col min="1" max="1" width="51.21875" customWidth="1"/>
    <col min="2" max="2" width="12.77734375" customWidth="1"/>
    <col min="3" max="3" width="10.44140625" customWidth="1"/>
    <col min="4" max="4" width="10.77734375" customWidth="1"/>
    <col min="5" max="5" width="11.21875" customWidth="1"/>
    <col min="6" max="6" width="10.21875" customWidth="1"/>
    <col min="7" max="7" width="10.77734375" customWidth="1"/>
    <col min="8" max="8" width="11" customWidth="1"/>
    <col min="9" max="9" width="10.77734375" customWidth="1"/>
  </cols>
  <sheetData>
    <row r="1" spans="1:13" s="22" customFormat="1" ht="14.4">
      <c r="A1" s="32"/>
      <c r="B1" s="163"/>
      <c r="C1" s="290"/>
      <c r="D1" s="290"/>
      <c r="E1" s="290"/>
      <c r="F1" s="290"/>
      <c r="G1" s="290"/>
      <c r="H1" s="290"/>
      <c r="I1" s="290"/>
      <c r="M1" s="163"/>
    </row>
    <row r="2" spans="1:13" s="30" customFormat="1" ht="14.4">
      <c r="A2" s="154"/>
      <c r="B2" s="295"/>
      <c r="C2" s="718"/>
      <c r="D2" s="718"/>
      <c r="E2" s="718"/>
      <c r="F2" s="718"/>
      <c r="G2" s="718"/>
      <c r="H2" s="718"/>
      <c r="I2" s="718"/>
      <c r="M2" s="295"/>
    </row>
    <row r="3" spans="1:13" s="22" customFormat="1" ht="16.2">
      <c r="A3" s="833" t="s">
        <v>454</v>
      </c>
      <c r="B3" s="833"/>
      <c r="C3" s="833"/>
      <c r="D3" s="833"/>
      <c r="E3" s="833"/>
      <c r="F3" s="833"/>
      <c r="G3" s="833"/>
      <c r="H3" s="833"/>
      <c r="I3" s="833"/>
      <c r="M3" s="163"/>
    </row>
    <row r="4" spans="1:13" s="30" customFormat="1" ht="51.75" customHeight="1" thickBot="1">
      <c r="A4" s="292" t="str">
        <f>'WorKings for PL BS 2'!A4</f>
        <v>Particulars</v>
      </c>
      <c r="B4" s="335" t="str">
        <f>Assumptions!I78</f>
        <v>2024-25</v>
      </c>
      <c r="C4" s="538" t="str">
        <f>Assumptions!I79</f>
        <v>2025-26</v>
      </c>
      <c r="D4" s="538" t="str">
        <f>Assumptions!I80</f>
        <v>2026-27</v>
      </c>
      <c r="E4" s="538" t="str">
        <f>Assumptions!I81</f>
        <v>2027-28</v>
      </c>
      <c r="F4" s="538" t="str">
        <f>Assumptions!I82</f>
        <v>2028-29</v>
      </c>
      <c r="G4" s="538" t="str">
        <f>Assumptions!I83</f>
        <v>2029-30</v>
      </c>
      <c r="H4" s="538" t="str">
        <f>Assumptions!I84</f>
        <v>2030-31</v>
      </c>
      <c r="I4" s="538" t="str">
        <f>Assumptions!I85</f>
        <v>2031-32</v>
      </c>
      <c r="M4" s="295"/>
    </row>
    <row r="5" spans="1:13" s="30" customFormat="1" ht="35.25" customHeight="1">
      <c r="A5" s="271" t="s">
        <v>601</v>
      </c>
      <c r="B5" s="830"/>
      <c r="C5" s="831"/>
      <c r="D5" s="831"/>
      <c r="E5" s="831"/>
      <c r="F5" s="831"/>
      <c r="G5" s="831"/>
      <c r="H5" s="831"/>
      <c r="I5" s="832"/>
      <c r="M5" s="295"/>
    </row>
    <row r="6" spans="1:13" s="22" customFormat="1" ht="16.2">
      <c r="A6" s="54" t="s">
        <v>544</v>
      </c>
      <c r="B6" s="54">
        <f>IF(Assumptions!I62=0,0,Assumptions!F88)</f>
        <v>1.75</v>
      </c>
      <c r="C6" s="298">
        <f>IF(Assumptions!I63=0,0,Assumptions!F89)</f>
        <v>2</v>
      </c>
      <c r="D6" s="298">
        <f>IF(C6=0,Assumptions!F89,C6+0.1)</f>
        <v>2.1</v>
      </c>
      <c r="E6" s="298">
        <f>D6+0.1</f>
        <v>2.2000000000000002</v>
      </c>
      <c r="F6" s="298">
        <f>E6+0.1</f>
        <v>2.3000000000000003</v>
      </c>
      <c r="G6" s="298">
        <f>F6+0.1</f>
        <v>2.4000000000000004</v>
      </c>
      <c r="H6" s="298">
        <f>G6+0.1</f>
        <v>2.5000000000000004</v>
      </c>
      <c r="I6" s="298">
        <f>H6+0.1</f>
        <v>2.6000000000000005</v>
      </c>
      <c r="J6" s="320"/>
    </row>
    <row r="7" spans="1:13" s="22" customFormat="1" ht="14.4">
      <c r="A7" s="395" t="s">
        <v>793</v>
      </c>
      <c r="B7" s="143">
        <f>ROUND(IF(Assumptions!I62=0,0,'Workings for PL BS 1'!D8),-4)</f>
        <v>27534150000</v>
      </c>
      <c r="C7" s="143">
        <f>ROUND(IF(Assumptions!I63=0,0,'Workings for PL BS 1'!E8),-4)</f>
        <v>-8573600000</v>
      </c>
      <c r="D7" s="143">
        <f>ROUND('Workings for PL BS 1'!F8,-4)</f>
        <v>44750180000</v>
      </c>
      <c r="E7" s="143">
        <f>ROUND('Workings for PL BS 1'!G8,-4)</f>
        <v>46822650000</v>
      </c>
      <c r="F7" s="143">
        <f>ROUND('Workings for PL BS 1'!H8,-4)</f>
        <v>48895300000</v>
      </c>
      <c r="G7" s="143">
        <f>ROUND('Workings for PL BS 1'!I8,-4)</f>
        <v>50967900000</v>
      </c>
      <c r="H7" s="143">
        <f>ROUND('Workings for PL BS 1'!J8,-4)</f>
        <v>53040460000</v>
      </c>
      <c r="I7" s="143">
        <f>ROUND('Workings for PL BS 1'!K8,-4)</f>
        <v>55112960000</v>
      </c>
      <c r="J7" s="530"/>
      <c r="K7" s="531"/>
    </row>
    <row r="8" spans="1:13" ht="14.4">
      <c r="A8" s="395" t="s">
        <v>794</v>
      </c>
      <c r="B8" s="143">
        <f>ROUND(IF(Assumptions!I62=0,0,'Workings for PL BS 1'!D13),-4)</f>
        <v>22232540000</v>
      </c>
      <c r="C8" s="327">
        <f>ROUND('Workings for PL BS 1'!E13,-4)</f>
        <v>28116810000</v>
      </c>
      <c r="D8" s="143">
        <f>ROUND('Workings for PL BS 1'!D77,-4)</f>
        <v>29467870000</v>
      </c>
      <c r="E8" s="143">
        <f>ROUND(IF(C8=0,'Workings for PL BS 1'!E77,'Workings for PL BS 1'!G13),-4)</f>
        <v>30818780000</v>
      </c>
      <c r="F8" s="143">
        <f>ROUND('Workings for PL BS 1'!H13,-4)</f>
        <v>32169840000</v>
      </c>
      <c r="G8" s="143">
        <f>ROUND('Workings for PL BS 1'!I13,-4)</f>
        <v>33520910000</v>
      </c>
      <c r="H8" s="143">
        <f>ROUND('Workings for PL BS 1'!J13,-4)</f>
        <v>34871990000</v>
      </c>
      <c r="I8" s="143">
        <f>ROUND('Workings for PL BS 1'!K13,-4)</f>
        <v>36223070000</v>
      </c>
      <c r="J8" s="530"/>
      <c r="K8" s="154"/>
    </row>
    <row r="9" spans="1:13" s="22" customFormat="1" ht="14.4">
      <c r="A9" s="54" t="s">
        <v>545</v>
      </c>
      <c r="B9" s="143">
        <f>ROUND(IF(Assumptions!I62=0,0,'Workings for PL BS 1'!D14),-4)</f>
        <v>6669760000</v>
      </c>
      <c r="C9" s="143">
        <f>ROUND(IF(C7=0,0,'Workings for PL BS 1'!E15),-4)</f>
        <v>58500000000</v>
      </c>
      <c r="D9" s="143">
        <f>ROUND(IF(C9=0,'Workings for PL BS 1'!E55,'Workings for PL BS 1'!F14),-4)</f>
        <v>59085000000</v>
      </c>
      <c r="E9" s="143">
        <f>ROUND('Workings for PL BS 1'!G14,-4)</f>
        <v>59675850000</v>
      </c>
      <c r="F9" s="143">
        <f>ROUND('Workings for PL BS 1'!H14,-4)</f>
        <v>60272610000</v>
      </c>
      <c r="G9" s="143">
        <f>ROUND('Workings for PL BS 1'!I14,-4)</f>
        <v>60875330000</v>
      </c>
      <c r="H9" s="143">
        <f>ROUND('Workings for PL BS 1'!J14,-4)</f>
        <v>61484090000</v>
      </c>
      <c r="I9" s="143">
        <f>ROUND('Workings for PL BS 1'!K14,-4)</f>
        <v>62098930000</v>
      </c>
      <c r="J9" s="530"/>
      <c r="K9" s="531"/>
    </row>
    <row r="10" spans="1:13" s="22" customFormat="1" ht="14.4">
      <c r="A10" s="54" t="s">
        <v>898</v>
      </c>
      <c r="B10" s="143">
        <f>ROUND('Workings for PL BS 1'!D41,-4)</f>
        <v>1310000</v>
      </c>
      <c r="C10" s="143">
        <f>ROUND('Workings for PL BS 1'!E41,-4)</f>
        <v>1570000</v>
      </c>
      <c r="D10" s="143">
        <f>ROUND('Workings for PL BS 1'!F41,-4)</f>
        <v>1650000</v>
      </c>
      <c r="E10" s="143">
        <f>ROUND('Workings for PL BS 1'!G41,-4)</f>
        <v>1650000</v>
      </c>
      <c r="F10" s="143">
        <f>ROUND('Workings for PL BS 1'!H41,-4)</f>
        <v>1730000</v>
      </c>
      <c r="G10" s="143">
        <f>ROUND('Workings for PL BS 1'!I41,-4)</f>
        <v>1820000</v>
      </c>
      <c r="H10" s="143">
        <f>ROUND('Workings for PL BS 1'!J41,-4)</f>
        <v>1910000</v>
      </c>
      <c r="I10" s="143">
        <f>ROUND('Workings for PL BS 1'!K41,-4)</f>
        <v>2010000</v>
      </c>
    </row>
    <row r="11" spans="1:13" s="22" customFormat="1" ht="14.4">
      <c r="A11" s="54" t="s">
        <v>897</v>
      </c>
      <c r="B11" s="143">
        <f>ROUND('Workings for PL BS 1'!D42,-3)</f>
        <v>0</v>
      </c>
      <c r="C11" s="143">
        <f>ROUND('Workings for PL BS 1'!E42,-3)</f>
        <v>0</v>
      </c>
      <c r="D11" s="143">
        <f>ROUND('Workings for PL BS 1'!F42,-3)</f>
        <v>0</v>
      </c>
      <c r="E11" s="143">
        <f>ROUND('Workings for PL BS 1'!G42,-3)</f>
        <v>0</v>
      </c>
      <c r="F11" s="143">
        <f>ROUND('Workings for PL BS 1'!H42,-3)</f>
        <v>0</v>
      </c>
      <c r="G11" s="143">
        <f>ROUND('Workings for PL BS 1'!I42,-3)</f>
        <v>0</v>
      </c>
      <c r="H11" s="143">
        <f>ROUND('Workings for PL BS 1'!J42,-3)</f>
        <v>0</v>
      </c>
      <c r="I11" s="143">
        <f>ROUND('Workings for PL BS 1'!K42,-3)</f>
        <v>0</v>
      </c>
    </row>
    <row r="12" spans="1:13" s="22" customFormat="1" ht="14.4">
      <c r="A12" s="54" t="s">
        <v>896</v>
      </c>
      <c r="B12" s="143">
        <f>ROUND('Workings for PL BS 1'!D43,-3)</f>
        <v>0</v>
      </c>
      <c r="C12" s="143">
        <f>ROUND('Workings for PL BS 1'!E43,-3)</f>
        <v>0</v>
      </c>
      <c r="D12" s="143">
        <f>ROUND('Workings for PL BS 1'!F43,-3)</f>
        <v>0</v>
      </c>
      <c r="E12" s="143">
        <f>ROUND('Workings for PL BS 1'!G43,-3)</f>
        <v>0</v>
      </c>
      <c r="F12" s="143">
        <f>ROUND('Workings for PL BS 1'!H43,-3)</f>
        <v>0</v>
      </c>
      <c r="G12" s="143">
        <f>ROUND('Workings for PL BS 1'!I43,-3)</f>
        <v>0</v>
      </c>
      <c r="H12" s="143">
        <f>ROUND('Workings for PL BS 1'!J43,-3)</f>
        <v>0</v>
      </c>
      <c r="I12" s="143">
        <f>ROUND('Workings for PL BS 1'!K43,-3)</f>
        <v>0</v>
      </c>
    </row>
    <row r="13" spans="1:13" s="22" customFormat="1" ht="14.4">
      <c r="A13" s="54" t="s">
        <v>895</v>
      </c>
      <c r="B13" s="143">
        <f>ROUND('Workings for PL BS 1'!D44,-3)</f>
        <v>0</v>
      </c>
      <c r="C13" s="143">
        <f>ROUND('Workings for PL BS 1'!E44,-3)</f>
        <v>0</v>
      </c>
      <c r="D13" s="143">
        <f>ROUND('Workings for PL BS 1'!F44,-3)</f>
        <v>0</v>
      </c>
      <c r="E13" s="143">
        <f>ROUND('Workings for PL BS 1'!G44,-3)</f>
        <v>0</v>
      </c>
      <c r="F13" s="143">
        <f>ROUND('Workings for PL BS 1'!H44,-3)</f>
        <v>0</v>
      </c>
      <c r="G13" s="143">
        <f>ROUND('Workings for PL BS 1'!I44,-3)</f>
        <v>0</v>
      </c>
      <c r="H13" s="143">
        <f>ROUND('Workings for PL BS 1'!J44,-3)</f>
        <v>0</v>
      </c>
      <c r="I13" s="143">
        <f>ROUND('Workings for PL BS 1'!K44,-3)</f>
        <v>0</v>
      </c>
    </row>
    <row r="14" spans="1:13" s="22" customFormat="1" ht="14.4">
      <c r="A14" s="54" t="s">
        <v>868</v>
      </c>
      <c r="B14" s="143">
        <f>ROUND('Workings for PL BS 1'!D45,-3)</f>
        <v>0</v>
      </c>
      <c r="C14" s="143">
        <f>ROUND('Workings for PL BS 1'!E45,-3)</f>
        <v>0</v>
      </c>
      <c r="D14" s="143">
        <f>ROUND('Workings for PL BS 1'!F45,-3)</f>
        <v>0</v>
      </c>
      <c r="E14" s="143">
        <f>ROUND('Workings for PL BS 1'!G45,-3)</f>
        <v>0</v>
      </c>
      <c r="F14" s="143">
        <f>ROUND('Workings for PL BS 1'!H45,-3)</f>
        <v>0</v>
      </c>
      <c r="G14" s="143">
        <f>ROUND('Workings for PL BS 1'!I45,-3)</f>
        <v>0</v>
      </c>
      <c r="H14" s="143">
        <f>ROUND('Workings for PL BS 1'!J45,-3)</f>
        <v>0</v>
      </c>
      <c r="I14" s="143">
        <f>ROUND('Workings for PL BS 1'!K45,-3)</f>
        <v>0</v>
      </c>
    </row>
    <row r="15" spans="1:13" s="22" customFormat="1" ht="28.8">
      <c r="A15" s="395" t="s">
        <v>797</v>
      </c>
      <c r="B15" s="143">
        <f>'PL BS'!D41</f>
        <v>5353928333.333334</v>
      </c>
      <c r="C15" s="143">
        <f>'PL BS'!E41</f>
        <v>7709551666.6666679</v>
      </c>
      <c r="D15" s="143">
        <f>'PL BS'!F41</f>
        <v>8726347500</v>
      </c>
      <c r="E15" s="143">
        <f>'PL BS'!G41</f>
        <v>9694888125.0000019</v>
      </c>
      <c r="F15" s="143">
        <f>'PL BS'!H41</f>
        <v>10630006981.250004</v>
      </c>
      <c r="G15" s="143">
        <f>'PL BS'!I41</f>
        <v>11439412804.437504</v>
      </c>
      <c r="H15" s="143">
        <f>'PL BS'!J41</f>
        <v>12214244852.248755</v>
      </c>
      <c r="I15" s="143">
        <f>'PL BS'!K41</f>
        <v>12977817619.293201</v>
      </c>
    </row>
    <row r="16" spans="1:13" s="22" customFormat="1" ht="34.5" customHeight="1">
      <c r="A16" s="405" t="s">
        <v>600</v>
      </c>
      <c r="B16" s="838"/>
      <c r="C16" s="839"/>
      <c r="D16" s="839"/>
      <c r="E16" s="839"/>
      <c r="F16" s="839"/>
      <c r="G16" s="839"/>
      <c r="H16" s="839"/>
      <c r="I16" s="840"/>
      <c r="J16" s="30"/>
    </row>
    <row r="17" spans="1:10" s="22" customFormat="1" ht="51" customHeight="1">
      <c r="A17" s="395" t="s">
        <v>910</v>
      </c>
      <c r="B17" s="143">
        <f>'PL BS'!D54</f>
        <v>7987280000</v>
      </c>
      <c r="C17" s="143">
        <f>'PL BS'!E54</f>
        <v>13059806666.666672</v>
      </c>
      <c r="D17" s="143">
        <f>'PL BS'!F54</f>
        <v>34293309166.666672</v>
      </c>
      <c r="E17" s="143">
        <f>'PL BS'!G54</f>
        <v>40199487291.666672</v>
      </c>
      <c r="F17" s="143">
        <f>'PL BS'!H54</f>
        <v>46546557447.916672</v>
      </c>
      <c r="G17" s="143" t="e">
        <f>'PL BS'!I54</f>
        <v>#VALUE!</v>
      </c>
      <c r="H17" s="143" t="e">
        <f>'PL BS'!J54</f>
        <v>#VALUE!</v>
      </c>
      <c r="I17" s="143">
        <f>'PL BS'!K54</f>
        <v>65576564078.222656</v>
      </c>
      <c r="J17" s="30"/>
    </row>
    <row r="18" spans="1:10" s="22" customFormat="1" ht="16.2">
      <c r="A18" s="54" t="s">
        <v>482</v>
      </c>
      <c r="B18" s="143">
        <f>ROUND(IF(Assumptions!I62=0,0,'Workings for PL BS 1'!D37),-4)</f>
        <v>4680810000</v>
      </c>
      <c r="C18" s="143">
        <f>ROUND(IF(Assumptions!I63=0,0,'Workings for PL BS 1'!E37),-4)</f>
        <v>-1971930000</v>
      </c>
      <c r="D18" s="143">
        <f>ROUND('Workings for PL BS 1'!F37,-4)</f>
        <v>13872560000</v>
      </c>
      <c r="E18" s="143">
        <f>ROUND('Workings for PL BS 1'!G37,-4)</f>
        <v>17792610000</v>
      </c>
      <c r="F18" s="143">
        <f>ROUND('Workings for PL BS 1'!H37,-4)</f>
        <v>22002890000</v>
      </c>
      <c r="G18" s="143">
        <f>ROUND('Workings for PL BS 1'!I37,-4)</f>
        <v>27012990000</v>
      </c>
      <c r="H18" s="143">
        <f>ROUND('Workings for PL BS 1'!J37,-4)</f>
        <v>32354680000</v>
      </c>
      <c r="I18" s="143">
        <f>ROUND('Workings for PL BS 1'!K37,-4)</f>
        <v>37476810000</v>
      </c>
      <c r="J18" s="320"/>
    </row>
    <row r="19" spans="1:10" s="22" customFormat="1" ht="16.2">
      <c r="A19" s="54" t="s">
        <v>458</v>
      </c>
      <c r="B19" s="143">
        <f>ROUND(IF(Assumptions!I62=0,0,'Workings for PL BS 1'!D36),-4)</f>
        <v>2478070000</v>
      </c>
      <c r="C19" s="143">
        <f>ROUND(IF(Assumptions!I63=0,0,'Workings for PL BS 1'!E36),-4)</f>
        <v>-857360000</v>
      </c>
      <c r="D19" s="143">
        <f>ROUND('Workings for PL BS 1'!F36,-4)</f>
        <v>4922520000</v>
      </c>
      <c r="E19" s="143">
        <f>ROUND('Workings for PL BS 1'!G36,-4)</f>
        <v>5618720000</v>
      </c>
      <c r="F19" s="143">
        <f>ROUND('Workings for PL BS 1'!H36,-4)</f>
        <v>6356390000</v>
      </c>
      <c r="G19" s="143">
        <f>ROUND('Workings for PL BS 1'!I36,-4)</f>
        <v>7135510000</v>
      </c>
      <c r="H19" s="143">
        <f>ROUND('Workings for PL BS 1'!J36,-4)</f>
        <v>7956070000</v>
      </c>
      <c r="I19" s="143">
        <f>ROUND('Workings for PL BS 1'!K36,-4)</f>
        <v>8818070000</v>
      </c>
      <c r="J19" s="320"/>
    </row>
    <row r="20" spans="1:10" s="22" customFormat="1" ht="16.2">
      <c r="A20" s="54" t="s">
        <v>808</v>
      </c>
      <c r="B20" s="143">
        <f>ROUND('Workings for PL BS 1'!D34,-4)</f>
        <v>0</v>
      </c>
      <c r="C20" s="143">
        <f>ROUND('Workings for PL BS 1'!E34,-4)</f>
        <v>0</v>
      </c>
      <c r="D20" s="143">
        <f>ROUND('Workings for PL BS 1'!F34,-4)</f>
        <v>0</v>
      </c>
      <c r="E20" s="143">
        <f>ROUND('Workings for PL BS 1'!G34,-4)</f>
        <v>0</v>
      </c>
      <c r="F20" s="143">
        <f>ROUND('Workings for PL BS 1'!H34,-4)</f>
        <v>0</v>
      </c>
      <c r="G20" s="143">
        <f>ROUND('Workings for PL BS 1'!I34,-4)</f>
        <v>0</v>
      </c>
      <c r="H20" s="143">
        <f>ROUND('Workings for PL BS 1'!J34,-4)</f>
        <v>0</v>
      </c>
      <c r="I20" s="143">
        <f>ROUND('Workings for PL BS 1'!K34,-4)</f>
        <v>0</v>
      </c>
      <c r="J20" s="320"/>
    </row>
    <row r="21" spans="1:10" s="22" customFormat="1" ht="38.25" customHeight="1">
      <c r="A21" s="334" t="s">
        <v>903</v>
      </c>
      <c r="B21" s="838"/>
      <c r="C21" s="839"/>
      <c r="D21" s="839"/>
      <c r="E21" s="839"/>
      <c r="F21" s="839"/>
      <c r="G21" s="839"/>
      <c r="H21" s="839"/>
      <c r="I21" s="840"/>
      <c r="J21" s="320"/>
    </row>
    <row r="22" spans="1:10" s="22" customFormat="1" ht="29.4">
      <c r="A22" s="395" t="s">
        <v>911</v>
      </c>
      <c r="B22" s="143">
        <f>CFs!B45</f>
        <v>4680810000</v>
      </c>
      <c r="C22" s="143">
        <f>CFs!C45</f>
        <v>-6652740000</v>
      </c>
      <c r="D22" s="143">
        <f>CFs!D45</f>
        <v>15844490000</v>
      </c>
      <c r="E22" s="143">
        <f>CFs!E45</f>
        <v>3920050000.0000019</v>
      </c>
      <c r="F22" s="143">
        <f>CFs!F45</f>
        <v>4210280000</v>
      </c>
      <c r="G22" s="143">
        <f>CFs!G45</f>
        <v>5010100000</v>
      </c>
      <c r="H22" s="143">
        <f>CFs!H45</f>
        <v>5341689999.9999981</v>
      </c>
      <c r="I22" s="143">
        <f>CFs!I45</f>
        <v>5122130000.0000038</v>
      </c>
      <c r="J22" s="320"/>
    </row>
    <row r="23" spans="1:10" s="22" customFormat="1" ht="16.2">
      <c r="A23" s="395"/>
      <c r="B23" s="534"/>
      <c r="C23" s="535"/>
      <c r="D23" s="535"/>
      <c r="E23" s="535"/>
      <c r="F23" s="535"/>
      <c r="G23" s="535"/>
      <c r="H23" s="535"/>
      <c r="I23" s="536"/>
      <c r="J23" s="320"/>
    </row>
    <row r="24" spans="1:10" s="22" customFormat="1" ht="39" customHeight="1">
      <c r="A24" s="405" t="s">
        <v>906</v>
      </c>
      <c r="B24" s="534"/>
      <c r="C24" s="535"/>
      <c r="D24" s="535"/>
      <c r="E24" s="535"/>
      <c r="F24" s="535"/>
      <c r="G24" s="535"/>
      <c r="H24" s="535"/>
      <c r="I24" s="536"/>
      <c r="J24" s="320"/>
    </row>
    <row r="25" spans="1:10" s="22" customFormat="1" ht="16.2">
      <c r="A25" s="395" t="s">
        <v>907</v>
      </c>
      <c r="B25" s="534">
        <f>'MPBF '!B28</f>
        <v>6241360000</v>
      </c>
      <c r="C25" s="534">
        <f>'MPBF '!C28</f>
        <v>40703032500</v>
      </c>
      <c r="D25" s="534">
        <f>'MPBF '!D28</f>
        <v>45000000000</v>
      </c>
      <c r="E25" s="534">
        <f>'MPBF '!E28</f>
        <v>45000000000</v>
      </c>
      <c r="F25" s="534">
        <f>'MPBF '!F28</f>
        <v>45000000000</v>
      </c>
      <c r="G25" s="534">
        <f>'MPBF '!G28</f>
        <v>45000000000</v>
      </c>
      <c r="H25" s="534">
        <f>'MPBF '!H28</f>
        <v>45000000000</v>
      </c>
      <c r="I25" s="143">
        <f>'MPBF '!I28</f>
        <v>45000000000</v>
      </c>
      <c r="J25" s="320"/>
    </row>
    <row r="26" spans="1:10" s="22" customFormat="1" ht="16.2">
      <c r="A26" s="395" t="s">
        <v>908</v>
      </c>
      <c r="B26" s="534">
        <f>'MPBF '!B53</f>
        <v>6241360000</v>
      </c>
      <c r="C26" s="534">
        <f>'MPBF '!C53</f>
        <v>40353033226.5625</v>
      </c>
      <c r="D26" s="534">
        <f>'MPBF '!D53</f>
        <v>45000000000</v>
      </c>
      <c r="E26" s="534">
        <f>'MPBF '!E53</f>
        <v>45000000000</v>
      </c>
      <c r="F26" s="534">
        <f>'MPBF '!F53</f>
        <v>45000000000</v>
      </c>
      <c r="G26" s="534">
        <f>'MPBF '!G53</f>
        <v>45000000000</v>
      </c>
      <c r="H26" s="534">
        <f>'MPBF '!H53</f>
        <v>45000000000</v>
      </c>
      <c r="I26" s="143">
        <f>'MPBF '!I53</f>
        <v>45000000000</v>
      </c>
      <c r="J26" s="320"/>
    </row>
    <row r="27" spans="1:10" s="22" customFormat="1" ht="16.2">
      <c r="A27" s="395" t="s">
        <v>909</v>
      </c>
      <c r="B27" s="534">
        <f>Nayak!B23</f>
        <v>5506830000</v>
      </c>
      <c r="C27" s="534">
        <f>Nayak!C23</f>
        <v>-1714720000</v>
      </c>
      <c r="D27" s="534">
        <f>Nayak!D23</f>
        <v>8950036000</v>
      </c>
      <c r="E27" s="534">
        <f>Nayak!E23</f>
        <v>9364530000</v>
      </c>
      <c r="F27" s="534">
        <f>Nayak!F23</f>
        <v>9779060000</v>
      </c>
      <c r="G27" s="534">
        <f>Nayak!G23</f>
        <v>10193580000</v>
      </c>
      <c r="H27" s="534">
        <f>Nayak!H23</f>
        <v>10608092000</v>
      </c>
      <c r="I27" s="143">
        <f>Nayak!I23</f>
        <v>11022592000</v>
      </c>
      <c r="J27" s="320"/>
    </row>
    <row r="28" spans="1:10" ht="39.75" customHeight="1">
      <c r="A28" s="836" t="s">
        <v>798</v>
      </c>
      <c r="B28" s="836"/>
      <c r="C28" s="836"/>
      <c r="D28" s="836"/>
      <c r="E28" s="836"/>
      <c r="F28" s="836"/>
      <c r="G28" s="836"/>
      <c r="H28" s="836"/>
      <c r="I28" s="837"/>
    </row>
    <row r="29" spans="1:10" s="22" customFormat="1" ht="14.4">
      <c r="A29" s="54" t="s">
        <v>402</v>
      </c>
      <c r="B29" s="298">
        <f>IF(B7=0,0,RATIO!C11)</f>
        <v>1.7500001924816662</v>
      </c>
      <c r="C29" s="298" t="str">
        <f>IF(C7=0,0,RATIO!D11)</f>
        <v/>
      </c>
      <c r="D29" s="298">
        <f>RATIO!E11</f>
        <v>2.1433130469859871</v>
      </c>
      <c r="E29" s="298">
        <f>RATIO!F11</f>
        <v>2.283784246624216</v>
      </c>
      <c r="F29" s="298">
        <f>RATIO!G11</f>
        <v>2.6972292427818809</v>
      </c>
      <c r="G29" s="298">
        <f>RATIO!H11</f>
        <v>3.169083964191477</v>
      </c>
      <c r="H29" s="298">
        <f>RATIO!I11</f>
        <v>3.2847088375428704</v>
      </c>
      <c r="I29" s="298">
        <f>RATIO!J11</f>
        <v>3.3990993821441329</v>
      </c>
    </row>
    <row r="30" spans="1:10" s="22" customFormat="1" ht="14.4">
      <c r="A30" s="54" t="s">
        <v>403</v>
      </c>
      <c r="B30" s="829">
        <f>Assumptions!I76</f>
        <v>2.5</v>
      </c>
      <c r="C30" s="829"/>
      <c r="D30" s="829"/>
      <c r="E30" s="829"/>
      <c r="F30" s="829"/>
      <c r="G30" s="829"/>
      <c r="H30" s="829"/>
      <c r="I30" s="829"/>
    </row>
    <row r="31" spans="1:10" ht="14.4">
      <c r="A31" s="54" t="s">
        <v>401</v>
      </c>
      <c r="B31" s="298">
        <f>RATIO!C77</f>
        <v>1.5555600070779203</v>
      </c>
      <c r="C31" s="298">
        <f>RATIO!D77</f>
        <v>3.6929837144092468</v>
      </c>
      <c r="D31" s="298">
        <f>RATIO!E77</f>
        <v>1.4108680237940483</v>
      </c>
      <c r="E31" s="298">
        <f>RATIO!F77</f>
        <v>1.1687545413812515</v>
      </c>
      <c r="F31" s="298">
        <f>RATIO!G77</f>
        <v>0.97930622225583186</v>
      </c>
      <c r="G31" s="298" t="e">
        <f>RATIO!H77</f>
        <v>#VALUE!</v>
      </c>
      <c r="H31" s="298" t="e">
        <f>RATIO!I77</f>
        <v>#VALUE!</v>
      </c>
      <c r="I31" s="298">
        <f>RATIO!J77</f>
        <v>0.68622076549057964</v>
      </c>
    </row>
    <row r="32" spans="1:10" ht="14.4">
      <c r="A32" s="54" t="s">
        <v>463</v>
      </c>
      <c r="B32" s="298">
        <f>IF(B7=0,0,RATIO!C46)</f>
        <v>43.478262448631973</v>
      </c>
      <c r="C32" s="298">
        <f>IF(C7=0,0,RATIO!D46)</f>
        <v>-176.58661472426985</v>
      </c>
      <c r="D32" s="298">
        <f>RATIO!E46</f>
        <v>35.457533355173098</v>
      </c>
      <c r="E32" s="298">
        <f>RATIO!F46</f>
        <v>35.441650568688445</v>
      </c>
      <c r="F32" s="298">
        <f>RATIO!G46</f>
        <v>35.427167846398319</v>
      </c>
      <c r="G32" s="298">
        <f>RATIO!H46</f>
        <v>35.413878146833596</v>
      </c>
      <c r="H32" s="298">
        <f>RATIO!I46</f>
        <v>35.401710316991974</v>
      </c>
      <c r="I32" s="298">
        <f>RATIO!J46</f>
        <v>35.390459884571612</v>
      </c>
    </row>
    <row r="33" spans="1:9" ht="14.4">
      <c r="A33" s="54" t="s">
        <v>381</v>
      </c>
      <c r="B33" s="298">
        <f>IF(B7=0,0,RATIO!C54)</f>
        <v>19.444683541468809</v>
      </c>
      <c r="C33" s="298">
        <f>IF(C7=0,0,RATIO!D54)</f>
        <v>-89.92198920717864</v>
      </c>
      <c r="D33" s="298">
        <f>RATIO!E54</f>
        <v>19.500139440779904</v>
      </c>
      <c r="E33" s="298">
        <f>RATIO!F54</f>
        <v>20.70555196042941</v>
      </c>
      <c r="F33" s="298">
        <f>RATIO!G54</f>
        <v>21.740345148204437</v>
      </c>
      <c r="G33" s="298">
        <f>RATIO!H54</f>
        <v>22.44434792180471</v>
      </c>
      <c r="H33" s="298">
        <f>RATIO!I54</f>
        <v>23.028165389683185</v>
      </c>
      <c r="I33" s="298">
        <f>RATIO!J54</f>
        <v>23.54766940351816</v>
      </c>
    </row>
    <row r="34" spans="1:9" ht="14.4">
      <c r="A34" s="54" t="s">
        <v>501</v>
      </c>
      <c r="B34" s="298">
        <f>RATIO!C34</f>
        <v>1.8097092664133085</v>
      </c>
      <c r="C34" s="298">
        <f>RATIO!D34</f>
        <v>1.2413662927080751</v>
      </c>
      <c r="D34" s="298">
        <f>RATIO!E34</f>
        <v>1.67845</v>
      </c>
      <c r="E34" s="298">
        <f>RATIO!F34</f>
        <v>1.8181002188183808</v>
      </c>
      <c r="F34" s="298">
        <f>RATIO!G34</f>
        <v>1.9695975555555556</v>
      </c>
      <c r="G34" s="298">
        <f>RATIO!H34</f>
        <v>2.1116406666666667</v>
      </c>
      <c r="H34" s="298">
        <f>RATIO!I34</f>
        <v>2.2621075555555556</v>
      </c>
      <c r="I34" s="298">
        <f>RATIO!J34</f>
        <v>2.4087513333333335</v>
      </c>
    </row>
    <row r="35" spans="1:9" ht="14.4">
      <c r="A35" s="54" t="s">
        <v>587</v>
      </c>
      <c r="B35" s="143">
        <f>IF(B7=0,0,RATIO!C68)</f>
        <v>32.849953603071093</v>
      </c>
      <c r="C35" s="143">
        <f>IF(C7=0,0,RATIO!D68)</f>
        <v>36.5</v>
      </c>
      <c r="D35" s="143">
        <f>RATIO!E68</f>
        <v>40.150001631278357</v>
      </c>
      <c r="E35" s="143">
        <f>RATIO!F68</f>
        <v>43.800015590745076</v>
      </c>
      <c r="F35" s="143">
        <f>RATIO!G68</f>
        <v>47.450007464930167</v>
      </c>
      <c r="G35" s="143">
        <f>RATIO!H68</f>
        <v>51.100028645480783</v>
      </c>
      <c r="H35" s="143">
        <f>RATIO!I68</f>
        <v>54.750006881539115</v>
      </c>
      <c r="I35" s="143">
        <f>RATIO!J68</f>
        <v>58.399976158057925</v>
      </c>
    </row>
    <row r="36" spans="1:9" s="22" customFormat="1" ht="14.4">
      <c r="A36" s="338"/>
      <c r="B36" s="339"/>
      <c r="C36" s="339"/>
      <c r="D36" s="339"/>
      <c r="E36" s="339"/>
      <c r="F36" s="339"/>
      <c r="G36" s="339"/>
      <c r="H36" s="339"/>
      <c r="I36" s="339"/>
    </row>
    <row r="37" spans="1:9" s="22" customFormat="1" ht="14.4">
      <c r="A37" s="334"/>
      <c r="B37" s="700"/>
      <c r="C37" s="700"/>
      <c r="D37" s="700"/>
      <c r="E37" s="700"/>
      <c r="F37" s="700"/>
      <c r="G37" s="700"/>
      <c r="H37" s="700"/>
      <c r="I37" s="700"/>
    </row>
    <row r="38" spans="1:9" s="22" customFormat="1" ht="14.4">
      <c r="A38" s="31"/>
      <c r="B38" s="700"/>
      <c r="C38" s="700"/>
      <c r="D38" s="700"/>
      <c r="E38" s="700"/>
      <c r="F38" s="700"/>
      <c r="G38" s="700"/>
      <c r="H38" s="700"/>
      <c r="I38" s="700"/>
    </row>
    <row r="39" spans="1:9" s="22" customFormat="1" ht="14.4">
      <c r="A39" s="31"/>
      <c r="B39" s="700"/>
      <c r="C39" s="687"/>
      <c r="D39" s="701"/>
      <c r="E39" s="687"/>
      <c r="F39" s="701"/>
      <c r="G39" s="700"/>
      <c r="H39" s="700"/>
      <c r="I39" s="700"/>
    </row>
    <row r="40" spans="1:9" s="22" customFormat="1" ht="14.4">
      <c r="A40" s="31"/>
      <c r="B40" s="700"/>
      <c r="C40" s="700"/>
      <c r="D40" s="700"/>
      <c r="E40" s="700"/>
      <c r="F40" s="700"/>
      <c r="G40" s="700"/>
      <c r="H40" s="700"/>
      <c r="I40" s="700"/>
    </row>
    <row r="41" spans="1:9" s="22" customFormat="1" ht="14.4">
      <c r="A41" s="31"/>
      <c r="B41" s="700"/>
      <c r="C41" s="687"/>
      <c r="D41" s="701"/>
      <c r="E41" s="687"/>
      <c r="F41" s="709"/>
      <c r="G41" s="700"/>
      <c r="H41" s="700"/>
      <c r="I41" s="700"/>
    </row>
    <row r="42" spans="1:9">
      <c r="A42" s="130"/>
      <c r="B42" s="130"/>
      <c r="C42" s="130"/>
      <c r="D42" s="130"/>
      <c r="E42" s="130"/>
      <c r="F42" s="130"/>
      <c r="G42" s="130"/>
      <c r="H42" s="130"/>
      <c r="I42" s="130"/>
    </row>
    <row r="43" spans="1:9" s="22" customFormat="1" ht="14.4">
      <c r="A43" s="31"/>
      <c r="B43" s="700"/>
      <c r="C43" s="687"/>
      <c r="D43" s="701"/>
      <c r="E43" s="687"/>
      <c r="F43" s="153"/>
      <c r="G43" s="700"/>
      <c r="H43" s="701"/>
      <c r="I43" s="703"/>
    </row>
    <row r="44" spans="1:9" s="22" customFormat="1" ht="14.4">
      <c r="A44" s="31"/>
      <c r="B44" s="700"/>
      <c r="C44" s="687"/>
      <c r="D44" s="701"/>
      <c r="E44" s="687"/>
      <c r="F44" s="701"/>
      <c r="G44" s="701"/>
      <c r="H44" s="701"/>
      <c r="I44" s="703"/>
    </row>
    <row r="45" spans="1:9" s="22" customFormat="1" ht="14.4">
      <c r="A45" s="31"/>
      <c r="B45" s="700"/>
      <c r="C45" s="687"/>
      <c r="D45" s="701"/>
      <c r="E45" s="687"/>
      <c r="F45" s="701"/>
      <c r="G45" s="701"/>
      <c r="H45" s="701"/>
      <c r="I45" s="703"/>
    </row>
    <row r="46" spans="1:9" s="22" customFormat="1" ht="14.4">
      <c r="A46" s="31"/>
      <c r="B46" s="700"/>
      <c r="C46" s="687"/>
      <c r="D46" s="701"/>
      <c r="E46" s="687"/>
      <c r="F46" s="701"/>
      <c r="G46" s="701"/>
      <c r="H46" s="701"/>
      <c r="I46" s="703"/>
    </row>
    <row r="47" spans="1:9" s="22" customFormat="1" ht="14.4">
      <c r="A47" s="31"/>
      <c r="B47" s="700"/>
      <c r="C47" s="687"/>
      <c r="D47" s="701"/>
      <c r="E47" s="687"/>
      <c r="F47" s="153"/>
      <c r="G47" s="702"/>
      <c r="H47" s="701"/>
      <c r="I47" s="703"/>
    </row>
    <row r="48" spans="1:9" s="22" customFormat="1" ht="14.4">
      <c r="A48" s="31"/>
      <c r="B48" s="700"/>
      <c r="C48" s="687"/>
      <c r="D48" s="701"/>
      <c r="E48" s="687"/>
      <c r="F48" s="701"/>
      <c r="G48" s="701"/>
      <c r="H48" s="701"/>
      <c r="I48" s="703"/>
    </row>
    <row r="49" spans="1:9" s="22" customFormat="1" ht="14.4">
      <c r="A49" s="31"/>
      <c r="B49" s="700"/>
      <c r="C49" s="687"/>
      <c r="D49" s="701"/>
      <c r="E49" s="687"/>
      <c r="F49" s="153"/>
      <c r="G49" s="710"/>
      <c r="H49" s="701"/>
      <c r="I49" s="703"/>
    </row>
    <row r="50" spans="1:9" s="22" customFormat="1" ht="14.4">
      <c r="A50" s="31"/>
      <c r="B50" s="700"/>
      <c r="C50" s="687"/>
      <c r="D50" s="701"/>
      <c r="E50" s="687"/>
      <c r="F50" s="701"/>
      <c r="G50" s="701"/>
      <c r="H50" s="701"/>
      <c r="I50" s="703"/>
    </row>
    <row r="51" spans="1:9" s="22" customFormat="1" ht="15">
      <c r="A51" s="31"/>
      <c r="B51" s="700"/>
      <c r="C51" s="687"/>
      <c r="D51" s="701"/>
      <c r="E51" s="687"/>
      <c r="F51" s="835"/>
      <c r="G51" s="835"/>
      <c r="H51" s="702"/>
      <c r="I51" s="703"/>
    </row>
    <row r="52" spans="1:9" s="22" customFormat="1" ht="14.4">
      <c r="A52" s="31"/>
      <c r="B52" s="700"/>
      <c r="C52" s="687"/>
      <c r="D52" s="701"/>
      <c r="E52" s="687"/>
      <c r="F52" s="828"/>
      <c r="G52" s="828"/>
      <c r="H52" s="702"/>
      <c r="I52" s="703"/>
    </row>
    <row r="53" spans="1:9" s="22" customFormat="1" ht="14.4">
      <c r="A53" s="31"/>
      <c r="B53" s="700"/>
      <c r="C53" s="687"/>
      <c r="D53" s="701"/>
      <c r="E53" s="687"/>
      <c r="F53" s="701"/>
      <c r="G53" s="701"/>
      <c r="H53" s="701"/>
      <c r="I53" s="701"/>
    </row>
    <row r="54" spans="1:9" s="22" customFormat="1" ht="15">
      <c r="A54" s="31"/>
      <c r="B54" s="704"/>
      <c r="C54" s="704"/>
      <c r="D54" s="704"/>
      <c r="E54" s="704"/>
      <c r="F54" s="704"/>
      <c r="G54" s="705"/>
      <c r="H54" s="706"/>
      <c r="I54" s="707"/>
    </row>
    <row r="55" spans="1:9" s="22" customFormat="1" ht="15">
      <c r="A55" s="31"/>
      <c r="B55" s="704"/>
      <c r="C55" s="705"/>
      <c r="D55" s="705"/>
      <c r="E55" s="705"/>
      <c r="F55" s="705"/>
      <c r="G55" s="705"/>
      <c r="H55" s="706"/>
      <c r="I55" s="707"/>
    </row>
    <row r="56" spans="1:9" s="22" customFormat="1" ht="15">
      <c r="A56" s="31"/>
      <c r="B56" s="708"/>
      <c r="C56" s="701"/>
      <c r="D56" s="701"/>
      <c r="E56" s="701"/>
      <c r="F56" s="701"/>
      <c r="G56" s="701"/>
      <c r="H56" s="701"/>
      <c r="I56" s="703"/>
    </row>
    <row r="57" spans="1:9" s="22" customFormat="1" ht="14.4">
      <c r="A57" s="31"/>
      <c r="B57" s="700"/>
      <c r="C57" s="687"/>
      <c r="D57" s="701"/>
      <c r="E57" s="687"/>
      <c r="F57" s="701"/>
      <c r="G57" s="701"/>
      <c r="H57" s="701"/>
      <c r="I57" s="703"/>
    </row>
    <row r="58" spans="1:9" s="22" customFormat="1" ht="15">
      <c r="A58" s="31"/>
      <c r="B58" s="708"/>
      <c r="C58" s="701"/>
      <c r="D58" s="701"/>
      <c r="E58" s="701"/>
      <c r="F58" s="701"/>
      <c r="G58" s="701"/>
      <c r="H58" s="701"/>
      <c r="I58" s="703"/>
    </row>
    <row r="59" spans="1:9" s="22" customFormat="1" ht="14.4">
      <c r="A59" s="31"/>
      <c r="B59" s="700"/>
      <c r="C59" s="687"/>
      <c r="D59" s="701"/>
      <c r="E59" s="687"/>
      <c r="F59" s="31"/>
      <c r="G59" s="701"/>
      <c r="H59" s="701"/>
      <c r="I59" s="703"/>
    </row>
    <row r="60" spans="1:9" s="22" customFormat="1" ht="14.4">
      <c r="A60" s="31"/>
      <c r="B60" s="31"/>
      <c r="C60" s="31"/>
      <c r="D60" s="31"/>
      <c r="E60" s="31"/>
      <c r="F60" s="701"/>
      <c r="G60" s="701"/>
      <c r="H60" s="701"/>
      <c r="I60" s="703"/>
    </row>
    <row r="61" spans="1:9" s="22" customFormat="1" ht="14.4">
      <c r="A61" s="31"/>
      <c r="B61" s="700"/>
      <c r="C61" s="687"/>
      <c r="D61" s="701"/>
      <c r="E61" s="687"/>
      <c r="F61" s="701"/>
      <c r="G61" s="701"/>
      <c r="H61" s="701"/>
      <c r="I61" s="703"/>
    </row>
    <row r="62" spans="1:9" s="22" customFormat="1" ht="15">
      <c r="A62" s="31"/>
      <c r="B62" s="708"/>
      <c r="C62" s="701"/>
      <c r="D62" s="701"/>
      <c r="E62" s="701"/>
      <c r="F62" s="701"/>
      <c r="G62" s="701"/>
      <c r="H62" s="701"/>
      <c r="I62" s="703"/>
    </row>
    <row r="63" spans="1:9" s="22" customFormat="1" ht="14.4">
      <c r="A63" s="31"/>
      <c r="B63" s="700"/>
      <c r="C63" s="687"/>
      <c r="D63" s="701"/>
      <c r="E63" s="687"/>
      <c r="F63" s="701"/>
      <c r="G63" s="701"/>
      <c r="H63" s="701"/>
      <c r="I63" s="703"/>
    </row>
    <row r="64" spans="1:9" s="22" customFormat="1" ht="15">
      <c r="A64" s="712"/>
      <c r="B64" s="708"/>
      <c r="C64" s="701"/>
      <c r="D64" s="701"/>
      <c r="E64" s="701"/>
      <c r="F64" s="701"/>
      <c r="G64" s="701"/>
      <c r="H64" s="701"/>
      <c r="I64" s="703"/>
    </row>
    <row r="65" spans="1:9" s="22" customFormat="1" ht="23.25" customHeight="1">
      <c r="A65" s="31"/>
      <c r="B65" s="708"/>
      <c r="C65" s="701"/>
      <c r="D65" s="701"/>
      <c r="E65" s="711"/>
      <c r="F65" s="834"/>
      <c r="G65" s="834"/>
      <c r="H65" s="834"/>
      <c r="I65" s="834"/>
    </row>
    <row r="66" spans="1:9" s="22" customFormat="1" ht="15">
      <c r="A66" s="31"/>
      <c r="B66" s="708"/>
      <c r="C66" s="701"/>
      <c r="D66" s="701"/>
      <c r="E66" s="701"/>
      <c r="F66" s="834"/>
      <c r="G66" s="834"/>
      <c r="H66" s="701"/>
      <c r="I66" s="703"/>
    </row>
    <row r="67" spans="1:9" s="22" customFormat="1" ht="17.25" customHeight="1">
      <c r="A67" s="31"/>
      <c r="B67" s="708"/>
      <c r="C67" s="701"/>
      <c r="D67" s="713"/>
      <c r="E67" s="702"/>
      <c r="F67" s="834"/>
      <c r="G67" s="834"/>
      <c r="H67" s="714"/>
      <c r="I67" s="715"/>
    </row>
    <row r="68" spans="1:9" s="22" customFormat="1" ht="23.25" customHeight="1">
      <c r="A68" s="31"/>
      <c r="B68" s="708"/>
      <c r="C68" s="701"/>
      <c r="D68" s="701"/>
      <c r="E68" s="710"/>
      <c r="F68" s="834"/>
      <c r="G68" s="834"/>
      <c r="H68" s="714"/>
      <c r="I68" s="715"/>
    </row>
    <row r="69" spans="1:9" s="22" customFormat="1" ht="15">
      <c r="A69" s="31"/>
      <c r="B69" s="708"/>
      <c r="C69" s="701"/>
      <c r="D69" s="701"/>
      <c r="E69" s="703"/>
      <c r="F69" s="206"/>
      <c r="G69" s="206"/>
      <c r="H69" s="701"/>
      <c r="I69" s="703"/>
    </row>
    <row r="70" spans="1:9" s="22" customFormat="1" ht="14.4">
      <c r="A70" s="31"/>
      <c r="B70" s="716"/>
      <c r="C70" s="716"/>
      <c r="D70" s="716"/>
      <c r="E70" s="716"/>
      <c r="F70" s="716"/>
      <c r="G70" s="716"/>
      <c r="H70" s="716"/>
      <c r="I70" s="716"/>
    </row>
    <row r="71" spans="1:9" s="22" customFormat="1" ht="14.4">
      <c r="A71" s="31"/>
      <c r="B71" s="717"/>
      <c r="C71" s="717"/>
      <c r="D71" s="717"/>
      <c r="E71" s="717"/>
      <c r="F71" s="717"/>
      <c r="G71" s="717"/>
      <c r="H71" s="717"/>
      <c r="I71" s="717"/>
    </row>
    <row r="72" spans="1:9">
      <c r="A72" s="130"/>
      <c r="B72" s="130"/>
      <c r="C72" s="130"/>
      <c r="D72" s="130"/>
      <c r="E72" s="130"/>
      <c r="F72" s="130"/>
      <c r="G72" s="130"/>
      <c r="H72" s="130"/>
      <c r="I72" s="130"/>
    </row>
    <row r="73" spans="1:9" ht="14.4">
      <c r="A73" s="31"/>
      <c r="B73" s="31"/>
      <c r="C73" s="841"/>
      <c r="D73" s="841"/>
      <c r="E73" s="31"/>
      <c r="F73" s="31"/>
      <c r="G73" s="31"/>
      <c r="H73" s="130"/>
      <c r="I73" s="130"/>
    </row>
    <row r="74" spans="1:9" ht="14.4">
      <c r="A74" s="31"/>
      <c r="B74" s="31"/>
      <c r="C74" s="841"/>
      <c r="D74" s="841"/>
      <c r="E74" s="31"/>
      <c r="F74" s="31"/>
      <c r="G74" s="31"/>
      <c r="H74" s="130"/>
      <c r="I74" s="130"/>
    </row>
    <row r="75" spans="1:9" ht="14.4">
      <c r="A75" s="31"/>
      <c r="B75" s="31"/>
      <c r="C75" s="31"/>
      <c r="D75" s="31"/>
      <c r="E75" s="31"/>
      <c r="F75" s="31"/>
      <c r="G75" s="31"/>
      <c r="H75" s="130"/>
      <c r="I75" s="130"/>
    </row>
    <row r="76" spans="1:9" ht="14.4">
      <c r="A76" s="828"/>
      <c r="B76" s="828"/>
      <c r="C76" s="828"/>
      <c r="D76" s="828"/>
      <c r="E76" s="828"/>
      <c r="F76" s="828"/>
      <c r="G76" s="828"/>
      <c r="H76" s="828"/>
      <c r="I76" s="828"/>
    </row>
    <row r="77" spans="1:9">
      <c r="A77" s="130"/>
      <c r="B77" s="130"/>
      <c r="C77" s="130"/>
      <c r="D77" s="130"/>
      <c r="E77" s="130"/>
      <c r="F77" s="130"/>
      <c r="G77" s="130"/>
      <c r="H77" s="130"/>
      <c r="I77" s="130"/>
    </row>
  </sheetData>
  <mergeCells count="14">
    <mergeCell ref="F52:G52"/>
    <mergeCell ref="B16:I16"/>
    <mergeCell ref="B21:I21"/>
    <mergeCell ref="C73:D74"/>
    <mergeCell ref="A76:I76"/>
    <mergeCell ref="B30:I30"/>
    <mergeCell ref="B5:I5"/>
    <mergeCell ref="A3:I3"/>
    <mergeCell ref="F68:G68"/>
    <mergeCell ref="F66:G66"/>
    <mergeCell ref="F65:I65"/>
    <mergeCell ref="F67:G67"/>
    <mergeCell ref="F51:G51"/>
    <mergeCell ref="A28:I28"/>
  </mergeCells>
  <pageMargins left="0.15748031496062992" right="0.15748031496062992" top="0.39370078740157483" bottom="0.74803149606299213" header="0.31496062992125984" footer="0.31496062992125984"/>
  <pageSetup scale="69" orientation="portrait" r:id="rId1"/>
  <rowBreaks count="1" manualBreakCount="1">
    <brk id="50" max="8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5677F-3F7D-4EAA-AA99-2C365AE02999}">
  <sheetPr codeName="Sheet6"/>
  <dimension ref="B1:U41"/>
  <sheetViews>
    <sheetView view="pageBreakPreview" zoomScale="60" zoomScaleNormal="100" workbookViewId="0">
      <selection activeCell="U37" sqref="U37"/>
    </sheetView>
  </sheetViews>
  <sheetFormatPr defaultColWidth="9.21875" defaultRowHeight="22.2"/>
  <cols>
    <col min="1" max="1" width="3.21875" style="179" customWidth="1"/>
    <col min="2" max="3" width="5.44140625" style="179" customWidth="1"/>
    <col min="4" max="4" width="13.77734375" style="179" customWidth="1"/>
    <col min="5" max="5" width="12" style="179" customWidth="1"/>
    <col min="6" max="6" width="10.77734375" style="179" customWidth="1"/>
    <col min="7" max="7" width="20.44140625" style="179" customWidth="1"/>
    <col min="8" max="8" width="12.44140625" style="179" customWidth="1"/>
    <col min="9" max="9" width="11.21875" style="179" customWidth="1"/>
    <col min="10" max="10" width="9.44140625" style="179" customWidth="1"/>
    <col min="11" max="12" width="6" style="179" customWidth="1"/>
    <col min="13" max="13" width="3.44140625" style="179" customWidth="1"/>
    <col min="14" max="16384" width="9.21875" style="179"/>
  </cols>
  <sheetData>
    <row r="1" spans="2:19" ht="9" customHeight="1" thickBot="1"/>
    <row r="2" spans="2:19">
      <c r="B2" s="180"/>
      <c r="C2" s="181"/>
      <c r="D2" s="181"/>
      <c r="E2" s="181"/>
      <c r="F2" s="181"/>
      <c r="G2" s="181"/>
      <c r="H2" s="181"/>
      <c r="I2" s="181"/>
      <c r="J2" s="181"/>
      <c r="K2" s="181"/>
      <c r="L2" s="182"/>
      <c r="M2" s="183"/>
    </row>
    <row r="3" spans="2:19">
      <c r="B3" s="184"/>
      <c r="C3" s="185"/>
      <c r="D3" s="185"/>
      <c r="E3" s="185"/>
      <c r="F3" s="185"/>
      <c r="G3" s="185"/>
      <c r="H3" s="185"/>
      <c r="I3" s="185"/>
      <c r="J3" s="185"/>
      <c r="K3" s="185"/>
      <c r="L3" s="186"/>
      <c r="M3" s="183"/>
    </row>
    <row r="4" spans="2:19">
      <c r="B4" s="184"/>
      <c r="C4" s="185"/>
      <c r="D4" s="185"/>
      <c r="E4" s="185"/>
      <c r="F4" s="185"/>
      <c r="G4" s="185"/>
      <c r="H4" s="185"/>
      <c r="I4" s="185"/>
      <c r="J4" s="185"/>
      <c r="K4" s="185"/>
      <c r="L4" s="186"/>
      <c r="M4" s="183"/>
    </row>
    <row r="5" spans="2:19">
      <c r="B5" s="184"/>
      <c r="C5" s="185"/>
      <c r="D5" s="183"/>
      <c r="E5" s="183"/>
      <c r="F5" s="183"/>
      <c r="G5" s="183"/>
      <c r="H5" s="183"/>
      <c r="I5" s="183"/>
      <c r="J5" s="183"/>
      <c r="K5" s="185"/>
      <c r="L5" s="186"/>
      <c r="M5" s="183"/>
    </row>
    <row r="6" spans="2:19" ht="28.8">
      <c r="B6" s="184"/>
      <c r="C6" s="185"/>
      <c r="D6" s="848" t="s">
        <v>336</v>
      </c>
      <c r="E6" s="848"/>
      <c r="F6" s="848"/>
      <c r="G6" s="848"/>
      <c r="H6" s="848"/>
      <c r="I6" s="848"/>
      <c r="J6" s="848"/>
      <c r="K6" s="613"/>
      <c r="L6" s="186"/>
      <c r="M6" s="183"/>
    </row>
    <row r="7" spans="2:19">
      <c r="B7" s="184"/>
      <c r="C7" s="185"/>
      <c r="D7" s="183"/>
      <c r="E7" s="183"/>
      <c r="F7" s="183"/>
      <c r="G7" s="183"/>
      <c r="H7" s="183"/>
      <c r="I7" s="183"/>
      <c r="J7" s="183"/>
      <c r="K7" s="185"/>
      <c r="L7" s="186"/>
      <c r="M7" s="183"/>
    </row>
    <row r="8" spans="2:19" ht="25.8">
      <c r="B8" s="184"/>
      <c r="C8" s="185"/>
      <c r="D8" s="850" t="s">
        <v>267</v>
      </c>
      <c r="E8" s="850"/>
      <c r="F8" s="850"/>
      <c r="G8" s="850"/>
      <c r="H8" s="850"/>
      <c r="I8" s="850"/>
      <c r="J8" s="850"/>
      <c r="K8" s="614"/>
      <c r="L8" s="186"/>
      <c r="M8" s="183"/>
    </row>
    <row r="9" spans="2:19">
      <c r="B9" s="184"/>
      <c r="C9" s="185"/>
      <c r="D9" s="183"/>
      <c r="E9" s="183"/>
      <c r="F9" s="183"/>
      <c r="G9" s="183"/>
      <c r="H9" s="183"/>
      <c r="I9" s="183"/>
      <c r="J9" s="183"/>
      <c r="K9" s="185"/>
      <c r="L9" s="186"/>
      <c r="M9" s="183"/>
    </row>
    <row r="10" spans="2:19" ht="31.5" customHeight="1">
      <c r="B10" s="184"/>
      <c r="C10" s="185"/>
      <c r="D10" s="849" t="str">
        <f>Assumptions!I17</f>
        <v>Doe Textiles</v>
      </c>
      <c r="E10" s="849"/>
      <c r="F10" s="849"/>
      <c r="G10" s="849"/>
      <c r="H10" s="849"/>
      <c r="I10" s="849"/>
      <c r="J10" s="849"/>
      <c r="K10" s="615"/>
      <c r="L10" s="188"/>
      <c r="M10" s="183"/>
    </row>
    <row r="11" spans="2:19">
      <c r="B11" s="184"/>
      <c r="C11" s="185"/>
      <c r="D11" s="183"/>
      <c r="E11" s="183"/>
      <c r="F11" s="183"/>
      <c r="G11" s="183"/>
      <c r="H11" s="183"/>
      <c r="I11" s="183"/>
      <c r="J11" s="183"/>
      <c r="K11" s="185"/>
      <c r="L11" s="186"/>
      <c r="M11" s="183"/>
    </row>
    <row r="12" spans="2:19" ht="25.8">
      <c r="B12" s="184"/>
      <c r="C12" s="185"/>
      <c r="D12" s="847" t="str">
        <f>Assumptions!I8</f>
        <v>John Doe</v>
      </c>
      <c r="E12" s="847"/>
      <c r="F12" s="847"/>
      <c r="G12" s="847"/>
      <c r="H12" s="847"/>
      <c r="I12" s="847"/>
      <c r="J12" s="847"/>
      <c r="K12" s="616"/>
      <c r="L12" s="186"/>
      <c r="M12" s="183"/>
    </row>
    <row r="13" spans="2:19">
      <c r="B13" s="184"/>
      <c r="C13" s="185"/>
      <c r="D13" s="183"/>
      <c r="E13" s="183"/>
      <c r="F13" s="183"/>
      <c r="G13" s="183"/>
      <c r="H13" s="183"/>
      <c r="I13" s="183"/>
      <c r="J13" s="183"/>
      <c r="K13" s="185"/>
      <c r="L13" s="186"/>
      <c r="M13" s="183"/>
    </row>
    <row r="14" spans="2:19">
      <c r="B14" s="184"/>
      <c r="C14" s="185"/>
      <c r="D14" s="183"/>
      <c r="E14" s="183"/>
      <c r="F14" s="183"/>
      <c r="G14" s="183"/>
      <c r="H14" s="183"/>
      <c r="I14" s="183"/>
      <c r="J14" s="183"/>
      <c r="K14" s="185"/>
      <c r="L14" s="186"/>
      <c r="M14" s="183"/>
      <c r="S14" s="179" t="s">
        <v>268</v>
      </c>
    </row>
    <row r="15" spans="2:19" ht="12.75" customHeight="1">
      <c r="B15" s="184"/>
      <c r="C15" s="185"/>
      <c r="D15" s="845" t="s">
        <v>269</v>
      </c>
      <c r="E15" s="845"/>
      <c r="F15" s="845"/>
      <c r="G15" s="845" t="str">
        <f>Assumptions!I15</f>
        <v>Textile Manufacturing</v>
      </c>
      <c r="H15" s="845"/>
      <c r="I15" s="845"/>
      <c r="J15" s="845"/>
      <c r="K15" s="609"/>
      <c r="L15" s="190"/>
      <c r="M15" s="183"/>
    </row>
    <row r="16" spans="2:19" ht="12.75" customHeight="1">
      <c r="B16" s="184"/>
      <c r="C16" s="185"/>
      <c r="D16" s="845"/>
      <c r="E16" s="845"/>
      <c r="F16" s="845"/>
      <c r="G16" s="845"/>
      <c r="H16" s="845"/>
      <c r="I16" s="845"/>
      <c r="J16" s="845"/>
      <c r="K16" s="609"/>
      <c r="L16" s="190"/>
      <c r="M16" s="183"/>
    </row>
    <row r="17" spans="2:21" ht="12.75" customHeight="1">
      <c r="B17" s="184"/>
      <c r="C17" s="185"/>
      <c r="D17" s="845"/>
      <c r="E17" s="845"/>
      <c r="F17" s="845"/>
      <c r="G17" s="845"/>
      <c r="H17" s="845"/>
      <c r="I17" s="845"/>
      <c r="J17" s="845"/>
      <c r="K17" s="609"/>
      <c r="L17" s="190"/>
      <c r="M17" s="183"/>
    </row>
    <row r="18" spans="2:21" ht="35.25" customHeight="1">
      <c r="B18" s="184"/>
      <c r="C18" s="185"/>
      <c r="D18" s="845"/>
      <c r="E18" s="845"/>
      <c r="F18" s="845"/>
      <c r="G18" s="845"/>
      <c r="H18" s="845"/>
      <c r="I18" s="845"/>
      <c r="J18" s="845"/>
      <c r="K18" s="609"/>
      <c r="L18" s="190"/>
      <c r="M18" s="183"/>
    </row>
    <row r="19" spans="2:21">
      <c r="B19" s="184"/>
      <c r="C19" s="185"/>
      <c r="D19" s="183" t="s">
        <v>224</v>
      </c>
      <c r="E19" s="183"/>
      <c r="F19" s="183"/>
      <c r="G19" s="183"/>
      <c r="H19" s="183"/>
      <c r="I19" s="183"/>
      <c r="J19" s="183"/>
      <c r="K19" s="185"/>
      <c r="L19" s="186"/>
      <c r="M19" s="183"/>
    </row>
    <row r="20" spans="2:21">
      <c r="B20" s="184"/>
      <c r="C20" s="185"/>
      <c r="D20" s="844" t="s">
        <v>270</v>
      </c>
      <c r="E20" s="844"/>
      <c r="F20" s="844"/>
      <c r="G20" s="844"/>
      <c r="H20" s="844"/>
      <c r="I20" s="844"/>
      <c r="J20" s="844"/>
      <c r="K20" s="617"/>
      <c r="L20" s="186"/>
      <c r="M20" s="183"/>
      <c r="U20" s="179" t="s">
        <v>271</v>
      </c>
    </row>
    <row r="21" spans="2:21" ht="20.25" customHeight="1">
      <c r="B21" s="184"/>
      <c r="C21" s="185"/>
      <c r="D21" s="843" t="str">
        <f>Assumptions!I16</f>
        <v>123 Industrial Area, City</v>
      </c>
      <c r="E21" s="843"/>
      <c r="F21" s="843"/>
      <c r="G21" s="843"/>
      <c r="H21" s="843"/>
      <c r="I21" s="843"/>
      <c r="J21" s="843"/>
      <c r="K21" s="618"/>
      <c r="L21" s="186"/>
      <c r="M21" s="183"/>
      <c r="U21" s="179" t="s">
        <v>272</v>
      </c>
    </row>
    <row r="22" spans="2:21" ht="18.75" customHeight="1">
      <c r="B22" s="184"/>
      <c r="C22" s="185"/>
      <c r="D22" s="843"/>
      <c r="E22" s="843"/>
      <c r="F22" s="843"/>
      <c r="G22" s="843"/>
      <c r="H22" s="843"/>
      <c r="I22" s="843"/>
      <c r="J22" s="843"/>
      <c r="K22" s="618"/>
      <c r="L22" s="186"/>
      <c r="M22" s="183"/>
    </row>
    <row r="23" spans="2:21">
      <c r="B23" s="184"/>
      <c r="C23" s="185"/>
      <c r="D23" s="843"/>
      <c r="E23" s="843"/>
      <c r="F23" s="843"/>
      <c r="G23" s="843"/>
      <c r="H23" s="843"/>
      <c r="I23" s="843"/>
      <c r="J23" s="843"/>
      <c r="K23" s="618"/>
      <c r="L23" s="186"/>
      <c r="M23" s="183"/>
    </row>
    <row r="24" spans="2:21">
      <c r="B24" s="184"/>
      <c r="C24" s="185"/>
      <c r="D24" s="183"/>
      <c r="E24" s="183"/>
      <c r="F24" s="183"/>
      <c r="G24" s="183"/>
      <c r="H24" s="183"/>
      <c r="I24" s="183"/>
      <c r="J24" s="183"/>
      <c r="K24" s="185"/>
      <c r="L24" s="186"/>
      <c r="M24" s="183"/>
    </row>
    <row r="25" spans="2:21" ht="22.5" customHeight="1">
      <c r="B25" s="184"/>
      <c r="C25" s="185"/>
      <c r="D25" s="846" t="s">
        <v>273</v>
      </c>
      <c r="E25" s="846"/>
      <c r="F25" s="846"/>
      <c r="G25" s="846"/>
      <c r="H25" s="846"/>
      <c r="I25" s="846"/>
      <c r="J25" s="846"/>
      <c r="K25" s="619"/>
      <c r="L25" s="190"/>
      <c r="M25" s="183"/>
    </row>
    <row r="26" spans="2:21" ht="12.75" customHeight="1">
      <c r="B26" s="184"/>
      <c r="C26" s="185"/>
      <c r="D26" s="191"/>
      <c r="E26" s="191"/>
      <c r="F26" s="191"/>
      <c r="G26" s="191"/>
      <c r="H26" s="191"/>
      <c r="I26" s="191"/>
      <c r="J26" s="191"/>
      <c r="K26" s="620"/>
      <c r="L26" s="190"/>
      <c r="M26" s="183"/>
    </row>
    <row r="27" spans="2:21" ht="24" customHeight="1">
      <c r="B27" s="184"/>
      <c r="C27" s="185"/>
      <c r="D27" s="842" t="s">
        <v>524</v>
      </c>
      <c r="E27" s="842"/>
      <c r="F27" s="842"/>
      <c r="G27" s="842"/>
      <c r="H27" s="193">
        <f>Assumptions!I55</f>
        <v>62000</v>
      </c>
      <c r="I27" s="194" t="s">
        <v>274</v>
      </c>
      <c r="J27" s="191"/>
      <c r="K27" s="620"/>
      <c r="L27" s="190"/>
      <c r="M27" s="183"/>
    </row>
    <row r="28" spans="2:21" ht="21" customHeight="1">
      <c r="B28" s="184"/>
      <c r="C28" s="185"/>
      <c r="D28" s="843" t="s">
        <v>188</v>
      </c>
      <c r="E28" s="843"/>
      <c r="F28" s="843"/>
      <c r="G28" s="843"/>
      <c r="H28" s="192">
        <f>Assumptions!I43</f>
        <v>63000</v>
      </c>
      <c r="I28" s="191" t="s">
        <v>274</v>
      </c>
      <c r="J28" s="191"/>
      <c r="K28" s="620"/>
      <c r="L28" s="190"/>
      <c r="M28" s="183"/>
    </row>
    <row r="29" spans="2:21" ht="21" customHeight="1">
      <c r="B29" s="184"/>
      <c r="C29" s="185"/>
      <c r="D29" s="843" t="s">
        <v>676</v>
      </c>
      <c r="E29" s="843"/>
      <c r="F29" s="843"/>
      <c r="G29" s="843"/>
      <c r="H29" s="192">
        <f>Assumptions!I51</f>
        <v>450000</v>
      </c>
      <c r="I29" s="191" t="str">
        <f>I28</f>
        <v>Lacs</v>
      </c>
      <c r="J29" s="191"/>
      <c r="K29" s="620"/>
      <c r="L29" s="190"/>
      <c r="M29" s="183"/>
    </row>
    <row r="30" spans="2:21" ht="24" customHeight="1">
      <c r="B30" s="184"/>
      <c r="C30" s="185"/>
      <c r="D30" s="842" t="s">
        <v>264</v>
      </c>
      <c r="E30" s="842"/>
      <c r="F30" s="842"/>
      <c r="G30" s="842"/>
      <c r="H30" s="193">
        <f>Assumptions!I56</f>
        <v>575000</v>
      </c>
      <c r="I30" s="194" t="s">
        <v>274</v>
      </c>
      <c r="J30" s="183"/>
      <c r="K30" s="185"/>
      <c r="L30" s="186"/>
      <c r="M30" s="183"/>
    </row>
    <row r="31" spans="2:21" ht="22.8" thickBot="1">
      <c r="B31" s="184"/>
      <c r="C31" s="185"/>
      <c r="D31" s="183"/>
      <c r="E31" s="189"/>
      <c r="F31" s="189"/>
      <c r="G31" s="189"/>
      <c r="H31" s="189"/>
      <c r="I31" s="189"/>
      <c r="J31" s="183"/>
      <c r="K31" s="185"/>
      <c r="L31" s="186"/>
      <c r="M31" s="183"/>
    </row>
    <row r="32" spans="2:21">
      <c r="B32" s="184"/>
      <c r="C32" s="185"/>
      <c r="D32" s="183"/>
      <c r="E32" s="183"/>
      <c r="F32" s="183"/>
      <c r="G32" s="183"/>
      <c r="H32" s="183"/>
      <c r="I32" s="183"/>
      <c r="J32" s="183"/>
      <c r="K32" s="185"/>
      <c r="L32" s="186"/>
      <c r="M32" s="183"/>
    </row>
    <row r="33" spans="2:13">
      <c r="B33" s="184"/>
      <c r="C33" s="185"/>
      <c r="D33" s="844" t="s">
        <v>275</v>
      </c>
      <c r="E33" s="844"/>
      <c r="F33" s="844"/>
      <c r="G33" s="844"/>
      <c r="H33" s="844"/>
      <c r="I33" s="844"/>
      <c r="J33" s="844"/>
      <c r="K33" s="617"/>
      <c r="L33" s="186"/>
      <c r="M33" s="183"/>
    </row>
    <row r="34" spans="2:13">
      <c r="B34" s="184"/>
      <c r="C34" s="185"/>
      <c r="D34" s="183"/>
      <c r="E34" s="195"/>
      <c r="F34" s="195"/>
      <c r="G34" s="195"/>
      <c r="H34" s="195"/>
      <c r="I34" s="195"/>
      <c r="J34" s="195"/>
      <c r="K34" s="621"/>
      <c r="L34" s="186"/>
      <c r="M34" s="183"/>
    </row>
    <row r="35" spans="2:13">
      <c r="B35" s="184"/>
      <c r="C35" s="185"/>
      <c r="D35" s="842" t="s">
        <v>460</v>
      </c>
      <c r="E35" s="842"/>
      <c r="F35" s="842"/>
      <c r="G35" s="842"/>
      <c r="H35" s="842"/>
      <c r="I35" s="842"/>
      <c r="J35" s="842"/>
      <c r="K35" s="614"/>
      <c r="L35" s="186"/>
      <c r="M35" s="183"/>
    </row>
    <row r="36" spans="2:13">
      <c r="B36" s="184"/>
      <c r="C36" s="185"/>
      <c r="D36" s="842" t="s">
        <v>459</v>
      </c>
      <c r="E36" s="842"/>
      <c r="F36" s="842"/>
      <c r="G36" s="842"/>
      <c r="H36" s="842"/>
      <c r="I36" s="842"/>
      <c r="J36" s="842"/>
      <c r="K36" s="614"/>
      <c r="L36" s="186"/>
      <c r="M36" s="183"/>
    </row>
    <row r="37" spans="2:13">
      <c r="B37" s="184"/>
      <c r="C37" s="185"/>
      <c r="D37" s="842" t="s">
        <v>340</v>
      </c>
      <c r="E37" s="842"/>
      <c r="F37" s="842"/>
      <c r="G37" s="842"/>
      <c r="H37" s="842"/>
      <c r="I37" s="842"/>
      <c r="J37" s="842"/>
      <c r="K37" s="614"/>
      <c r="L37" s="186"/>
      <c r="M37" s="183"/>
    </row>
    <row r="38" spans="2:13">
      <c r="B38" s="184"/>
      <c r="C38" s="185"/>
      <c r="D38" s="187"/>
      <c r="E38" s="187"/>
      <c r="F38" s="187"/>
      <c r="G38" s="187"/>
      <c r="H38" s="187"/>
      <c r="I38" s="187"/>
      <c r="J38" s="187"/>
      <c r="K38" s="614"/>
      <c r="L38" s="186"/>
      <c r="M38" s="183"/>
    </row>
    <row r="39" spans="2:13">
      <c r="B39" s="184"/>
      <c r="C39" s="185"/>
      <c r="D39" s="614"/>
      <c r="E39" s="614"/>
      <c r="F39" s="614"/>
      <c r="G39" s="614"/>
      <c r="H39" s="614"/>
      <c r="I39" s="614"/>
      <c r="J39" s="614"/>
      <c r="K39" s="614"/>
      <c r="L39" s="186"/>
      <c r="M39" s="183"/>
    </row>
    <row r="40" spans="2:13">
      <c r="B40" s="184"/>
      <c r="C40" s="185"/>
      <c r="D40" s="185"/>
      <c r="E40" s="185"/>
      <c r="F40" s="185"/>
      <c r="G40" s="185"/>
      <c r="H40" s="185"/>
      <c r="I40" s="185"/>
      <c r="J40" s="185"/>
      <c r="K40" s="185"/>
      <c r="L40" s="186"/>
      <c r="M40" s="183"/>
    </row>
    <row r="41" spans="2:13" ht="22.8" thickBot="1">
      <c r="B41" s="196"/>
      <c r="C41" s="197"/>
      <c r="D41" s="197"/>
      <c r="E41" s="197"/>
      <c r="F41" s="197"/>
      <c r="G41" s="197"/>
      <c r="H41" s="197"/>
      <c r="I41" s="197"/>
      <c r="J41" s="197"/>
      <c r="K41" s="197"/>
      <c r="L41" s="198"/>
      <c r="M41" s="183"/>
    </row>
  </sheetData>
  <mergeCells count="17">
    <mergeCell ref="D12:J12"/>
    <mergeCell ref="D35:J35"/>
    <mergeCell ref="D36:J36"/>
    <mergeCell ref="D6:J6"/>
    <mergeCell ref="D20:J20"/>
    <mergeCell ref="D29:G29"/>
    <mergeCell ref="D10:J10"/>
    <mergeCell ref="D8:J8"/>
    <mergeCell ref="D37:J37"/>
    <mergeCell ref="D28:G28"/>
    <mergeCell ref="D27:G27"/>
    <mergeCell ref="D30:G30"/>
    <mergeCell ref="D33:J33"/>
    <mergeCell ref="D15:F18"/>
    <mergeCell ref="G15:J18"/>
    <mergeCell ref="D21:J23"/>
    <mergeCell ref="D25:J25"/>
  </mergeCells>
  <pageMargins left="0.26" right="0.19685039370078741" top="0.35433070866141736" bottom="0.23622047244094491" header="0.31496062992125984" footer="0.15748031496062992"/>
  <pageSetup scale="87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DE752-8CEA-43BF-A8B6-C93764562565}">
  <sheetPr codeName="Sheet7"/>
  <dimension ref="B1:M55"/>
  <sheetViews>
    <sheetView view="pageBreakPreview" zoomScale="60" zoomScaleNormal="100" workbookViewId="0">
      <selection activeCell="P8" sqref="P8"/>
    </sheetView>
  </sheetViews>
  <sheetFormatPr defaultRowHeight="13.2"/>
  <cols>
    <col min="1" max="1" width="2.77734375" customWidth="1"/>
    <col min="2" max="2" width="5.44140625" customWidth="1"/>
    <col min="3" max="3" width="4.77734375" customWidth="1"/>
    <col min="4" max="4" width="4.44140625" customWidth="1"/>
    <col min="5" max="5" width="14" bestFit="1" customWidth="1"/>
    <col min="6" max="6" width="12.5546875" customWidth="1"/>
    <col min="7" max="7" width="12.44140625" customWidth="1"/>
    <col min="8" max="8" width="13.44140625" customWidth="1"/>
    <col min="9" max="9" width="21.44140625" customWidth="1"/>
    <col min="10" max="10" width="7.21875" customWidth="1"/>
    <col min="11" max="11" width="7.77734375" customWidth="1"/>
    <col min="12" max="12" width="6" customWidth="1"/>
    <col min="13" max="13" width="3" customWidth="1"/>
  </cols>
  <sheetData>
    <row r="1" spans="2:13" ht="13.8" thickBot="1"/>
    <row r="2" spans="2:13">
      <c r="B2" s="379"/>
      <c r="C2" s="380"/>
      <c r="D2" s="380"/>
      <c r="E2" s="380"/>
      <c r="F2" s="380"/>
      <c r="G2" s="380"/>
      <c r="H2" s="380"/>
      <c r="I2" s="380"/>
      <c r="J2" s="380"/>
      <c r="K2" s="380"/>
      <c r="L2" s="381"/>
      <c r="M2" s="129"/>
    </row>
    <row r="3" spans="2:13">
      <c r="B3" s="382"/>
      <c r="C3" s="383"/>
      <c r="D3" s="383"/>
      <c r="E3" s="383"/>
      <c r="F3" s="383"/>
      <c r="G3" s="383"/>
      <c r="H3" s="383"/>
      <c r="I3" s="383"/>
      <c r="J3" s="383"/>
      <c r="K3" s="383"/>
      <c r="L3" s="384"/>
      <c r="M3" s="129"/>
    </row>
    <row r="4" spans="2:13">
      <c r="B4" s="382"/>
      <c r="C4" s="129"/>
      <c r="D4" s="129"/>
      <c r="E4" s="129"/>
      <c r="F4" s="129"/>
      <c r="G4" s="129"/>
      <c r="H4" s="129"/>
      <c r="I4" s="129"/>
      <c r="J4" s="129"/>
      <c r="K4" s="129"/>
      <c r="L4" s="384"/>
      <c r="M4" s="129"/>
    </row>
    <row r="5" spans="2:13" ht="28.8">
      <c r="B5" s="382"/>
      <c r="C5" s="851" t="s">
        <v>533</v>
      </c>
      <c r="D5" s="851"/>
      <c r="E5" s="851"/>
      <c r="F5" s="851"/>
      <c r="G5" s="851"/>
      <c r="H5" s="851"/>
      <c r="I5" s="851"/>
      <c r="J5" s="610"/>
      <c r="K5" s="610"/>
      <c r="L5" s="384"/>
      <c r="M5" s="129"/>
    </row>
    <row r="6" spans="2:13">
      <c r="B6" s="382"/>
      <c r="C6" s="129"/>
      <c r="D6" s="385"/>
      <c r="E6" s="129"/>
      <c r="F6" s="129"/>
      <c r="G6" s="129"/>
      <c r="H6" s="129"/>
      <c r="I6" s="129"/>
      <c r="J6" s="129"/>
      <c r="K6" s="129"/>
      <c r="L6" s="384"/>
      <c r="M6" s="129"/>
    </row>
    <row r="7" spans="2:13" ht="14.4">
      <c r="B7" s="382"/>
      <c r="C7" s="129"/>
      <c r="D7" s="525">
        <v>1</v>
      </c>
      <c r="E7" s="453" t="s">
        <v>673</v>
      </c>
      <c r="F7" s="453"/>
      <c r="G7" s="453"/>
      <c r="H7" s="453"/>
      <c r="I7" s="453"/>
      <c r="J7" s="453"/>
      <c r="K7" s="453"/>
      <c r="L7" s="384"/>
      <c r="M7" s="129"/>
    </row>
    <row r="8" spans="2:13" ht="15" customHeight="1">
      <c r="B8" s="382"/>
      <c r="C8" s="129"/>
      <c r="D8" s="525"/>
      <c r="E8" s="2"/>
      <c r="F8" s="2"/>
      <c r="G8" s="2"/>
      <c r="H8" s="2"/>
      <c r="I8" s="2"/>
      <c r="J8" s="2"/>
      <c r="K8" s="2"/>
      <c r="L8" s="384"/>
      <c r="M8" s="129"/>
    </row>
    <row r="9" spans="2:13" ht="17.25" customHeight="1">
      <c r="B9" s="382"/>
      <c r="C9" s="129"/>
      <c r="D9" s="525">
        <v>2</v>
      </c>
      <c r="E9" s="853" t="s">
        <v>671</v>
      </c>
      <c r="F9" s="853"/>
      <c r="G9" s="853"/>
      <c r="H9" s="853"/>
      <c r="I9" s="853"/>
      <c r="J9" s="611"/>
      <c r="K9" s="611"/>
      <c r="L9" s="384"/>
      <c r="M9" s="129"/>
    </row>
    <row r="10" spans="2:13" ht="12.75" customHeight="1">
      <c r="B10" s="382"/>
      <c r="C10" s="386"/>
      <c r="D10" s="525"/>
      <c r="E10" s="490"/>
      <c r="F10" s="490"/>
      <c r="G10" s="490"/>
      <c r="H10" s="490"/>
      <c r="I10" s="490"/>
      <c r="J10" s="490"/>
      <c r="K10" s="490"/>
      <c r="L10" s="387"/>
      <c r="M10" s="129"/>
    </row>
    <row r="11" spans="2:13" ht="12.75" customHeight="1">
      <c r="B11" s="382"/>
      <c r="C11" s="129"/>
      <c r="D11" s="526">
        <v>3</v>
      </c>
      <c r="E11" s="853" t="s">
        <v>672</v>
      </c>
      <c r="F11" s="853"/>
      <c r="G11" s="853"/>
      <c r="H11" s="853"/>
      <c r="I11" s="853"/>
      <c r="J11" s="611"/>
      <c r="K11" s="611"/>
      <c r="L11" s="384"/>
      <c r="M11" s="129"/>
    </row>
    <row r="12" spans="2:13" ht="12.75" customHeight="1">
      <c r="B12" s="382"/>
      <c r="C12" s="129"/>
      <c r="D12" s="506"/>
      <c r="E12" s="853"/>
      <c r="F12" s="853"/>
      <c r="G12" s="853"/>
      <c r="H12" s="853"/>
      <c r="I12" s="853"/>
      <c r="J12" s="611"/>
      <c r="K12" s="611"/>
      <c r="L12" s="384"/>
      <c r="M12" s="129"/>
    </row>
    <row r="13" spans="2:13" ht="20.25" customHeight="1">
      <c r="B13" s="382"/>
      <c r="C13" s="129"/>
      <c r="D13" s="506"/>
      <c r="E13" s="853"/>
      <c r="F13" s="853"/>
      <c r="G13" s="853"/>
      <c r="H13" s="853"/>
      <c r="I13" s="853"/>
      <c r="J13" s="611"/>
      <c r="K13" s="611"/>
      <c r="L13" s="384"/>
      <c r="M13" s="129"/>
    </row>
    <row r="14" spans="2:13" ht="15.75" customHeight="1">
      <c r="B14" s="382"/>
      <c r="C14" s="388"/>
      <c r="D14" s="506"/>
      <c r="E14" s="2"/>
      <c r="F14" s="2"/>
      <c r="G14" s="2"/>
      <c r="H14" s="2"/>
      <c r="I14" s="2"/>
      <c r="J14" s="2"/>
      <c r="K14" s="2"/>
      <c r="L14" s="389"/>
      <c r="M14" s="129"/>
    </row>
    <row r="15" spans="2:13" ht="12.75" customHeight="1">
      <c r="B15" s="382"/>
      <c r="C15" s="388"/>
      <c r="D15" s="526">
        <v>3</v>
      </c>
      <c r="E15" s="852" t="s">
        <v>192</v>
      </c>
      <c r="F15" s="852"/>
      <c r="G15" s="852"/>
      <c r="H15" s="852"/>
      <c r="I15" s="2"/>
      <c r="J15" s="2"/>
      <c r="K15" s="2"/>
      <c r="L15" s="389"/>
      <c r="M15" s="129"/>
    </row>
    <row r="16" spans="2:13" ht="15.75" customHeight="1">
      <c r="B16" s="382"/>
      <c r="C16" s="388"/>
      <c r="D16" s="527"/>
      <c r="E16" s="2"/>
      <c r="F16" s="2"/>
      <c r="G16" s="2"/>
      <c r="H16" s="2"/>
      <c r="I16" s="2"/>
      <c r="J16" s="2"/>
      <c r="K16" s="2"/>
      <c r="L16" s="389"/>
      <c r="M16" s="129"/>
    </row>
    <row r="17" spans="2:13" ht="14.25" customHeight="1">
      <c r="B17" s="382"/>
      <c r="C17" s="388"/>
      <c r="D17" s="528">
        <v>4</v>
      </c>
      <c r="E17" s="6" t="s">
        <v>534</v>
      </c>
      <c r="F17" s="452"/>
      <c r="G17" s="2"/>
      <c r="H17" s="2"/>
      <c r="I17" s="2"/>
      <c r="J17" s="2"/>
      <c r="K17" s="2"/>
      <c r="L17" s="389"/>
      <c r="M17" s="129"/>
    </row>
    <row r="18" spans="2:13" ht="14.4">
      <c r="B18" s="382"/>
      <c r="C18" s="148" t="s">
        <v>224</v>
      </c>
      <c r="D18" s="527"/>
      <c r="E18" s="2"/>
      <c r="F18" s="2"/>
      <c r="G18" s="2"/>
      <c r="H18" s="2"/>
      <c r="I18" s="2"/>
      <c r="J18" s="2"/>
      <c r="K18" s="2"/>
      <c r="L18" s="384"/>
      <c r="M18" s="129"/>
    </row>
    <row r="19" spans="2:13" ht="14.4">
      <c r="B19" s="382"/>
      <c r="C19" s="129"/>
      <c r="D19" s="526">
        <v>5</v>
      </c>
      <c r="E19" s="2" t="s">
        <v>12</v>
      </c>
      <c r="F19" s="2"/>
      <c r="G19" s="2"/>
      <c r="H19" s="2"/>
      <c r="I19" s="2"/>
      <c r="J19" s="2"/>
      <c r="K19" s="2"/>
      <c r="L19" s="384"/>
      <c r="M19" s="129"/>
    </row>
    <row r="20" spans="2:13" ht="14.4">
      <c r="B20" s="382"/>
      <c r="C20" s="129"/>
      <c r="D20" s="527"/>
      <c r="E20" s="2"/>
      <c r="F20" s="2"/>
      <c r="G20" s="2"/>
      <c r="H20" s="2"/>
      <c r="I20" s="2"/>
      <c r="J20" s="2"/>
      <c r="K20" s="2"/>
      <c r="L20" s="384"/>
      <c r="M20" s="129"/>
    </row>
    <row r="21" spans="2:13" ht="14.4">
      <c r="B21" s="382"/>
      <c r="C21" s="129"/>
      <c r="D21" s="526">
        <v>6</v>
      </c>
      <c r="E21" s="6" t="s">
        <v>535</v>
      </c>
      <c r="F21" s="2"/>
      <c r="G21" s="2"/>
      <c r="H21" s="2"/>
      <c r="I21" s="2"/>
      <c r="J21" s="2"/>
      <c r="K21" s="2"/>
      <c r="L21" s="384"/>
      <c r="M21" s="129"/>
    </row>
    <row r="22" spans="2:13" ht="14.4">
      <c r="B22" s="382"/>
      <c r="C22" s="129"/>
      <c r="D22" s="527"/>
      <c r="E22" s="2"/>
      <c r="F22" s="2"/>
      <c r="G22" s="2"/>
      <c r="H22" s="2"/>
      <c r="I22" s="2"/>
      <c r="J22" s="2"/>
      <c r="K22" s="2"/>
      <c r="L22" s="384"/>
      <c r="M22" s="129"/>
    </row>
    <row r="23" spans="2:13" ht="14.4">
      <c r="B23" s="382"/>
      <c r="C23" s="129"/>
      <c r="D23" s="526">
        <v>7</v>
      </c>
      <c r="E23" s="6" t="s">
        <v>536</v>
      </c>
      <c r="F23" s="2"/>
      <c r="G23" s="2"/>
      <c r="H23" s="2"/>
      <c r="I23" s="2"/>
      <c r="J23" s="2"/>
      <c r="K23" s="2"/>
      <c r="L23" s="384"/>
      <c r="M23" s="129"/>
    </row>
    <row r="24" spans="2:13" ht="14.4">
      <c r="B24" s="382"/>
      <c r="C24" s="129"/>
      <c r="D24" s="527"/>
      <c r="E24" s="2"/>
      <c r="F24" s="2"/>
      <c r="G24" s="2"/>
      <c r="H24" s="2"/>
      <c r="I24" s="6"/>
      <c r="J24" s="6"/>
      <c r="K24" s="6"/>
      <c r="L24" s="384"/>
      <c r="M24" s="129"/>
    </row>
    <row r="25" spans="2:13" ht="18" customHeight="1">
      <c r="B25" s="382"/>
      <c r="C25" s="390"/>
      <c r="D25" s="529">
        <v>8</v>
      </c>
      <c r="E25" s="2" t="s">
        <v>541</v>
      </c>
      <c r="F25" s="2"/>
      <c r="G25" s="2"/>
      <c r="H25" s="2"/>
      <c r="I25" s="6"/>
      <c r="J25" s="6"/>
      <c r="K25" s="6"/>
      <c r="L25" s="391"/>
      <c r="M25" s="129"/>
    </row>
    <row r="26" spans="2:13" ht="15.75" customHeight="1">
      <c r="B26" s="382"/>
      <c r="C26" s="390"/>
      <c r="D26" s="506"/>
      <c r="E26" s="2"/>
      <c r="F26" s="2" t="s">
        <v>542</v>
      </c>
      <c r="G26" s="2"/>
      <c r="H26" s="6"/>
      <c r="I26" s="6"/>
      <c r="J26" s="6"/>
      <c r="K26" s="6"/>
      <c r="L26" s="391"/>
      <c r="M26" s="129"/>
    </row>
    <row r="27" spans="2:13" ht="18" customHeight="1">
      <c r="B27" s="382"/>
      <c r="C27" s="390"/>
      <c r="D27" s="506"/>
      <c r="E27" s="2"/>
      <c r="F27" s="2" t="s">
        <v>543</v>
      </c>
      <c r="G27" s="2"/>
      <c r="H27" s="6"/>
      <c r="I27" s="2"/>
      <c r="J27" s="2"/>
      <c r="K27" s="2"/>
      <c r="L27" s="391"/>
      <c r="M27" s="129"/>
    </row>
    <row r="28" spans="2:13" ht="15" customHeight="1">
      <c r="B28" s="382"/>
      <c r="C28" s="129"/>
      <c r="D28" s="506"/>
      <c r="E28" s="2"/>
      <c r="F28" s="2" t="s">
        <v>614</v>
      </c>
      <c r="G28" s="2"/>
      <c r="H28" s="6"/>
      <c r="I28" s="2"/>
      <c r="J28" s="2"/>
      <c r="K28" s="2"/>
      <c r="L28" s="384"/>
      <c r="M28" s="129"/>
    </row>
    <row r="29" spans="2:13" ht="15" customHeight="1">
      <c r="B29" s="382"/>
      <c r="C29" s="129"/>
      <c r="D29" s="506"/>
      <c r="E29" s="2"/>
      <c r="F29" s="2"/>
      <c r="G29" s="6"/>
      <c r="H29" s="2"/>
      <c r="I29" s="202"/>
      <c r="J29" s="202"/>
      <c r="K29" s="202"/>
      <c r="L29" s="384"/>
      <c r="M29" s="129"/>
    </row>
    <row r="30" spans="2:13" ht="15" customHeight="1">
      <c r="B30" s="382"/>
      <c r="C30" s="129"/>
      <c r="D30" s="526">
        <v>9</v>
      </c>
      <c r="E30" s="62" t="s">
        <v>674</v>
      </c>
      <c r="F30" s="2"/>
      <c r="G30" s="6"/>
      <c r="H30" s="2"/>
      <c r="I30" s="6"/>
      <c r="J30" s="6"/>
      <c r="K30" s="6"/>
      <c r="L30" s="384"/>
      <c r="M30" s="129"/>
    </row>
    <row r="31" spans="2:13" ht="15" customHeight="1">
      <c r="B31" s="382"/>
      <c r="C31" s="129"/>
      <c r="D31" s="527"/>
      <c r="E31" s="2"/>
      <c r="F31" s="2"/>
      <c r="G31" s="6"/>
      <c r="H31" s="202"/>
      <c r="I31" s="454"/>
      <c r="J31" s="454"/>
      <c r="K31" s="454"/>
      <c r="L31" s="384"/>
      <c r="M31" s="129"/>
    </row>
    <row r="32" spans="2:13" ht="14.4">
      <c r="B32" s="382"/>
      <c r="C32" s="129"/>
      <c r="D32" s="528">
        <v>10</v>
      </c>
      <c r="E32" s="62" t="s">
        <v>537</v>
      </c>
      <c r="F32" s="2"/>
      <c r="G32" s="2"/>
      <c r="H32" s="6"/>
      <c r="I32" s="209"/>
      <c r="J32" s="209"/>
      <c r="K32" s="209"/>
      <c r="L32" s="384"/>
      <c r="M32" s="129"/>
    </row>
    <row r="33" spans="2:13" ht="14.4">
      <c r="B33" s="382"/>
      <c r="C33" s="129"/>
      <c r="D33" s="527"/>
      <c r="E33" s="2"/>
      <c r="F33" s="2"/>
      <c r="G33" s="454"/>
      <c r="H33" s="454"/>
      <c r="I33" s="209"/>
      <c r="J33" s="209"/>
      <c r="K33" s="209"/>
      <c r="L33" s="384"/>
      <c r="M33" s="129"/>
    </row>
    <row r="34" spans="2:13" ht="14.4">
      <c r="B34" s="382"/>
      <c r="C34" s="129"/>
      <c r="D34" s="528">
        <v>11</v>
      </c>
      <c r="E34" s="6" t="s">
        <v>508</v>
      </c>
      <c r="F34" s="2"/>
      <c r="G34" s="209"/>
      <c r="H34" s="209"/>
      <c r="I34" s="209"/>
      <c r="J34" s="209"/>
      <c r="K34" s="209"/>
      <c r="L34" s="384"/>
      <c r="M34" s="129"/>
    </row>
    <row r="35" spans="2:13" ht="14.4">
      <c r="B35" s="382"/>
      <c r="C35" s="129"/>
      <c r="D35" s="527"/>
      <c r="E35" s="2"/>
      <c r="F35" s="2"/>
      <c r="G35" s="209"/>
      <c r="H35" s="209"/>
      <c r="I35" s="454"/>
      <c r="J35" s="454"/>
      <c r="K35" s="454"/>
      <c r="L35" s="384"/>
      <c r="M35" s="129"/>
    </row>
    <row r="36" spans="2:13" ht="14.4">
      <c r="B36" s="382"/>
      <c r="C36" s="129"/>
      <c r="D36" s="526">
        <v>12</v>
      </c>
      <c r="E36" s="6" t="s">
        <v>506</v>
      </c>
      <c r="F36" s="2"/>
      <c r="G36" s="209"/>
      <c r="H36" s="209"/>
      <c r="I36" s="2"/>
      <c r="J36" s="2"/>
      <c r="K36" s="2"/>
      <c r="L36" s="384"/>
      <c r="M36" s="129"/>
    </row>
    <row r="37" spans="2:13" ht="14.4">
      <c r="B37" s="382"/>
      <c r="C37" s="129"/>
      <c r="D37" s="527"/>
      <c r="E37" s="2"/>
      <c r="F37" s="2"/>
      <c r="G37" s="454"/>
      <c r="H37" s="454"/>
      <c r="I37" s="2"/>
      <c r="J37" s="2"/>
      <c r="K37" s="2"/>
      <c r="L37" s="384"/>
      <c r="M37" s="129"/>
    </row>
    <row r="38" spans="2:13" ht="14.4">
      <c r="B38" s="382"/>
      <c r="C38" s="129"/>
      <c r="D38" s="528">
        <v>13</v>
      </c>
      <c r="E38" s="62" t="s">
        <v>507</v>
      </c>
      <c r="F38" s="2"/>
      <c r="G38" s="2"/>
      <c r="H38" s="2"/>
      <c r="I38" s="2"/>
      <c r="J38" s="2"/>
      <c r="K38" s="2"/>
      <c r="L38" s="384"/>
      <c r="M38" s="129"/>
    </row>
    <row r="39" spans="2:13" ht="14.4">
      <c r="B39" s="382"/>
      <c r="C39" s="129"/>
      <c r="D39" s="528"/>
      <c r="E39" s="62"/>
      <c r="F39" s="2"/>
      <c r="G39" s="2"/>
      <c r="H39" s="2"/>
      <c r="I39" s="2"/>
      <c r="J39" s="2"/>
      <c r="K39" s="2"/>
      <c r="L39" s="384"/>
      <c r="M39" s="129"/>
    </row>
    <row r="40" spans="2:13" ht="14.4">
      <c r="B40" s="382"/>
      <c r="C40" s="129"/>
      <c r="D40" s="528">
        <v>14</v>
      </c>
      <c r="E40" s="62" t="s">
        <v>615</v>
      </c>
      <c r="F40" s="2"/>
      <c r="G40" s="2"/>
      <c r="H40" s="2"/>
      <c r="I40" s="2"/>
      <c r="J40" s="2"/>
      <c r="K40" s="2"/>
      <c r="L40" s="384"/>
      <c r="M40" s="129"/>
    </row>
    <row r="41" spans="2:13" ht="14.4">
      <c r="B41" s="382"/>
      <c r="C41" s="129"/>
      <c r="D41" s="527"/>
      <c r="E41" s="2"/>
      <c r="F41" s="2"/>
      <c r="G41" s="2"/>
      <c r="H41" s="2"/>
      <c r="I41" s="2"/>
      <c r="J41" s="2"/>
      <c r="K41" s="2"/>
      <c r="L41" s="384"/>
      <c r="M41" s="129"/>
    </row>
    <row r="42" spans="2:13" ht="14.4">
      <c r="B42" s="382"/>
      <c r="C42" s="129"/>
      <c r="D42" s="525">
        <v>14</v>
      </c>
      <c r="E42" s="6" t="s">
        <v>538</v>
      </c>
      <c r="F42" s="6"/>
      <c r="G42" s="2"/>
      <c r="H42" s="2"/>
      <c r="I42" s="2"/>
      <c r="J42" s="2"/>
      <c r="K42" s="2"/>
      <c r="L42" s="384"/>
      <c r="M42" s="129"/>
    </row>
    <row r="43" spans="2:13" ht="14.4">
      <c r="B43" s="382"/>
      <c r="C43" s="129"/>
      <c r="D43" s="527"/>
      <c r="E43" s="2"/>
      <c r="F43" s="2"/>
      <c r="G43" s="2"/>
      <c r="H43" s="2"/>
      <c r="I43" s="2"/>
      <c r="J43" s="2"/>
      <c r="K43" s="2"/>
      <c r="L43" s="384"/>
      <c r="M43" s="129"/>
    </row>
    <row r="44" spans="2:13" ht="14.4">
      <c r="B44" s="382"/>
      <c r="C44" s="129"/>
      <c r="D44" s="525">
        <v>15</v>
      </c>
      <c r="E44" s="62" t="s">
        <v>539</v>
      </c>
      <c r="F44" s="6"/>
      <c r="G44" s="2"/>
      <c r="H44" s="2"/>
      <c r="I44" s="2"/>
      <c r="J44" s="2"/>
      <c r="K44" s="2"/>
      <c r="L44" s="384"/>
      <c r="M44" s="129"/>
    </row>
    <row r="45" spans="2:13" ht="14.4">
      <c r="B45" s="382"/>
      <c r="C45" s="129"/>
      <c r="D45" s="527"/>
      <c r="E45" s="2"/>
      <c r="F45" s="2"/>
      <c r="G45" s="2"/>
      <c r="H45" s="2"/>
      <c r="I45" s="2"/>
      <c r="J45" s="2"/>
      <c r="K45" s="2"/>
      <c r="L45" s="384"/>
      <c r="M45" s="129"/>
    </row>
    <row r="46" spans="2:13" ht="14.4">
      <c r="B46" s="382"/>
      <c r="C46" s="129"/>
      <c r="D46" s="525">
        <v>16</v>
      </c>
      <c r="E46" s="62" t="s">
        <v>669</v>
      </c>
      <c r="F46" s="6"/>
      <c r="G46" s="2"/>
      <c r="H46" s="2"/>
      <c r="I46" s="2"/>
      <c r="J46" s="2"/>
      <c r="K46" s="2"/>
      <c r="L46" s="384"/>
      <c r="M46" s="129"/>
    </row>
    <row r="47" spans="2:13" ht="14.4">
      <c r="B47" s="382"/>
      <c r="C47" s="129"/>
      <c r="D47" s="527"/>
      <c r="E47" s="2"/>
      <c r="F47" s="2"/>
      <c r="G47" s="2"/>
      <c r="H47" s="2"/>
      <c r="I47" s="2"/>
      <c r="J47" s="2"/>
      <c r="K47" s="2"/>
      <c r="L47" s="384"/>
      <c r="M47" s="129"/>
    </row>
    <row r="48" spans="2:13" ht="14.4">
      <c r="B48" s="382"/>
      <c r="C48" s="129"/>
      <c r="D48" s="525">
        <v>17</v>
      </c>
      <c r="E48" s="62" t="s">
        <v>540</v>
      </c>
      <c r="F48" s="2"/>
      <c r="G48" s="2"/>
      <c r="H48" s="2"/>
      <c r="I48" s="2"/>
      <c r="J48" s="2"/>
      <c r="K48" s="2"/>
      <c r="L48" s="384"/>
      <c r="M48" s="129"/>
    </row>
    <row r="49" spans="2:13" ht="14.4">
      <c r="B49" s="382"/>
      <c r="C49" s="129"/>
      <c r="D49" s="525"/>
      <c r="E49" s="62"/>
      <c r="F49" s="2"/>
      <c r="G49" s="2"/>
      <c r="H49" s="2"/>
      <c r="I49" s="2"/>
      <c r="J49" s="2"/>
      <c r="K49" s="2"/>
      <c r="L49" s="384"/>
      <c r="M49" s="129"/>
    </row>
    <row r="50" spans="2:13" ht="14.4">
      <c r="B50" s="382"/>
      <c r="C50" s="129"/>
      <c r="D50" s="525">
        <v>18</v>
      </c>
      <c r="E50" s="62" t="s">
        <v>670</v>
      </c>
      <c r="F50" s="2"/>
      <c r="G50" s="2"/>
      <c r="H50" s="2"/>
      <c r="I50" s="2"/>
      <c r="J50" s="2"/>
      <c r="K50" s="2"/>
      <c r="L50" s="384"/>
      <c r="M50" s="129"/>
    </row>
    <row r="51" spans="2:13" ht="14.4">
      <c r="B51" s="382"/>
      <c r="C51" s="129"/>
      <c r="D51" s="525"/>
      <c r="E51" s="62"/>
      <c r="F51" s="2"/>
      <c r="G51" s="2"/>
      <c r="H51" s="2"/>
      <c r="I51" s="2"/>
      <c r="J51" s="2"/>
      <c r="K51" s="2"/>
      <c r="L51" s="384"/>
      <c r="M51" s="129"/>
    </row>
    <row r="52" spans="2:13" ht="14.4">
      <c r="B52" s="382"/>
      <c r="C52" s="129"/>
      <c r="D52" s="525">
        <v>19</v>
      </c>
      <c r="E52" s="62" t="s">
        <v>668</v>
      </c>
      <c r="F52" s="2"/>
      <c r="G52" s="2"/>
      <c r="H52" s="2"/>
      <c r="I52" s="2"/>
      <c r="J52" s="2"/>
      <c r="K52" s="2"/>
      <c r="L52" s="384"/>
      <c r="M52" s="129"/>
    </row>
    <row r="53" spans="2:13">
      <c r="B53" s="382"/>
      <c r="C53" s="383"/>
      <c r="D53" s="383"/>
      <c r="E53" s="383"/>
      <c r="F53" s="383"/>
      <c r="G53" s="383"/>
      <c r="H53" s="383"/>
      <c r="I53" s="383"/>
      <c r="J53" s="383"/>
      <c r="K53" s="383"/>
      <c r="L53" s="384"/>
      <c r="M53" s="129"/>
    </row>
    <row r="54" spans="2:13" ht="13.8" thickBot="1">
      <c r="B54" s="392"/>
      <c r="C54" s="393"/>
      <c r="D54" s="393"/>
      <c r="E54" s="393"/>
      <c r="F54" s="393"/>
      <c r="G54" s="393"/>
      <c r="H54" s="393"/>
      <c r="I54" s="393"/>
      <c r="J54" s="393"/>
      <c r="K54" s="393"/>
      <c r="L54" s="394"/>
      <c r="M54" s="129"/>
    </row>
    <row r="55" spans="2:13" ht="9" customHeight="1"/>
  </sheetData>
  <mergeCells count="4">
    <mergeCell ref="C5:I5"/>
    <mergeCell ref="E15:H15"/>
    <mergeCell ref="E9:I9"/>
    <mergeCell ref="E11:I13"/>
  </mergeCells>
  <pageMargins left="0.17" right="0.17" top="0.27559055118110237" bottom="0.23622047244094491" header="0.19685039370078741" footer="0.15748031496062992"/>
  <pageSetup scale="92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13360-1ECB-437A-BE31-3030090D0E46}">
  <sheetPr codeName="Sheet8"/>
  <dimension ref="A2:J86"/>
  <sheetViews>
    <sheetView view="pageBreakPreview" zoomScale="60" zoomScaleNormal="100" workbookViewId="0">
      <selection activeCell="K25" sqref="K25"/>
    </sheetView>
  </sheetViews>
  <sheetFormatPr defaultColWidth="9.21875" defaultRowHeight="14.4"/>
  <cols>
    <col min="1" max="1" width="41.77734375" style="19" customWidth="1"/>
    <col min="2" max="2" width="1.5546875" style="19" bestFit="1" customWidth="1"/>
    <col min="3" max="3" width="12.77734375" style="2" customWidth="1"/>
    <col min="4" max="4" width="9.5546875" style="2" customWidth="1"/>
    <col min="5" max="5" width="10.77734375" style="2" customWidth="1"/>
    <col min="6" max="6" width="4.77734375" style="60" customWidth="1"/>
    <col min="7" max="16384" width="9.21875" style="2"/>
  </cols>
  <sheetData>
    <row r="2" spans="1:7" ht="21" customHeight="1">
      <c r="A2" s="855" t="str">
        <f>Assumptions!I17</f>
        <v>Doe Textiles</v>
      </c>
      <c r="B2" s="855"/>
      <c r="C2" s="855"/>
      <c r="D2" s="855"/>
      <c r="E2" s="855"/>
      <c r="F2" s="199"/>
      <c r="G2" s="200"/>
    </row>
    <row r="3" spans="1:7" ht="22.5" customHeight="1">
      <c r="A3" s="855" t="str">
        <f>Assumptions!I8</f>
        <v>John Doe</v>
      </c>
      <c r="B3" s="855"/>
      <c r="C3" s="855"/>
      <c r="D3" s="855"/>
      <c r="E3" s="855"/>
      <c r="F3" s="199"/>
      <c r="G3" s="200"/>
    </row>
    <row r="4" spans="1:7" ht="44.25" customHeight="1">
      <c r="A4" s="856" t="str">
        <f>Assumptions!I16</f>
        <v>123 Industrial Area, City</v>
      </c>
      <c r="B4" s="856"/>
      <c r="C4" s="856"/>
      <c r="D4" s="856"/>
      <c r="E4" s="856"/>
      <c r="F4" s="199"/>
      <c r="G4" s="200"/>
    </row>
    <row r="6" spans="1:7" ht="33" customHeight="1">
      <c r="A6" s="857" t="s">
        <v>276</v>
      </c>
      <c r="B6" s="857"/>
      <c r="C6" s="857"/>
      <c r="D6" s="857"/>
      <c r="E6" s="857"/>
      <c r="F6" s="199"/>
      <c r="G6" s="201"/>
    </row>
    <row r="7" spans="1:7">
      <c r="A7" s="19" t="str">
        <f>[1]Coverpage!C9</f>
        <v>Firm Name :</v>
      </c>
      <c r="C7" s="2" t="str">
        <f>A2</f>
        <v>Doe Textiles</v>
      </c>
    </row>
    <row r="9" spans="1:7">
      <c r="A9" s="19" t="s">
        <v>277</v>
      </c>
      <c r="B9" s="19" t="s">
        <v>278</v>
      </c>
      <c r="C9" s="202" t="str">
        <f>A3</f>
        <v>John Doe</v>
      </c>
      <c r="D9" s="73"/>
      <c r="E9" s="73"/>
      <c r="F9" s="73"/>
      <c r="G9" s="73"/>
    </row>
    <row r="11" spans="1:7" ht="15" customHeight="1">
      <c r="A11" s="19" t="s">
        <v>279</v>
      </c>
      <c r="B11" s="19" t="s">
        <v>278</v>
      </c>
      <c r="C11" s="858" t="str">
        <f>A4</f>
        <v>123 Industrial Area, City</v>
      </c>
      <c r="D11" s="858"/>
      <c r="E11" s="858"/>
      <c r="F11" s="204"/>
    </row>
    <row r="12" spans="1:7" ht="15" customHeight="1">
      <c r="C12" s="203"/>
      <c r="D12" s="203"/>
      <c r="E12" s="203"/>
      <c r="F12" s="204"/>
    </row>
    <row r="13" spans="1:7" ht="15" customHeight="1">
      <c r="A13" s="19" t="s">
        <v>280</v>
      </c>
      <c r="C13" s="203" t="str">
        <f>Assumptions!I22</f>
        <v>Urban</v>
      </c>
      <c r="D13" s="203"/>
      <c r="E13" s="203"/>
      <c r="F13" s="204"/>
    </row>
    <row r="14" spans="1:7">
      <c r="C14" s="205"/>
      <c r="D14" s="205"/>
      <c r="E14" s="205"/>
      <c r="F14" s="204"/>
    </row>
    <row r="15" spans="1:7">
      <c r="A15" s="19" t="s">
        <v>281</v>
      </c>
      <c r="B15" s="19" t="s">
        <v>278</v>
      </c>
      <c r="C15" s="2" t="str">
        <f>Assumptions!I14</f>
        <v>Manufacturing sector</v>
      </c>
    </row>
    <row r="17" spans="1:10" ht="12.75" customHeight="1">
      <c r="A17" s="19" t="str">
        <f>[1]Coverpage!C18</f>
        <v>Line of  Activity :</v>
      </c>
      <c r="B17" s="19" t="s">
        <v>278</v>
      </c>
      <c r="C17" s="859" t="str">
        <f>Assumptions!I15</f>
        <v>Textile Manufacturing</v>
      </c>
      <c r="D17" s="859"/>
      <c r="E17" s="859"/>
      <c r="G17" s="206"/>
    </row>
    <row r="19" spans="1:10">
      <c r="A19" s="19" t="s">
        <v>282</v>
      </c>
      <c r="B19" s="19" t="s">
        <v>278</v>
      </c>
      <c r="C19" s="2" t="str">
        <f>Assumptions!I7</f>
        <v>Sole Proprietorship</v>
      </c>
    </row>
    <row r="21" spans="1:10" ht="15" customHeight="1">
      <c r="A21" s="19" t="s">
        <v>126</v>
      </c>
      <c r="B21" s="19" t="s">
        <v>278</v>
      </c>
      <c r="C21" s="207">
        <f>Assumptions!I76</f>
        <v>2.5</v>
      </c>
      <c r="D21" s="208"/>
      <c r="E21" s="208"/>
      <c r="F21" s="209"/>
    </row>
    <row r="22" spans="1:10" ht="15" customHeight="1">
      <c r="C22" s="208"/>
      <c r="D22" s="208"/>
      <c r="E22" s="208"/>
      <c r="F22" s="209"/>
    </row>
    <row r="23" spans="1:10" ht="15" customHeight="1">
      <c r="A23" s="19" t="str">
        <f>Assumptions!B24</f>
        <v>Expected Employment Generation :</v>
      </c>
      <c r="C23" s="208"/>
      <c r="D23" s="208"/>
      <c r="E23" s="208"/>
      <c r="F23" s="209"/>
    </row>
    <row r="24" spans="1:10" ht="15" customHeight="1">
      <c r="A24" s="19" t="str">
        <f>Assumptions!C24</f>
        <v>Skilled employees</v>
      </c>
      <c r="B24" s="19" t="s">
        <v>278</v>
      </c>
      <c r="C24" s="208">
        <f>Assumptions!I24</f>
        <v>5</v>
      </c>
      <c r="D24" s="208"/>
      <c r="E24" s="208"/>
      <c r="F24" s="209"/>
    </row>
    <row r="25" spans="1:10" ht="15" customHeight="1">
      <c r="A25" s="19" t="str">
        <f>Assumptions!C25</f>
        <v>Semi Skilled Employees</v>
      </c>
      <c r="B25" s="19" t="s">
        <v>278</v>
      </c>
      <c r="C25" s="208">
        <f>Assumptions!I25</f>
        <v>3</v>
      </c>
      <c r="D25" s="208"/>
      <c r="E25" s="208"/>
      <c r="F25" s="209"/>
      <c r="J25" s="210"/>
    </row>
    <row r="26" spans="1:10" ht="15" customHeight="1">
      <c r="A26" s="19" t="str">
        <f>Assumptions!C26</f>
        <v>Unskiled Employees</v>
      </c>
      <c r="B26" s="19" t="s">
        <v>278</v>
      </c>
      <c r="C26" s="208">
        <f>Assumptions!I26</f>
        <v>2</v>
      </c>
      <c r="D26" s="208"/>
      <c r="E26" s="208"/>
      <c r="F26" s="209"/>
    </row>
    <row r="27" spans="1:10" ht="15" customHeight="1">
      <c r="C27" s="208"/>
      <c r="D27" s="208"/>
      <c r="E27" s="208"/>
      <c r="F27" s="209"/>
    </row>
    <row r="28" spans="1:10">
      <c r="A28" s="19" t="s">
        <v>80</v>
      </c>
      <c r="B28" s="19" t="s">
        <v>278</v>
      </c>
      <c r="C28" s="2" t="str">
        <f>Assumptions!I13</f>
        <v>Male</v>
      </c>
    </row>
    <row r="30" spans="1:10">
      <c r="A30" s="19" t="s">
        <v>283</v>
      </c>
      <c r="B30" s="19" t="s">
        <v>278</v>
      </c>
      <c r="C30" s="211">
        <f>Assumptions!I12</f>
        <v>35</v>
      </c>
    </row>
    <row r="32" spans="1:10">
      <c r="A32" s="19" t="s">
        <v>284</v>
      </c>
      <c r="B32" s="19" t="s">
        <v>278</v>
      </c>
      <c r="C32" s="2" t="str">
        <f>Assumptions!I21</f>
        <v>OC</v>
      </c>
    </row>
    <row r="34" spans="1:4">
      <c r="A34" s="19" t="s">
        <v>285</v>
      </c>
      <c r="B34" s="19" t="s">
        <v>278</v>
      </c>
      <c r="C34" s="9" t="str">
        <f>Assumptions!I11</f>
        <v>ABCDE1234F</v>
      </c>
      <c r="D34" s="212"/>
    </row>
    <row r="35" spans="1:4">
      <c r="C35" s="211"/>
    </row>
    <row r="36" spans="1:4">
      <c r="A36" s="19" t="s">
        <v>286</v>
      </c>
      <c r="B36" s="19" t="s">
        <v>278</v>
      </c>
      <c r="C36" s="2">
        <f>Assumptions!I10</f>
        <v>123456789012</v>
      </c>
    </row>
    <row r="38" spans="1:4">
      <c r="A38" s="19" t="s">
        <v>287</v>
      </c>
      <c r="B38" s="19" t="s">
        <v>278</v>
      </c>
      <c r="C38" s="854">
        <f>Assumptions!I9</f>
        <v>9876543210</v>
      </c>
      <c r="D38" s="854"/>
    </row>
    <row r="39" spans="1:4">
      <c r="C39" s="213"/>
    </row>
    <row r="40" spans="1:4">
      <c r="A40" s="214" t="s">
        <v>273</v>
      </c>
    </row>
    <row r="42" spans="1:4">
      <c r="A42" s="19" t="s">
        <v>188</v>
      </c>
      <c r="B42" s="19" t="s">
        <v>278</v>
      </c>
      <c r="C42" s="8">
        <f>Assumptions!I43</f>
        <v>63000</v>
      </c>
      <c r="D42" s="8" t="str">
        <f>'[2]cover page'!H30</f>
        <v>Lacs</v>
      </c>
    </row>
    <row r="44" spans="1:4">
      <c r="A44" s="19" t="str">
        <f>[1]Coverpage!C31</f>
        <v>Capital</v>
      </c>
      <c r="B44" s="19" t="s">
        <v>278</v>
      </c>
      <c r="C44" s="8">
        <f>Assumptions!I55</f>
        <v>62000</v>
      </c>
      <c r="D44" s="8" t="str">
        <f>'[2]cover page'!H32</f>
        <v>Lacs</v>
      </c>
    </row>
    <row r="46" spans="1:4">
      <c r="A46" s="19" t="str">
        <f>[1]Coverpage!C32</f>
        <v>Total Project cost</v>
      </c>
      <c r="B46" s="19" t="s">
        <v>278</v>
      </c>
      <c r="C46" s="8">
        <f>Assumptions!I41</f>
        <v>575000</v>
      </c>
      <c r="D46" s="8" t="str">
        <f>'[2]cover page'!H33</f>
        <v>Lacs</v>
      </c>
    </row>
    <row r="48" spans="1:4">
      <c r="D48" s="8"/>
    </row>
    <row r="49" spans="1:6">
      <c r="A49" s="215"/>
    </row>
    <row r="50" spans="1:6" ht="15" customHeight="1">
      <c r="A50" s="214" t="s">
        <v>288</v>
      </c>
    </row>
    <row r="52" spans="1:6" s="9" customFormat="1" ht="15" customHeight="1">
      <c r="A52" s="43" t="s">
        <v>289</v>
      </c>
      <c r="B52" s="43"/>
      <c r="C52" s="43"/>
      <c r="D52" s="43"/>
      <c r="E52" s="43"/>
      <c r="F52" s="216"/>
    </row>
    <row r="53" spans="1:6" ht="15" customHeight="1">
      <c r="A53" s="43" t="s">
        <v>290</v>
      </c>
      <c r="B53" s="43"/>
      <c r="C53" s="43"/>
      <c r="D53" s="43"/>
      <c r="E53" s="43"/>
      <c r="F53" s="216"/>
    </row>
    <row r="54" spans="1:6" ht="15" customHeight="1">
      <c r="A54" s="43" t="s">
        <v>291</v>
      </c>
      <c r="B54" s="43"/>
      <c r="C54" s="43"/>
      <c r="D54" s="43"/>
      <c r="E54" s="43"/>
      <c r="F54" s="216"/>
    </row>
    <row r="55" spans="1:6" ht="15" customHeight="1">
      <c r="A55" s="43" t="s">
        <v>292</v>
      </c>
      <c r="B55" s="43"/>
      <c r="C55" s="43"/>
      <c r="D55" s="43"/>
      <c r="E55" s="43"/>
      <c r="F55" s="216"/>
    </row>
    <row r="56" spans="1:6" ht="15" customHeight="1">
      <c r="A56" s="43" t="s">
        <v>293</v>
      </c>
      <c r="B56" s="43"/>
      <c r="C56" s="43"/>
      <c r="D56" s="43"/>
      <c r="E56" s="43"/>
      <c r="F56" s="216"/>
    </row>
    <row r="57" spans="1:6" ht="15" customHeight="1">
      <c r="A57" s="43" t="s">
        <v>294</v>
      </c>
      <c r="B57" s="43"/>
      <c r="C57" s="43"/>
      <c r="D57" s="43"/>
      <c r="E57" s="43"/>
      <c r="F57" s="216"/>
    </row>
    <row r="58" spans="1:6" ht="15" customHeight="1">
      <c r="A58" s="43" t="s">
        <v>295</v>
      </c>
      <c r="B58" s="43"/>
      <c r="C58" s="43"/>
      <c r="D58" s="43"/>
      <c r="E58" s="43"/>
      <c r="F58" s="216"/>
    </row>
    <row r="59" spans="1:6" ht="15" customHeight="1">
      <c r="A59" s="43" t="s">
        <v>296</v>
      </c>
      <c r="B59" s="43"/>
      <c r="C59" s="43"/>
      <c r="D59" s="43"/>
      <c r="E59" s="43"/>
      <c r="F59" s="216"/>
    </row>
    <row r="60" spans="1:6" ht="15" customHeight="1">
      <c r="A60" s="43" t="s">
        <v>297</v>
      </c>
      <c r="B60" s="43"/>
      <c r="C60" s="43"/>
      <c r="D60" s="43"/>
      <c r="E60" s="43"/>
      <c r="F60" s="216"/>
    </row>
    <row r="61" spans="1:6" ht="15" customHeight="1">
      <c r="A61" s="43" t="s">
        <v>298</v>
      </c>
      <c r="B61" s="43"/>
      <c r="C61" s="43"/>
      <c r="D61" s="43"/>
      <c r="E61" s="43"/>
      <c r="F61" s="216"/>
    </row>
    <row r="62" spans="1:6" ht="15" customHeight="1">
      <c r="A62" s="43" t="s">
        <v>299</v>
      </c>
      <c r="B62" s="43"/>
      <c r="C62" s="43"/>
      <c r="D62" s="43"/>
      <c r="E62" s="43"/>
      <c r="F62" s="216"/>
    </row>
    <row r="63" spans="1:6" ht="15" customHeight="1">
      <c r="A63" s="43" t="s">
        <v>300</v>
      </c>
      <c r="B63" s="43"/>
      <c r="C63" s="43"/>
      <c r="D63" s="43"/>
      <c r="E63" s="43"/>
      <c r="F63" s="216"/>
    </row>
    <row r="64" spans="1:6" ht="15" customHeight="1">
      <c r="A64" s="43" t="s">
        <v>301</v>
      </c>
      <c r="B64" s="43"/>
      <c r="C64" s="43"/>
      <c r="D64" s="43"/>
      <c r="E64" s="43"/>
      <c r="F64" s="216"/>
    </row>
    <row r="65" spans="1:6" ht="14.25" customHeight="1"/>
    <row r="66" spans="1:6">
      <c r="A66" s="200"/>
      <c r="B66" s="200"/>
      <c r="C66" s="200"/>
      <c r="D66" s="200"/>
      <c r="E66" s="200"/>
      <c r="F66" s="199"/>
    </row>
    <row r="67" spans="1:6">
      <c r="A67" s="200"/>
      <c r="B67" s="200"/>
      <c r="C67" s="200"/>
      <c r="D67" s="200"/>
      <c r="E67" s="200"/>
      <c r="F67" s="199"/>
    </row>
    <row r="68" spans="1:6">
      <c r="A68" s="200"/>
      <c r="B68" s="200"/>
      <c r="C68" s="200"/>
      <c r="D68" s="200"/>
      <c r="E68" s="200"/>
      <c r="F68" s="199"/>
    </row>
    <row r="69" spans="1:6">
      <c r="A69" s="200"/>
      <c r="B69" s="200"/>
      <c r="C69" s="200"/>
      <c r="D69" s="200"/>
      <c r="E69" s="200"/>
      <c r="F69" s="199"/>
    </row>
    <row r="70" spans="1:6">
      <c r="A70" s="200"/>
      <c r="B70" s="200"/>
      <c r="C70" s="200"/>
      <c r="D70" s="200"/>
      <c r="E70" s="200"/>
      <c r="F70" s="199"/>
    </row>
    <row r="71" spans="1:6">
      <c r="A71" s="200"/>
      <c r="B71" s="200"/>
      <c r="C71" s="200"/>
      <c r="D71" s="200"/>
      <c r="E71" s="200"/>
      <c r="F71" s="199"/>
    </row>
    <row r="72" spans="1:6">
      <c r="A72" s="200"/>
      <c r="B72" s="200"/>
      <c r="C72" s="200"/>
      <c r="D72" s="200"/>
      <c r="E72" s="200"/>
      <c r="F72" s="199"/>
    </row>
    <row r="73" spans="1:6">
      <c r="A73" s="200"/>
      <c r="B73" s="200"/>
      <c r="C73" s="200"/>
      <c r="D73" s="200"/>
      <c r="E73" s="200"/>
      <c r="F73" s="199"/>
    </row>
    <row r="74" spans="1:6">
      <c r="A74" s="200"/>
      <c r="B74" s="200"/>
      <c r="C74" s="200"/>
      <c r="D74" s="200"/>
      <c r="E74" s="200"/>
      <c r="F74" s="199"/>
    </row>
    <row r="75" spans="1:6">
      <c r="A75" s="200"/>
      <c r="B75" s="200"/>
      <c r="C75" s="200"/>
      <c r="D75" s="200"/>
      <c r="E75" s="200"/>
      <c r="F75" s="199"/>
    </row>
    <row r="76" spans="1:6">
      <c r="A76" s="200"/>
      <c r="B76" s="200"/>
      <c r="C76" s="200"/>
      <c r="D76" s="200"/>
      <c r="E76" s="200"/>
      <c r="F76" s="199"/>
    </row>
    <row r="77" spans="1:6">
      <c r="A77" s="200"/>
      <c r="B77" s="200"/>
      <c r="C77" s="200"/>
      <c r="D77" s="200"/>
      <c r="E77" s="200"/>
      <c r="F77" s="199"/>
    </row>
    <row r="78" spans="1:6">
      <c r="A78" s="200"/>
      <c r="B78" s="200"/>
      <c r="C78" s="200"/>
      <c r="D78" s="200"/>
      <c r="E78" s="200"/>
      <c r="F78" s="199"/>
    </row>
    <row r="79" spans="1:6">
      <c r="A79" s="200"/>
      <c r="B79" s="200"/>
      <c r="C79" s="200"/>
      <c r="D79" s="200"/>
      <c r="E79" s="200"/>
      <c r="F79" s="199"/>
    </row>
    <row r="80" spans="1:6">
      <c r="A80" s="200"/>
      <c r="B80" s="200"/>
      <c r="C80" s="200"/>
      <c r="D80" s="200"/>
      <c r="E80" s="200"/>
      <c r="F80" s="199"/>
    </row>
    <row r="81" spans="1:6" ht="8.25" customHeight="1">
      <c r="A81" s="200"/>
      <c r="B81" s="200"/>
      <c r="C81" s="200"/>
      <c r="D81" s="200"/>
      <c r="E81" s="200"/>
      <c r="F81" s="199"/>
    </row>
    <row r="82" spans="1:6" ht="12.75" hidden="1" customHeight="1">
      <c r="A82" s="200"/>
      <c r="B82" s="200"/>
      <c r="C82" s="200"/>
      <c r="D82" s="200"/>
      <c r="E82" s="200"/>
      <c r="F82" s="199"/>
    </row>
    <row r="83" spans="1:6" ht="12.75" hidden="1" customHeight="1">
      <c r="A83" s="200"/>
      <c r="B83" s="200"/>
      <c r="C83" s="200"/>
      <c r="D83" s="200"/>
      <c r="E83" s="200"/>
      <c r="F83" s="199"/>
    </row>
    <row r="84" spans="1:6">
      <c r="A84" s="200"/>
      <c r="B84" s="200"/>
      <c r="C84" s="9"/>
      <c r="D84" s="9"/>
      <c r="E84" s="9"/>
      <c r="F84" s="217"/>
    </row>
    <row r="85" spans="1:6">
      <c r="A85" s="200"/>
      <c r="B85" s="200"/>
      <c r="C85" s="9"/>
      <c r="D85" s="9"/>
      <c r="E85" s="9"/>
      <c r="F85" s="217"/>
    </row>
    <row r="86" spans="1:6">
      <c r="A86" s="200"/>
      <c r="B86" s="200"/>
      <c r="C86" s="9"/>
      <c r="D86" s="9"/>
      <c r="E86" s="9"/>
      <c r="F86" s="217"/>
    </row>
  </sheetData>
  <mergeCells count="7">
    <mergeCell ref="C38:D38"/>
    <mergeCell ref="A2:E2"/>
    <mergeCell ref="A4:E4"/>
    <mergeCell ref="A6:E6"/>
    <mergeCell ref="C11:E11"/>
    <mergeCell ref="C17:E17"/>
    <mergeCell ref="A3:E3"/>
  </mergeCells>
  <pageMargins left="0.43307086614173229" right="0.19685039370078741" top="0.74803149606299213" bottom="0.74803149606299213" header="0.31496062992125984" footer="0.31496062992125984"/>
  <pageSetup scale="124" orientation="portrait" r:id="rId1"/>
  <rowBreaks count="1" manualBreakCount="1">
    <brk id="34" max="5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4D0F8-9F17-4F0B-A0D5-E364AF844324}">
  <sheetPr codeName="Sheet9"/>
  <dimension ref="B2:N117"/>
  <sheetViews>
    <sheetView workbookViewId="0">
      <selection activeCell="K15" sqref="K15"/>
    </sheetView>
  </sheetViews>
  <sheetFormatPr defaultRowHeight="13.2"/>
  <cols>
    <col min="2" max="2" width="5.21875" customWidth="1"/>
    <col min="3" max="3" width="12" customWidth="1"/>
    <col min="4" max="4" width="3.44140625" customWidth="1"/>
    <col min="5" max="5" width="31.77734375" customWidth="1"/>
    <col min="6" max="6" width="30.5546875" customWidth="1"/>
    <col min="7" max="7" width="24.77734375" customWidth="1"/>
    <col min="8" max="8" width="19.44140625" customWidth="1"/>
    <col min="9" max="9" width="18.21875" customWidth="1"/>
    <col min="10" max="10" width="14.21875" customWidth="1"/>
  </cols>
  <sheetData>
    <row r="2" spans="2:9" ht="17.399999999999999">
      <c r="B2" s="561" t="s">
        <v>677</v>
      </c>
    </row>
    <row r="3" spans="2:9" ht="18" thickBot="1">
      <c r="B3" s="561"/>
      <c r="I3" s="129"/>
    </row>
    <row r="4" spans="2:9" ht="13.8" thickBot="1">
      <c r="B4" s="562" t="s">
        <v>678</v>
      </c>
      <c r="C4" t="s">
        <v>679</v>
      </c>
      <c r="F4" s="567" t="s">
        <v>884</v>
      </c>
      <c r="I4" s="129"/>
    </row>
    <row r="5" spans="2:9" ht="13.8" thickBot="1">
      <c r="B5" s="562" t="s">
        <v>678</v>
      </c>
      <c r="C5" s="168" t="s">
        <v>680</v>
      </c>
      <c r="F5" s="567" t="s">
        <v>681</v>
      </c>
      <c r="G5" s="168" t="s">
        <v>802</v>
      </c>
    </row>
    <row r="6" spans="2:9" ht="13.8" thickBot="1">
      <c r="B6" s="562" t="s">
        <v>678</v>
      </c>
      <c r="C6" t="s">
        <v>682</v>
      </c>
      <c r="I6" s="129"/>
    </row>
    <row r="7" spans="2:9">
      <c r="B7" s="564"/>
      <c r="I7" s="129"/>
    </row>
    <row r="8" spans="2:9" ht="14.4" thickBot="1">
      <c r="C8" s="565" t="s">
        <v>683</v>
      </c>
      <c r="G8" s="129"/>
    </row>
    <row r="9" spans="2:9" ht="13.8" thickBot="1">
      <c r="B9" s="562" t="s">
        <v>678</v>
      </c>
      <c r="C9" s="168" t="s">
        <v>684</v>
      </c>
      <c r="F9" s="567" t="s">
        <v>681</v>
      </c>
      <c r="G9" s="168" t="s">
        <v>887</v>
      </c>
    </row>
    <row r="10" spans="2:9" ht="13.8" thickBot="1">
      <c r="B10" s="564"/>
      <c r="C10" s="129"/>
      <c r="F10" s="567" t="s">
        <v>681</v>
      </c>
      <c r="G10" s="168" t="s">
        <v>685</v>
      </c>
    </row>
    <row r="11" spans="2:9" ht="13.8" thickBot="1">
      <c r="B11" s="562" t="s">
        <v>678</v>
      </c>
      <c r="C11" s="168" t="s">
        <v>686</v>
      </c>
    </row>
    <row r="12" spans="2:9" ht="13.8" thickBot="1">
      <c r="B12" s="562" t="s">
        <v>678</v>
      </c>
      <c r="C12" s="168" t="s">
        <v>687</v>
      </c>
      <c r="F12" s="567" t="s">
        <v>681</v>
      </c>
      <c r="G12" s="148" t="s">
        <v>688</v>
      </c>
    </row>
    <row r="13" spans="2:9" ht="13.8" thickBot="1">
      <c r="B13" s="562" t="s">
        <v>678</v>
      </c>
      <c r="C13" t="s">
        <v>689</v>
      </c>
      <c r="G13" s="129"/>
      <c r="I13" s="129"/>
    </row>
    <row r="14" spans="2:9" ht="13.8" thickBot="1">
      <c r="B14" s="562" t="s">
        <v>678</v>
      </c>
      <c r="C14" s="168" t="s">
        <v>690</v>
      </c>
    </row>
    <row r="15" spans="2:9" ht="13.8" thickBot="1">
      <c r="B15" s="562" t="s">
        <v>678</v>
      </c>
      <c r="C15" t="s">
        <v>691</v>
      </c>
    </row>
    <row r="16" spans="2:9" ht="13.8" thickBot="1">
      <c r="B16" s="562" t="s">
        <v>678</v>
      </c>
      <c r="C16" t="s">
        <v>692</v>
      </c>
    </row>
    <row r="17" spans="2:10" ht="13.8" thickBot="1">
      <c r="B17" s="562" t="s">
        <v>678</v>
      </c>
      <c r="C17" t="s">
        <v>693</v>
      </c>
    </row>
    <row r="18" spans="2:10" ht="13.8" thickBot="1">
      <c r="B18" s="562" t="s">
        <v>678</v>
      </c>
      <c r="C18" t="s">
        <v>694</v>
      </c>
    </row>
    <row r="19" spans="2:10" ht="13.8" thickBot="1">
      <c r="D19" s="562" t="s">
        <v>678</v>
      </c>
      <c r="E19" t="s">
        <v>695</v>
      </c>
    </row>
    <row r="20" spans="2:10" ht="13.8" thickBot="1">
      <c r="F20" s="567" t="s">
        <v>696</v>
      </c>
      <c r="G20" t="s">
        <v>892</v>
      </c>
    </row>
    <row r="21" spans="2:10" ht="13.8" thickBot="1">
      <c r="D21" s="562" t="s">
        <v>678</v>
      </c>
      <c r="E21" t="s">
        <v>697</v>
      </c>
    </row>
    <row r="22" spans="2:10" ht="13.8" thickBot="1">
      <c r="F22" s="567" t="s">
        <v>696</v>
      </c>
      <c r="G22" t="s">
        <v>891</v>
      </c>
    </row>
    <row r="23" spans="2:10" ht="13.8" thickBot="1">
      <c r="D23" s="562" t="s">
        <v>678</v>
      </c>
      <c r="E23" t="s">
        <v>698</v>
      </c>
    </row>
    <row r="24" spans="2:10" ht="13.8" thickBot="1">
      <c r="D24" s="562" t="s">
        <v>678</v>
      </c>
      <c r="E24" s="168" t="s">
        <v>699</v>
      </c>
    </row>
    <row r="25" spans="2:10" ht="13.8" thickBot="1">
      <c r="D25" s="568"/>
      <c r="E25" s="168"/>
      <c r="F25" s="567" t="s">
        <v>696</v>
      </c>
      <c r="G25" s="129" t="s">
        <v>889</v>
      </c>
      <c r="H25" s="129"/>
      <c r="I25" s="129"/>
    </row>
    <row r="26" spans="2:10" ht="13.8" thickBot="1">
      <c r="B26" s="562" t="s">
        <v>678</v>
      </c>
      <c r="C26" s="168" t="s">
        <v>700</v>
      </c>
      <c r="G26" s="129"/>
      <c r="H26" s="129"/>
      <c r="I26" s="129"/>
    </row>
    <row r="27" spans="2:10" ht="13.8" thickBot="1">
      <c r="B27" s="564"/>
      <c r="C27" s="168"/>
      <c r="D27" s="567" t="s">
        <v>696</v>
      </c>
      <c r="E27" s="569"/>
      <c r="F27" s="129" t="s">
        <v>890</v>
      </c>
      <c r="G27" s="129"/>
      <c r="H27" s="129"/>
      <c r="I27" s="129"/>
    </row>
    <row r="28" spans="2:10">
      <c r="D28" s="564"/>
      <c r="E28" s="168"/>
      <c r="F28" s="570"/>
      <c r="G28" s="129"/>
      <c r="H28" s="129"/>
      <c r="I28" s="129"/>
    </row>
    <row r="29" spans="2:10">
      <c r="D29" s="564"/>
      <c r="E29" s="168"/>
      <c r="F29" s="570"/>
      <c r="G29" s="129"/>
      <c r="H29" s="129"/>
      <c r="I29" s="129"/>
    </row>
    <row r="30" spans="2:10">
      <c r="I30" s="129"/>
    </row>
    <row r="31" spans="2:10" ht="14.4" thickBot="1">
      <c r="C31" s="565" t="s">
        <v>701</v>
      </c>
      <c r="I31" s="129"/>
    </row>
    <row r="32" spans="2:10" ht="13.8" thickBot="1">
      <c r="B32" s="562" t="s">
        <v>678</v>
      </c>
      <c r="C32" s="168" t="s">
        <v>702</v>
      </c>
      <c r="G32" s="563" t="s">
        <v>681</v>
      </c>
      <c r="H32" s="173"/>
      <c r="I32" s="129" t="s">
        <v>888</v>
      </c>
      <c r="J32" s="129"/>
    </row>
    <row r="33" spans="2:9" ht="13.8" thickBot="1">
      <c r="B33" s="562" t="s">
        <v>678</v>
      </c>
      <c r="C33" s="168" t="s">
        <v>703</v>
      </c>
      <c r="G33" s="566" t="s">
        <v>681</v>
      </c>
      <c r="H33" s="173"/>
      <c r="I33" s="148" t="s">
        <v>704</v>
      </c>
    </row>
    <row r="34" spans="2:9" ht="13.8" thickBot="1">
      <c r="B34" s="562" t="s">
        <v>678</v>
      </c>
      <c r="C34" t="s">
        <v>705</v>
      </c>
    </row>
    <row r="35" spans="2:9" ht="13.8" thickBot="1">
      <c r="B35" s="562" t="s">
        <v>678</v>
      </c>
      <c r="C35" t="s">
        <v>706</v>
      </c>
      <c r="G35" s="566" t="s">
        <v>681</v>
      </c>
      <c r="H35" s="173"/>
      <c r="I35" s="168" t="s">
        <v>707</v>
      </c>
    </row>
    <row r="36" spans="2:9">
      <c r="I36" s="129"/>
    </row>
    <row r="37" spans="2:9" ht="13.8" thickBot="1">
      <c r="I37" s="129"/>
    </row>
    <row r="38" spans="2:9" ht="14.4" thickBot="1">
      <c r="B38" s="562" t="s">
        <v>678</v>
      </c>
      <c r="C38" s="565" t="s">
        <v>708</v>
      </c>
      <c r="I38" s="129"/>
    </row>
    <row r="39" spans="2:9" ht="39.6">
      <c r="C39" s="868" t="s">
        <v>709</v>
      </c>
      <c r="D39" s="868"/>
      <c r="E39" s="576" t="s">
        <v>710</v>
      </c>
      <c r="F39" s="588" t="s">
        <v>711</v>
      </c>
      <c r="I39" s="129"/>
    </row>
    <row r="40" spans="2:9">
      <c r="C40" s="867">
        <v>1</v>
      </c>
      <c r="D40" s="867"/>
      <c r="E40" s="572" t="s">
        <v>712</v>
      </c>
      <c r="F40" s="572" t="s">
        <v>713</v>
      </c>
      <c r="I40" s="129"/>
    </row>
    <row r="41" spans="2:9">
      <c r="C41" s="867">
        <v>2</v>
      </c>
      <c r="D41" s="867"/>
      <c r="E41" s="572" t="s">
        <v>714</v>
      </c>
      <c r="F41" s="572" t="s">
        <v>715</v>
      </c>
      <c r="I41" s="129"/>
    </row>
    <row r="42" spans="2:9">
      <c r="C42" s="867">
        <v>3</v>
      </c>
      <c r="D42" s="867"/>
      <c r="E42" s="572" t="s">
        <v>716</v>
      </c>
      <c r="F42" s="173"/>
      <c r="I42" s="129"/>
    </row>
    <row r="43" spans="2:9" ht="13.8" thickBot="1">
      <c r="I43" s="129"/>
    </row>
    <row r="44" spans="2:9" ht="14.4" thickBot="1">
      <c r="B44" s="562" t="s">
        <v>678</v>
      </c>
      <c r="C44" s="565" t="s">
        <v>717</v>
      </c>
      <c r="I44" s="129"/>
    </row>
    <row r="45" spans="2:9" ht="26.4">
      <c r="C45" s="868" t="s">
        <v>709</v>
      </c>
      <c r="D45" s="868"/>
      <c r="E45" s="576" t="s">
        <v>718</v>
      </c>
      <c r="F45" s="588" t="s">
        <v>719</v>
      </c>
      <c r="G45" s="588" t="s">
        <v>720</v>
      </c>
      <c r="H45" s="576" t="s">
        <v>721</v>
      </c>
      <c r="I45" s="576" t="s">
        <v>722</v>
      </c>
    </row>
    <row r="46" spans="2:9">
      <c r="C46" s="867">
        <v>1</v>
      </c>
      <c r="D46" s="867"/>
      <c r="E46" s="572" t="s">
        <v>723</v>
      </c>
      <c r="F46" s="572" t="s">
        <v>713</v>
      </c>
      <c r="G46" s="173"/>
      <c r="H46" s="173"/>
      <c r="I46" s="173"/>
    </row>
    <row r="47" spans="2:9">
      <c r="C47" s="867">
        <v>2</v>
      </c>
      <c r="D47" s="867"/>
      <c r="E47" s="572" t="s">
        <v>724</v>
      </c>
      <c r="F47" s="572" t="s">
        <v>715</v>
      </c>
      <c r="G47" s="173"/>
      <c r="H47" s="173"/>
      <c r="I47" s="173"/>
    </row>
    <row r="48" spans="2:9">
      <c r="C48" s="867">
        <v>3</v>
      </c>
      <c r="D48" s="867"/>
      <c r="E48" s="572" t="s">
        <v>716</v>
      </c>
      <c r="F48" s="173"/>
      <c r="G48" s="173"/>
      <c r="H48" s="173"/>
      <c r="I48" s="173"/>
    </row>
    <row r="49" spans="2:14">
      <c r="I49" s="129"/>
    </row>
    <row r="50" spans="2:14" ht="13.8" thickBot="1"/>
    <row r="51" spans="2:14" ht="14.4" thickBot="1">
      <c r="B51" s="562" t="s">
        <v>678</v>
      </c>
      <c r="C51" s="565" t="s">
        <v>725</v>
      </c>
    </row>
    <row r="52" spans="2:14">
      <c r="J52" s="168"/>
      <c r="K52" s="168"/>
      <c r="L52" s="168"/>
      <c r="M52" s="168"/>
      <c r="N52" s="168"/>
    </row>
    <row r="53" spans="2:14" ht="26.4">
      <c r="C53" s="168"/>
      <c r="D53" s="168"/>
      <c r="E53" s="573" t="s">
        <v>589</v>
      </c>
      <c r="F53" s="573" t="s">
        <v>726</v>
      </c>
      <c r="G53" s="574" t="s">
        <v>727</v>
      </c>
      <c r="H53" s="573" t="s">
        <v>448</v>
      </c>
      <c r="I53" s="575" t="s">
        <v>728</v>
      </c>
      <c r="J53" s="575" t="s">
        <v>729</v>
      </c>
      <c r="K53" s="168"/>
      <c r="L53" s="168"/>
      <c r="M53" s="168"/>
      <c r="N53" s="168"/>
    </row>
    <row r="54" spans="2:14">
      <c r="C54" s="168"/>
      <c r="D54" s="168"/>
      <c r="E54" s="860">
        <v>1</v>
      </c>
      <c r="F54" s="861" t="s">
        <v>730</v>
      </c>
      <c r="G54" s="572" t="s">
        <v>731</v>
      </c>
      <c r="H54" s="174"/>
      <c r="I54" s="174"/>
      <c r="J54" s="174"/>
      <c r="K54" s="168"/>
      <c r="L54" s="168"/>
      <c r="M54" s="168"/>
      <c r="N54" s="168"/>
    </row>
    <row r="55" spans="2:14">
      <c r="C55" s="168"/>
      <c r="D55" s="168"/>
      <c r="E55" s="860"/>
      <c r="F55" s="861"/>
      <c r="G55" s="572" t="s">
        <v>732</v>
      </c>
      <c r="H55" s="174"/>
      <c r="I55" s="174"/>
      <c r="J55" s="174"/>
      <c r="K55" s="168"/>
      <c r="L55" s="168"/>
      <c r="M55" s="168"/>
      <c r="N55" s="168"/>
    </row>
    <row r="56" spans="2:14">
      <c r="C56" s="168"/>
      <c r="D56" s="168"/>
      <c r="E56" s="860"/>
      <c r="F56" s="861"/>
      <c r="G56" s="572" t="s">
        <v>733</v>
      </c>
      <c r="H56" s="174"/>
      <c r="I56" s="174"/>
      <c r="J56" s="174"/>
      <c r="K56" s="168"/>
      <c r="L56" s="168"/>
      <c r="M56" s="168"/>
      <c r="N56" s="168"/>
    </row>
    <row r="57" spans="2:14">
      <c r="C57" s="168"/>
      <c r="D57" s="168"/>
      <c r="E57" s="860"/>
      <c r="F57" s="861"/>
      <c r="G57" s="572" t="s">
        <v>734</v>
      </c>
      <c r="H57" s="174"/>
      <c r="I57" s="174"/>
      <c r="J57" s="174"/>
      <c r="K57" s="168"/>
      <c r="L57" s="168"/>
      <c r="M57" s="168"/>
      <c r="N57" s="168"/>
    </row>
    <row r="58" spans="2:14">
      <c r="C58" s="168"/>
      <c r="D58" s="168"/>
      <c r="E58" s="860"/>
      <c r="F58" s="861"/>
      <c r="G58" s="572" t="s">
        <v>735</v>
      </c>
      <c r="H58" s="174"/>
      <c r="I58" s="174"/>
      <c r="J58" s="174"/>
      <c r="K58" s="168"/>
      <c r="L58" s="168"/>
      <c r="M58" s="168"/>
      <c r="N58" s="168"/>
    </row>
    <row r="59" spans="2:14">
      <c r="C59" s="168"/>
      <c r="D59" s="168"/>
      <c r="E59" s="860"/>
      <c r="F59" s="861"/>
      <c r="G59" s="576" t="s">
        <v>736</v>
      </c>
      <c r="H59" s="174"/>
      <c r="I59" s="174"/>
      <c r="J59" s="174"/>
      <c r="K59" s="168"/>
      <c r="L59" s="168"/>
      <c r="M59" s="168"/>
      <c r="N59" s="168"/>
    </row>
    <row r="60" spans="2:14">
      <c r="C60" s="168"/>
      <c r="D60" s="168"/>
      <c r="E60" s="860">
        <v>2</v>
      </c>
      <c r="F60" s="861" t="s">
        <v>737</v>
      </c>
      <c r="G60" s="577" t="s">
        <v>738</v>
      </c>
      <c r="H60" s="174"/>
      <c r="I60" s="174"/>
      <c r="J60" s="174"/>
      <c r="K60" s="168"/>
      <c r="L60" s="168"/>
      <c r="M60" s="168"/>
      <c r="N60" s="168"/>
    </row>
    <row r="61" spans="2:14">
      <c r="C61" s="168"/>
      <c r="D61" s="168"/>
      <c r="E61" s="860"/>
      <c r="F61" s="861"/>
      <c r="G61" s="577" t="s">
        <v>739</v>
      </c>
      <c r="H61" s="174"/>
      <c r="I61" s="174"/>
      <c r="J61" s="174"/>
      <c r="K61" s="168"/>
      <c r="L61" s="168"/>
      <c r="M61" s="168"/>
      <c r="N61" s="168"/>
    </row>
    <row r="62" spans="2:14">
      <c r="C62" s="168"/>
      <c r="D62" s="168"/>
      <c r="E62" s="860"/>
      <c r="F62" s="861"/>
      <c r="G62" s="577" t="s">
        <v>740</v>
      </c>
      <c r="H62" s="174"/>
      <c r="I62" s="174"/>
      <c r="J62" s="174"/>
      <c r="K62" s="168"/>
      <c r="L62" s="168"/>
      <c r="M62" s="168"/>
      <c r="N62" s="168"/>
    </row>
    <row r="63" spans="2:14">
      <c r="C63" s="168"/>
      <c r="D63" s="168"/>
      <c r="E63" s="860"/>
      <c r="F63" s="861"/>
      <c r="G63" s="577" t="s">
        <v>741</v>
      </c>
      <c r="H63" s="174"/>
      <c r="I63" s="174"/>
      <c r="J63" s="174"/>
      <c r="K63" s="168"/>
      <c r="L63" s="168"/>
      <c r="M63" s="168"/>
      <c r="N63" s="168"/>
    </row>
    <row r="64" spans="2:14">
      <c r="C64" s="168"/>
      <c r="D64" s="168"/>
      <c r="E64" s="860"/>
      <c r="F64" s="861"/>
      <c r="G64" s="578" t="s">
        <v>39</v>
      </c>
      <c r="H64" s="174"/>
      <c r="I64" s="174"/>
      <c r="J64" s="174"/>
      <c r="K64" s="168"/>
      <c r="L64" s="168"/>
      <c r="M64" s="168"/>
      <c r="N64" s="168"/>
    </row>
    <row r="65" spans="3:14">
      <c r="C65" s="168"/>
      <c r="D65" s="168"/>
      <c r="E65" s="860">
        <v>3</v>
      </c>
      <c r="F65" s="861" t="s">
        <v>742</v>
      </c>
      <c r="G65" s="577" t="s">
        <v>738</v>
      </c>
      <c r="H65" s="174"/>
      <c r="I65" s="174"/>
      <c r="J65" s="174"/>
      <c r="K65" s="168"/>
      <c r="L65" s="168"/>
      <c r="M65" s="168"/>
      <c r="N65" s="168"/>
    </row>
    <row r="66" spans="3:14">
      <c r="C66" s="168"/>
      <c r="D66" s="168"/>
      <c r="E66" s="860"/>
      <c r="F66" s="861"/>
      <c r="G66" s="577" t="s">
        <v>739</v>
      </c>
      <c r="H66" s="174"/>
      <c r="I66" s="174"/>
      <c r="J66" s="174"/>
      <c r="K66" s="168"/>
      <c r="L66" s="168"/>
      <c r="M66" s="168"/>
      <c r="N66" s="168"/>
    </row>
    <row r="67" spans="3:14">
      <c r="C67" s="168"/>
      <c r="D67" s="168"/>
      <c r="E67" s="860"/>
      <c r="F67" s="861"/>
      <c r="G67" s="577" t="s">
        <v>740</v>
      </c>
      <c r="H67" s="174"/>
      <c r="I67" s="174"/>
      <c r="J67" s="174"/>
      <c r="K67" s="168"/>
      <c r="L67" s="168"/>
      <c r="M67" s="168"/>
      <c r="N67" s="168"/>
    </row>
    <row r="68" spans="3:14">
      <c r="C68" s="168"/>
      <c r="D68" s="168"/>
      <c r="E68" s="860"/>
      <c r="F68" s="861"/>
      <c r="G68" s="577" t="s">
        <v>741</v>
      </c>
      <c r="H68" s="174"/>
      <c r="I68" s="174"/>
      <c r="J68" s="174"/>
      <c r="K68" s="168"/>
      <c r="L68" s="168"/>
      <c r="M68" s="168"/>
      <c r="N68" s="168"/>
    </row>
    <row r="69" spans="3:14">
      <c r="C69" s="168"/>
      <c r="D69" s="168"/>
      <c r="E69" s="860"/>
      <c r="F69" s="861"/>
      <c r="G69" s="578" t="s">
        <v>39</v>
      </c>
      <c r="H69" s="174"/>
      <c r="I69" s="174"/>
      <c r="J69" s="174"/>
      <c r="K69" s="168"/>
      <c r="L69" s="168"/>
      <c r="M69" s="168"/>
      <c r="N69" s="168"/>
    </row>
    <row r="70" spans="3:14">
      <c r="C70" s="168"/>
      <c r="D70" s="168"/>
      <c r="E70" s="168"/>
      <c r="F70" s="168"/>
      <c r="G70" s="579"/>
      <c r="H70" s="168"/>
      <c r="I70" s="168"/>
      <c r="J70" s="168"/>
      <c r="K70" s="168"/>
      <c r="L70" s="168"/>
      <c r="M70" s="168"/>
      <c r="N70" s="168"/>
    </row>
    <row r="71" spans="3:14">
      <c r="C71" s="168"/>
      <c r="D71" s="168"/>
      <c r="E71" s="573" t="s">
        <v>589</v>
      </c>
      <c r="F71" s="573" t="s">
        <v>726</v>
      </c>
      <c r="G71" s="573" t="s">
        <v>448</v>
      </c>
      <c r="H71" s="168"/>
      <c r="I71" s="168"/>
      <c r="J71" s="168"/>
      <c r="K71" s="168"/>
      <c r="L71" s="168"/>
      <c r="M71" s="168"/>
      <c r="N71" s="168"/>
    </row>
    <row r="72" spans="3:14">
      <c r="C72" s="168"/>
      <c r="D72" s="168"/>
      <c r="E72" s="571">
        <v>1</v>
      </c>
      <c r="F72" s="244" t="s">
        <v>743</v>
      </c>
      <c r="G72" s="244">
        <f>H69+H64+H59</f>
        <v>0</v>
      </c>
      <c r="H72" s="168"/>
      <c r="I72" s="168"/>
      <c r="J72" s="168"/>
      <c r="K72" s="168"/>
      <c r="L72" s="168"/>
      <c r="M72" s="168"/>
      <c r="N72" s="168"/>
    </row>
    <row r="73" spans="3:14">
      <c r="C73" s="168"/>
      <c r="D73" s="168"/>
      <c r="E73" s="571">
        <v>2</v>
      </c>
      <c r="F73" s="244" t="s">
        <v>744</v>
      </c>
      <c r="G73" s="244"/>
      <c r="H73" s="168"/>
      <c r="I73" s="168"/>
      <c r="J73" s="168"/>
      <c r="K73" s="168"/>
      <c r="L73" s="168"/>
      <c r="M73" s="168"/>
      <c r="N73" s="168"/>
    </row>
    <row r="74" spans="3:14">
      <c r="C74" s="168"/>
      <c r="D74" s="168"/>
      <c r="E74" s="174"/>
      <c r="F74" s="244" t="s">
        <v>39</v>
      </c>
      <c r="G74" s="244">
        <f>SUM(G72:G73)</f>
        <v>0</v>
      </c>
      <c r="H74" s="168"/>
      <c r="I74" s="168"/>
      <c r="J74" s="168"/>
      <c r="K74" s="168"/>
      <c r="L74" s="168"/>
      <c r="M74" s="168"/>
      <c r="N74" s="168"/>
    </row>
    <row r="75" spans="3:14">
      <c r="C75" s="168"/>
      <c r="D75" s="168"/>
      <c r="E75" s="168"/>
      <c r="F75" s="168"/>
      <c r="G75" s="168"/>
      <c r="H75" s="168"/>
      <c r="I75" s="168"/>
      <c r="J75" s="168"/>
      <c r="K75" s="168"/>
      <c r="L75" s="168"/>
      <c r="M75" s="168"/>
      <c r="N75" s="168"/>
    </row>
    <row r="76" spans="3:14">
      <c r="C76" s="168"/>
      <c r="D76" s="168"/>
      <c r="E76" s="168"/>
      <c r="F76" s="168"/>
      <c r="G76" s="168"/>
      <c r="H76" s="168"/>
      <c r="I76" s="168"/>
      <c r="J76" s="168"/>
      <c r="K76" s="168"/>
      <c r="L76" s="168"/>
      <c r="M76" s="168"/>
      <c r="N76" s="168"/>
    </row>
    <row r="77" spans="3:14">
      <c r="C77" s="580" t="s">
        <v>745</v>
      </c>
      <c r="D77" s="168"/>
      <c r="E77" s="168"/>
      <c r="F77" s="168"/>
      <c r="G77" s="168"/>
      <c r="H77" s="168"/>
      <c r="I77" s="168"/>
      <c r="J77" s="168"/>
      <c r="K77" s="168"/>
      <c r="L77" s="168"/>
      <c r="M77" s="168"/>
      <c r="N77" s="168"/>
    </row>
    <row r="78" spans="3:14">
      <c r="C78" s="581" t="s">
        <v>746</v>
      </c>
      <c r="D78" s="168"/>
      <c r="E78" s="168"/>
      <c r="F78" s="168"/>
      <c r="G78" s="168"/>
      <c r="H78" s="168"/>
      <c r="I78" s="168"/>
      <c r="J78" s="168"/>
      <c r="K78" s="168"/>
      <c r="L78" s="168"/>
      <c r="M78" s="168"/>
      <c r="N78" s="168"/>
    </row>
    <row r="79" spans="3:14">
      <c r="C79" s="168" t="s">
        <v>747</v>
      </c>
      <c r="D79" s="168"/>
      <c r="E79" s="168"/>
      <c r="F79" s="168"/>
      <c r="G79" s="168"/>
      <c r="H79" s="168"/>
      <c r="I79" s="168"/>
      <c r="J79" s="168"/>
      <c r="K79" s="168"/>
      <c r="L79" s="168"/>
      <c r="M79" s="168"/>
      <c r="N79" s="168"/>
    </row>
    <row r="80" spans="3:14">
      <c r="C80" s="168"/>
      <c r="D80" s="168"/>
      <c r="E80" s="168"/>
      <c r="F80" s="168"/>
      <c r="G80" s="168"/>
      <c r="H80" s="168"/>
      <c r="I80" s="168"/>
      <c r="J80" s="168"/>
      <c r="K80" s="168"/>
      <c r="L80" s="168"/>
      <c r="M80" s="168"/>
      <c r="N80" s="168"/>
    </row>
    <row r="81" spans="2:8" ht="13.8" thickBot="1"/>
    <row r="82" spans="2:8" ht="15" thickBot="1">
      <c r="B82" s="562" t="s">
        <v>678</v>
      </c>
      <c r="C82" s="582" t="s">
        <v>748</v>
      </c>
    </row>
    <row r="83" spans="2:8">
      <c r="E83" s="583" t="s">
        <v>749</v>
      </c>
      <c r="F83" s="584" t="s">
        <v>750</v>
      </c>
      <c r="G83" s="862" t="s">
        <v>751</v>
      </c>
      <c r="H83" s="863"/>
    </row>
    <row r="84" spans="2:8">
      <c r="E84" s="585"/>
      <c r="F84" s="585"/>
      <c r="G84" s="576" t="s">
        <v>752</v>
      </c>
      <c r="H84" s="576" t="s">
        <v>753</v>
      </c>
    </row>
    <row r="85" spans="2:8">
      <c r="E85" s="573">
        <v>1</v>
      </c>
      <c r="F85" s="576" t="s">
        <v>754</v>
      </c>
      <c r="G85" s="173"/>
      <c r="H85" s="173"/>
    </row>
    <row r="86" spans="2:8">
      <c r="E86" s="573">
        <v>2</v>
      </c>
      <c r="F86" s="576" t="s">
        <v>755</v>
      </c>
      <c r="G86" s="173"/>
      <c r="H86" s="173"/>
    </row>
    <row r="87" spans="2:8">
      <c r="E87" s="573">
        <v>3</v>
      </c>
      <c r="F87" s="576" t="s">
        <v>756</v>
      </c>
      <c r="G87" s="173"/>
      <c r="H87" s="173"/>
    </row>
    <row r="88" spans="2:8">
      <c r="E88" s="573">
        <v>4</v>
      </c>
      <c r="F88" s="576" t="s">
        <v>757</v>
      </c>
      <c r="G88" s="864"/>
      <c r="H88" s="720"/>
    </row>
    <row r="89" spans="2:8" ht="13.8" thickBot="1"/>
    <row r="90" spans="2:8" ht="14.4" thickBot="1">
      <c r="B90" s="562" t="s">
        <v>678</v>
      </c>
      <c r="C90" s="565" t="s">
        <v>758</v>
      </c>
    </row>
    <row r="91" spans="2:8" ht="13.8" thickBot="1">
      <c r="D91" s="562" t="s">
        <v>678</v>
      </c>
      <c r="E91" s="168" t="s">
        <v>759</v>
      </c>
      <c r="G91" s="173"/>
      <c r="H91" s="168" t="s">
        <v>760</v>
      </c>
    </row>
    <row r="92" spans="2:8" ht="13.8" thickBot="1">
      <c r="D92" s="562" t="s">
        <v>678</v>
      </c>
      <c r="E92" s="168" t="s">
        <v>761</v>
      </c>
      <c r="G92" s="173"/>
      <c r="H92" s="168" t="s">
        <v>760</v>
      </c>
    </row>
    <row r="93" spans="2:8" ht="13.8" thickBot="1">
      <c r="D93" s="562" t="s">
        <v>678</v>
      </c>
      <c r="E93" s="168" t="s">
        <v>762</v>
      </c>
      <c r="G93" s="173"/>
      <c r="H93" s="168" t="s">
        <v>760</v>
      </c>
    </row>
    <row r="94" spans="2:8" ht="13.8" thickBot="1">
      <c r="D94" s="562" t="s">
        <v>678</v>
      </c>
      <c r="E94" s="168" t="s">
        <v>763</v>
      </c>
      <c r="G94" s="173"/>
      <c r="H94" s="168" t="s">
        <v>760</v>
      </c>
    </row>
    <row r="95" spans="2:8" ht="13.8" thickBot="1">
      <c r="D95" s="562" t="s">
        <v>678</v>
      </c>
      <c r="E95" s="168" t="s">
        <v>764</v>
      </c>
      <c r="G95" s="173"/>
      <c r="H95" s="168" t="s">
        <v>760</v>
      </c>
    </row>
    <row r="98" spans="2:7" ht="13.8" thickBot="1"/>
    <row r="99" spans="2:7" ht="14.4" thickBot="1">
      <c r="B99" s="562" t="s">
        <v>678</v>
      </c>
      <c r="C99" s="565" t="s">
        <v>765</v>
      </c>
    </row>
    <row r="100" spans="2:7" ht="13.8" thickBot="1">
      <c r="D100" s="562" t="s">
        <v>678</v>
      </c>
      <c r="E100" t="s">
        <v>766</v>
      </c>
    </row>
    <row r="101" spans="2:7" ht="13.8" thickBot="1">
      <c r="F101" s="567" t="s">
        <v>696</v>
      </c>
      <c r="G101" t="s">
        <v>767</v>
      </c>
    </row>
    <row r="102" spans="2:7" ht="13.8" thickBot="1"/>
    <row r="103" spans="2:7" ht="13.8" thickBot="1">
      <c r="D103" s="562" t="s">
        <v>678</v>
      </c>
      <c r="E103" t="s">
        <v>768</v>
      </c>
    </row>
    <row r="104" spans="2:7" ht="13.8" thickBot="1">
      <c r="D104" s="562" t="s">
        <v>678</v>
      </c>
      <c r="E104" t="s">
        <v>769</v>
      </c>
    </row>
    <row r="106" spans="2:7" ht="13.8" thickBot="1"/>
    <row r="107" spans="2:7" ht="13.8" thickBot="1">
      <c r="B107" s="562" t="s">
        <v>678</v>
      </c>
      <c r="C107" s="168" t="s">
        <v>770</v>
      </c>
    </row>
    <row r="108" spans="2:7" ht="13.8" thickBot="1"/>
    <row r="109" spans="2:7" ht="13.8" thickBot="1">
      <c r="E109" s="865" t="s">
        <v>771</v>
      </c>
      <c r="F109" s="866"/>
    </row>
    <row r="110" spans="2:7" ht="13.8" thickBot="1">
      <c r="E110" s="865" t="s">
        <v>772</v>
      </c>
      <c r="F110" s="866"/>
    </row>
    <row r="112" spans="2:7" ht="13.8" thickBot="1"/>
    <row r="113" spans="2:8" ht="16.2" thickBot="1">
      <c r="B113" s="562" t="s">
        <v>678</v>
      </c>
      <c r="C113" s="586" t="s">
        <v>773</v>
      </c>
    </row>
    <row r="114" spans="2:8" ht="13.8" thickBot="1">
      <c r="D114" s="562" t="s">
        <v>678</v>
      </c>
      <c r="E114" s="168" t="s">
        <v>774</v>
      </c>
    </row>
    <row r="115" spans="2:8" ht="13.8" thickBot="1">
      <c r="D115" s="562" t="s">
        <v>678</v>
      </c>
      <c r="E115" s="168" t="s">
        <v>775</v>
      </c>
    </row>
    <row r="116" spans="2:8" ht="13.8" thickBot="1">
      <c r="D116" s="562" t="s">
        <v>678</v>
      </c>
      <c r="E116" s="168" t="s">
        <v>777</v>
      </c>
      <c r="H116" s="168" t="s">
        <v>776</v>
      </c>
    </row>
    <row r="117" spans="2:8" ht="13.8" thickBot="1">
      <c r="D117" s="562" t="s">
        <v>678</v>
      </c>
      <c r="E117" s="587" t="s">
        <v>778</v>
      </c>
    </row>
  </sheetData>
  <mergeCells count="18">
    <mergeCell ref="C39:D39"/>
    <mergeCell ref="C40:D40"/>
    <mergeCell ref="C41:D41"/>
    <mergeCell ref="C42:D42"/>
    <mergeCell ref="C45:D45"/>
    <mergeCell ref="C46:D46"/>
    <mergeCell ref="C47:D47"/>
    <mergeCell ref="C48:D48"/>
    <mergeCell ref="E54:E59"/>
    <mergeCell ref="F54:F59"/>
    <mergeCell ref="E60:E64"/>
    <mergeCell ref="F60:F64"/>
    <mergeCell ref="E65:E69"/>
    <mergeCell ref="F65:F69"/>
    <mergeCell ref="G83:H83"/>
    <mergeCell ref="G88:H88"/>
    <mergeCell ref="E109:F109"/>
    <mergeCell ref="E110:F110"/>
  </mergeCells>
  <pageMargins left="0.7" right="0.7" top="0.75" bottom="0.75" header="0.3" footer="0.3"/>
  <pageSetup orientation="portrait" horizontalDpi="0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34F33-52F7-4925-A1D5-09CF4E294C31}">
  <sheetPr codeName="Sheet10"/>
  <dimension ref="A1:E37"/>
  <sheetViews>
    <sheetView view="pageBreakPreview" zoomScale="60" zoomScaleNormal="100" workbookViewId="0">
      <selection activeCell="J28" sqref="J28"/>
    </sheetView>
  </sheetViews>
  <sheetFormatPr defaultColWidth="9.21875" defaultRowHeight="14.4"/>
  <cols>
    <col min="1" max="1" width="26.77734375" style="2" customWidth="1"/>
    <col min="2" max="2" width="38.77734375" style="2" customWidth="1"/>
    <col min="3" max="3" width="19.44140625" style="2" customWidth="1"/>
    <col min="4" max="4" width="6.77734375" style="2" customWidth="1"/>
    <col min="5" max="5" width="10.21875" style="2" bestFit="1" customWidth="1"/>
    <col min="6" max="16384" width="9.21875" style="2"/>
  </cols>
  <sheetData>
    <row r="1" spans="1:3" ht="16.2">
      <c r="A1" s="869" t="str">
        <f>Assumptions!I17</f>
        <v>Doe Textiles</v>
      </c>
      <c r="B1" s="869"/>
      <c r="C1" s="869"/>
    </row>
    <row r="2" spans="1:3" ht="16.2">
      <c r="A2" s="869" t="str">
        <f>Assumptions!I8</f>
        <v>John Doe</v>
      </c>
      <c r="B2" s="869"/>
      <c r="C2" s="869"/>
    </row>
    <row r="3" spans="1:3" ht="18" customHeight="1">
      <c r="A3" s="871" t="str">
        <f>Assumptions!I16</f>
        <v>123 Industrial Area, City</v>
      </c>
      <c r="B3" s="871"/>
      <c r="C3" s="871"/>
    </row>
    <row r="4" spans="1:3" ht="35.25" customHeight="1">
      <c r="A4" s="871"/>
      <c r="B4" s="871"/>
      <c r="C4" s="871"/>
    </row>
    <row r="5" spans="1:3" ht="16.2">
      <c r="A5" s="113"/>
      <c r="B5" s="113"/>
      <c r="C5" s="113"/>
    </row>
    <row r="6" spans="1:3" ht="16.2">
      <c r="A6" s="870" t="s">
        <v>192</v>
      </c>
      <c r="B6" s="870"/>
      <c r="C6" s="870"/>
    </row>
    <row r="7" spans="1:3" ht="16.2">
      <c r="A7" s="114"/>
      <c r="B7" s="114"/>
      <c r="C7" s="114"/>
    </row>
    <row r="8" spans="1:3" ht="16.2">
      <c r="A8" s="29" t="s">
        <v>302</v>
      </c>
      <c r="B8" s="114" t="str">
        <f>Assumptions!I15</f>
        <v>Textile Manufacturing</v>
      </c>
      <c r="C8" s="114"/>
    </row>
    <row r="9" spans="1:3" ht="16.2">
      <c r="A9" s="114"/>
      <c r="B9" s="114"/>
      <c r="C9" s="114"/>
    </row>
    <row r="10" spans="1:3" ht="16.2">
      <c r="A10" s="114"/>
      <c r="B10" s="114"/>
      <c r="C10" s="114"/>
    </row>
    <row r="11" spans="1:3" ht="16.2">
      <c r="A11" s="115" t="s">
        <v>193</v>
      </c>
      <c r="B11" s="114"/>
      <c r="C11" s="114"/>
    </row>
    <row r="12" spans="1:3" ht="16.2">
      <c r="A12" s="114"/>
      <c r="B12" s="114"/>
      <c r="C12" s="142" t="s">
        <v>216</v>
      </c>
    </row>
    <row r="13" spans="1:3" ht="28.5" customHeight="1" thickBot="1">
      <c r="A13" s="258" t="s">
        <v>14</v>
      </c>
      <c r="B13" s="259"/>
      <c r="C13" s="260" t="s">
        <v>152</v>
      </c>
    </row>
    <row r="14" spans="1:3" s="60" customFormat="1" ht="18" customHeight="1" thickTop="1">
      <c r="A14" s="237"/>
      <c r="B14" s="117"/>
      <c r="C14" s="238"/>
    </row>
    <row r="15" spans="1:3" ht="16.2">
      <c r="A15" s="114" t="str">
        <f>Assumptions!C29</f>
        <v>Service Equipment</v>
      </c>
      <c r="B15" s="252"/>
      <c r="C15" s="116">
        <f>Assumptions!I28</f>
        <v>70000</v>
      </c>
    </row>
    <row r="16" spans="1:3" ht="16.2">
      <c r="A16" s="117"/>
      <c r="B16" s="252"/>
      <c r="C16" s="126"/>
    </row>
    <row r="17" spans="1:5" ht="16.2">
      <c r="A17" s="117" t="str">
        <f>Assumptions!C40</f>
        <v>Working capital Requirement</v>
      </c>
      <c r="B17" s="114"/>
      <c r="C17" s="116">
        <f>Assumptions!I40</f>
        <v>500000</v>
      </c>
    </row>
    <row r="18" spans="1:5" ht="16.2">
      <c r="A18" s="114"/>
      <c r="B18" s="114"/>
      <c r="C18" s="116"/>
    </row>
    <row r="19" spans="1:5" ht="16.2">
      <c r="A19" s="114"/>
      <c r="B19" s="114"/>
      <c r="C19" s="114"/>
    </row>
    <row r="20" spans="1:5" ht="21" customHeight="1" thickBot="1">
      <c r="A20" s="118" t="s">
        <v>39</v>
      </c>
      <c r="B20" s="119"/>
      <c r="C20" s="120">
        <f>SUM(C15:C19)</f>
        <v>570000</v>
      </c>
    </row>
    <row r="21" spans="1:5" ht="16.2">
      <c r="A21" s="114"/>
      <c r="B21" s="114"/>
      <c r="C21" s="114"/>
    </row>
    <row r="22" spans="1:5" ht="16.2">
      <c r="A22" s="114"/>
      <c r="B22" s="114"/>
      <c r="C22" s="114"/>
    </row>
    <row r="23" spans="1:5" ht="16.2">
      <c r="A23" s="115" t="s">
        <v>194</v>
      </c>
      <c r="B23" s="114"/>
      <c r="C23" s="114"/>
    </row>
    <row r="24" spans="1:5" ht="26.25" customHeight="1">
      <c r="A24" s="114"/>
      <c r="B24" s="114"/>
      <c r="C24" s="142" t="str">
        <f>C12</f>
        <v>Rs in Lakhs</v>
      </c>
    </row>
    <row r="25" spans="1:5" ht="27.75" customHeight="1" thickBot="1">
      <c r="A25" s="261" t="s">
        <v>14</v>
      </c>
      <c r="B25" s="260"/>
      <c r="C25" s="260" t="s">
        <v>152</v>
      </c>
    </row>
    <row r="26" spans="1:5" ht="15.75" customHeight="1" thickTop="1">
      <c r="A26" s="114"/>
      <c r="B26" s="114"/>
      <c r="C26" s="114"/>
    </row>
    <row r="27" spans="1:5" ht="22.5" customHeight="1">
      <c r="A27" s="114" t="s">
        <v>524</v>
      </c>
      <c r="B27" s="144"/>
      <c r="C27" s="116">
        <f>C34-C31-C29</f>
        <v>57000</v>
      </c>
    </row>
    <row r="28" spans="1:5" ht="22.5" customHeight="1">
      <c r="A28" s="114"/>
      <c r="B28" s="144"/>
      <c r="C28" s="116"/>
    </row>
    <row r="29" spans="1:5" ht="21" customHeight="1">
      <c r="A29" s="114" t="s">
        <v>188</v>
      </c>
      <c r="B29" s="144"/>
      <c r="C29" s="116">
        <f>Assumptions!I43</f>
        <v>63000</v>
      </c>
      <c r="D29" s="8"/>
      <c r="E29" s="139"/>
    </row>
    <row r="30" spans="1:5" ht="21" customHeight="1">
      <c r="A30" s="114"/>
      <c r="B30" s="144"/>
      <c r="C30" s="116"/>
      <c r="D30" s="8"/>
      <c r="E30" s="139"/>
    </row>
    <row r="31" spans="1:5" ht="21" customHeight="1">
      <c r="A31" s="114" t="s">
        <v>371</v>
      </c>
      <c r="B31" s="114"/>
      <c r="C31" s="116">
        <f>Assumptions!I51</f>
        <v>450000</v>
      </c>
      <c r="D31" s="8"/>
      <c r="E31" s="139"/>
    </row>
    <row r="32" spans="1:5" ht="21" customHeight="1">
      <c r="A32" s="114"/>
      <c r="B32" s="144"/>
      <c r="C32" s="116"/>
      <c r="D32" s="8"/>
    </row>
    <row r="33" spans="1:4" ht="16.5" customHeight="1">
      <c r="A33" s="114"/>
      <c r="B33" s="114"/>
      <c r="C33" s="114"/>
      <c r="D33" s="8"/>
    </row>
    <row r="34" spans="1:4" ht="24" customHeight="1" thickBot="1">
      <c r="A34" s="118" t="s">
        <v>39</v>
      </c>
      <c r="B34" s="119"/>
      <c r="C34" s="120">
        <f>C20</f>
        <v>570000</v>
      </c>
    </row>
    <row r="36" spans="1:4" ht="15">
      <c r="A36" s="271"/>
      <c r="B36" s="22"/>
      <c r="C36" s="278"/>
    </row>
    <row r="37" spans="1:4" ht="15">
      <c r="A37" s="22"/>
      <c r="B37" s="22"/>
      <c r="C37" s="279"/>
    </row>
  </sheetData>
  <mergeCells count="4">
    <mergeCell ref="A1:C1"/>
    <mergeCell ref="A2:C2"/>
    <mergeCell ref="A6:C6"/>
    <mergeCell ref="A3:C4"/>
  </mergeCells>
  <pageMargins left="0.70866141732283472" right="0.70866141732283472" top="0.56000000000000005" bottom="0.42" header="0.31496062992125984" footer="0.31496062992125984"/>
  <pageSetup scale="103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99C7E-81CB-45B7-9177-315802D61B1F}">
  <sheetPr codeName="Sheet11"/>
  <dimension ref="A1:M122"/>
  <sheetViews>
    <sheetView topLeftCell="A94" zoomScale="40" zoomScaleNormal="40" zoomScaleSheetLayoutView="25" workbookViewId="0">
      <selection activeCell="R118" sqref="R118"/>
    </sheetView>
  </sheetViews>
  <sheetFormatPr defaultColWidth="21.77734375" defaultRowHeight="25.8"/>
  <cols>
    <col min="1" max="1" width="47.77734375" style="90" customWidth="1"/>
    <col min="2" max="2" width="14.77734375" style="90" customWidth="1"/>
    <col min="3" max="3" width="4.21875" style="90" customWidth="1"/>
    <col min="4" max="4" width="33.77734375" style="90" customWidth="1"/>
    <col min="5" max="5" width="31.77734375" style="90" customWidth="1"/>
    <col min="6" max="6" width="34.21875" style="90" customWidth="1"/>
    <col min="7" max="7" width="34.44140625" style="90" customWidth="1"/>
    <col min="8" max="9" width="34.21875" style="90" customWidth="1"/>
    <col min="10" max="10" width="35.21875" style="90" customWidth="1"/>
    <col min="11" max="11" width="34.21875" style="90" bestFit="1" customWidth="1"/>
    <col min="12" max="12" width="5.21875" style="90" customWidth="1"/>
    <col min="13" max="13" width="24" style="90" bestFit="1" customWidth="1"/>
    <col min="14" max="16384" width="21.77734375" style="90"/>
  </cols>
  <sheetData>
    <row r="1" spans="1:13">
      <c r="A1" s="872" t="str">
        <f>Assumptions!I17</f>
        <v>Doe Textiles</v>
      </c>
      <c r="B1" s="872"/>
      <c r="C1" s="872"/>
      <c r="D1" s="872"/>
      <c r="E1" s="872"/>
      <c r="F1" s="872"/>
      <c r="G1" s="872"/>
      <c r="H1" s="872"/>
      <c r="I1" s="872"/>
      <c r="J1" s="872"/>
      <c r="K1" s="872"/>
    </row>
    <row r="2" spans="1:13">
      <c r="A2" s="872" t="str">
        <f>Assumptions!I8</f>
        <v>John Doe</v>
      </c>
      <c r="B2" s="872"/>
      <c r="C2" s="872"/>
      <c r="D2" s="872"/>
      <c r="E2" s="872"/>
      <c r="F2" s="872"/>
      <c r="G2" s="872"/>
      <c r="H2" s="872"/>
      <c r="I2" s="872"/>
      <c r="J2" s="872"/>
      <c r="K2" s="872"/>
    </row>
    <row r="3" spans="1:13" ht="29.25" customHeight="1">
      <c r="A3" s="872" t="str">
        <f>Assumptions!I16</f>
        <v>123 Industrial Area, City</v>
      </c>
      <c r="B3" s="872"/>
      <c r="C3" s="872"/>
      <c r="D3" s="872"/>
      <c r="E3" s="872"/>
      <c r="F3" s="872"/>
      <c r="G3" s="872"/>
      <c r="H3" s="872"/>
      <c r="I3" s="872"/>
      <c r="J3" s="872"/>
      <c r="K3" s="872"/>
    </row>
    <row r="4" spans="1:13" ht="29.25" customHeight="1">
      <c r="A4" s="872"/>
      <c r="B4" s="872"/>
      <c r="C4" s="872"/>
      <c r="D4" s="872"/>
      <c r="E4" s="872"/>
      <c r="F4" s="872"/>
      <c r="G4" s="872"/>
    </row>
    <row r="5" spans="1:13" ht="57" customHeight="1">
      <c r="A5" s="873" t="s">
        <v>332</v>
      </c>
      <c r="B5" s="873"/>
      <c r="C5" s="873"/>
      <c r="D5" s="873"/>
      <c r="E5" s="873"/>
      <c r="F5" s="873"/>
      <c r="G5" s="873"/>
      <c r="H5" s="873"/>
      <c r="I5" s="873"/>
      <c r="J5" s="873"/>
      <c r="K5" s="873"/>
    </row>
    <row r="6" spans="1:13" ht="37.5" customHeight="1">
      <c r="A6" s="816" t="s">
        <v>0</v>
      </c>
      <c r="B6" s="818" t="s">
        <v>220</v>
      </c>
      <c r="C6" s="289"/>
      <c r="D6" s="676" t="str">
        <f>Assumptions!J78</f>
        <v>Estimated</v>
      </c>
      <c r="E6" s="676" t="str">
        <f>Assumptions!J79</f>
        <v>Projected</v>
      </c>
      <c r="F6" s="676" t="str">
        <f>Assumptions!J80</f>
        <v>Projected</v>
      </c>
      <c r="G6" s="676" t="str">
        <f>Assumptions!J81</f>
        <v>Projected</v>
      </c>
      <c r="H6" s="676" t="str">
        <f>Assumptions!J82</f>
        <v>Projected</v>
      </c>
      <c r="I6" s="676" t="str">
        <f>Assumptions!J83</f>
        <v>Projected</v>
      </c>
      <c r="J6" s="676" t="str">
        <f>Assumptions!J84</f>
        <v>Projected</v>
      </c>
      <c r="K6" s="676" t="str">
        <f>Assumptions!J85</f>
        <v>Projected</v>
      </c>
    </row>
    <row r="7" spans="1:13" s="92" customFormat="1" ht="59.25" customHeight="1" thickBot="1">
      <c r="A7" s="817"/>
      <c r="B7" s="819"/>
      <c r="C7" s="220"/>
      <c r="D7" s="677" t="str">
        <f>Assumptions!I78</f>
        <v>2024-25</v>
      </c>
      <c r="E7" s="677" t="str">
        <f>Assumptions!I79</f>
        <v>2025-26</v>
      </c>
      <c r="F7" s="677" t="str">
        <f>Assumptions!I80</f>
        <v>2026-27</v>
      </c>
      <c r="G7" s="677" t="str">
        <f>Assumptions!I81</f>
        <v>2027-28</v>
      </c>
      <c r="H7" s="677" t="str">
        <f>Assumptions!I82</f>
        <v>2028-29</v>
      </c>
      <c r="I7" s="677" t="str">
        <f>Assumptions!I83</f>
        <v>2029-30</v>
      </c>
      <c r="J7" s="677" t="str">
        <f>Assumptions!I84</f>
        <v>2030-31</v>
      </c>
      <c r="K7" s="677" t="str">
        <f>Assumptions!I85</f>
        <v>2031-32</v>
      </c>
    </row>
    <row r="8" spans="1:13" s="92" customFormat="1" ht="26.4" thickTop="1">
      <c r="A8" s="93"/>
      <c r="B8" s="94"/>
      <c r="C8" s="95"/>
    </row>
    <row r="9" spans="1:13" s="92" customFormat="1">
      <c r="A9" s="251" t="s">
        <v>314</v>
      </c>
      <c r="B9" s="94"/>
      <c r="C9" s="95"/>
    </row>
    <row r="10" spans="1:13" s="92" customFormat="1" hidden="1">
      <c r="A10" s="96"/>
      <c r="B10" s="94"/>
      <c r="C10" s="95"/>
      <c r="D10" s="98"/>
      <c r="E10" s="98"/>
    </row>
    <row r="11" spans="1:13" s="92" customFormat="1" ht="33" hidden="1" customHeight="1">
      <c r="A11" s="90"/>
      <c r="B11" s="90"/>
      <c r="C11" s="90"/>
      <c r="D11" s="89"/>
      <c r="E11" s="89"/>
      <c r="F11" s="89"/>
      <c r="G11" s="89"/>
      <c r="H11" s="89"/>
      <c r="I11" s="89"/>
      <c r="J11" s="89"/>
      <c r="K11" s="89"/>
    </row>
    <row r="12" spans="1:13" s="92" customFormat="1" ht="33" hidden="1" customHeight="1">
      <c r="A12" s="90"/>
      <c r="B12" s="90"/>
      <c r="C12" s="90"/>
      <c r="D12" s="89"/>
      <c r="E12" s="89"/>
      <c r="F12" s="89"/>
      <c r="G12" s="89"/>
      <c r="H12" s="89"/>
      <c r="I12" s="89"/>
      <c r="J12" s="89"/>
      <c r="K12" s="89"/>
    </row>
    <row r="13" spans="1:13" s="92" customFormat="1" ht="33" customHeight="1">
      <c r="A13" s="90"/>
      <c r="B13" s="90"/>
      <c r="C13" s="90"/>
      <c r="D13" s="90"/>
      <c r="E13" s="90"/>
      <c r="F13" s="90"/>
    </row>
    <row r="14" spans="1:13" ht="38.25" customHeight="1">
      <c r="A14" s="92" t="s">
        <v>333</v>
      </c>
      <c r="C14" s="92"/>
      <c r="D14" s="657">
        <f>'Final workings'!B7</f>
        <v>27534150000</v>
      </c>
      <c r="E14" s="657">
        <f>'Final workings'!C7</f>
        <v>-8573600000</v>
      </c>
      <c r="F14" s="657">
        <f>'Final workings'!D7</f>
        <v>44750180000</v>
      </c>
      <c r="G14" s="657">
        <f>'Final workings'!E7</f>
        <v>46822650000</v>
      </c>
      <c r="H14" s="657">
        <f>'Final workings'!F7</f>
        <v>48895300000</v>
      </c>
      <c r="I14" s="657">
        <f>'Final workings'!G7</f>
        <v>50967900000</v>
      </c>
      <c r="J14" s="657">
        <f>'Final workings'!H7</f>
        <v>53040460000</v>
      </c>
      <c r="K14" s="657">
        <f>'Final workings'!I7</f>
        <v>55112960000</v>
      </c>
      <c r="M14" s="89"/>
    </row>
    <row r="15" spans="1:13">
      <c r="D15" s="658"/>
      <c r="E15" s="658"/>
      <c r="F15" s="658"/>
      <c r="G15" s="658"/>
      <c r="H15" s="658"/>
      <c r="I15" s="658"/>
      <c r="J15" s="658"/>
      <c r="K15" s="658"/>
    </row>
    <row r="16" spans="1:13" ht="35.25" hidden="1" customHeight="1">
      <c r="A16" s="90" t="s">
        <v>1</v>
      </c>
      <c r="D16" s="658">
        <v>0</v>
      </c>
      <c r="E16" s="658" t="e">
        <f t="shared" ref="E16:K16" si="0">D18</f>
        <v>#REF!</v>
      </c>
      <c r="F16" s="658" t="e">
        <f t="shared" si="0"/>
        <v>#REF!</v>
      </c>
      <c r="G16" s="658" t="e">
        <f t="shared" si="0"/>
        <v>#REF!</v>
      </c>
      <c r="H16" s="658" t="e">
        <f t="shared" si="0"/>
        <v>#REF!</v>
      </c>
      <c r="I16" s="658" t="e">
        <f t="shared" si="0"/>
        <v>#REF!</v>
      </c>
      <c r="J16" s="658" t="e">
        <f t="shared" si="0"/>
        <v>#REF!</v>
      </c>
      <c r="K16" s="658" t="e">
        <f t="shared" si="0"/>
        <v>#REF!</v>
      </c>
    </row>
    <row r="17" spans="1:13" ht="37.5" hidden="1" customHeight="1">
      <c r="A17" s="90" t="s">
        <v>313</v>
      </c>
      <c r="C17" s="89"/>
      <c r="D17" s="658" t="e">
        <f>D11*Assumptions!#REF!</f>
        <v>#REF!</v>
      </c>
      <c r="E17" s="658" t="e">
        <f>E11*Assumptions!#REF!</f>
        <v>#REF!</v>
      </c>
      <c r="F17" s="658" t="e">
        <f>F11*Assumptions!#REF!</f>
        <v>#REF!</v>
      </c>
      <c r="G17" s="658" t="e">
        <f>G11*Assumptions!#REF!</f>
        <v>#REF!</v>
      </c>
      <c r="H17" s="658" t="e">
        <f>H11*Assumptions!#REF!</f>
        <v>#REF!</v>
      </c>
      <c r="I17" s="658" t="e">
        <f>I11*Assumptions!#REF!</f>
        <v>#REF!</v>
      </c>
      <c r="J17" s="658" t="e">
        <f>J11*Assumptions!#REF!</f>
        <v>#REF!</v>
      </c>
      <c r="K17" s="658" t="e">
        <f>J17*Assumptions!#REF!</f>
        <v>#REF!</v>
      </c>
      <c r="L17" s="89"/>
    </row>
    <row r="18" spans="1:13" ht="36" hidden="1" customHeight="1">
      <c r="A18" s="90" t="s">
        <v>2</v>
      </c>
      <c r="C18" s="89"/>
      <c r="D18" s="658" t="e">
        <f>Assumptions!#REF!*D11</f>
        <v>#REF!</v>
      </c>
      <c r="E18" s="658" t="e">
        <f>Assumptions!#REF!*E11</f>
        <v>#REF!</v>
      </c>
      <c r="F18" s="658" t="e">
        <f>Assumptions!#REF!*F11</f>
        <v>#REF!</v>
      </c>
      <c r="G18" s="658" t="e">
        <f>Assumptions!#REF!*G11</f>
        <v>#REF!</v>
      </c>
      <c r="H18" s="658" t="e">
        <f>Assumptions!#REF!*H11</f>
        <v>#REF!</v>
      </c>
      <c r="I18" s="658" t="e">
        <f>Assumptions!#REF!*I11</f>
        <v>#REF!</v>
      </c>
      <c r="J18" s="658" t="e">
        <f>Assumptions!#REF!*J11</f>
        <v>#REF!</v>
      </c>
      <c r="K18" s="658" t="e">
        <f>Assumptions!#REF!*K11</f>
        <v>#REF!</v>
      </c>
      <c r="M18" s="138"/>
    </row>
    <row r="19" spans="1:13" ht="36" customHeight="1">
      <c r="A19" s="92" t="s">
        <v>582</v>
      </c>
      <c r="C19" s="89"/>
      <c r="D19" s="658"/>
      <c r="E19" s="658"/>
      <c r="F19" s="658"/>
      <c r="G19" s="658"/>
      <c r="H19" s="658"/>
      <c r="I19" s="658"/>
      <c r="J19" s="658"/>
      <c r="K19" s="658"/>
      <c r="M19" s="138"/>
    </row>
    <row r="20" spans="1:13" ht="36" customHeight="1">
      <c r="A20" s="92"/>
      <c r="C20" s="89"/>
      <c r="D20" s="658"/>
      <c r="E20" s="658"/>
      <c r="F20" s="658"/>
      <c r="G20" s="658"/>
      <c r="H20" s="658"/>
      <c r="I20" s="658"/>
      <c r="J20" s="658"/>
      <c r="K20" s="658"/>
      <c r="M20" s="138"/>
    </row>
    <row r="21" spans="1:13" ht="36" customHeight="1">
      <c r="A21" s="90" t="s">
        <v>1</v>
      </c>
      <c r="C21" s="89"/>
      <c r="D21" s="658">
        <f>Assumptions!F124</f>
        <v>0</v>
      </c>
      <c r="E21" s="658">
        <f>D25</f>
        <v>6669760000</v>
      </c>
      <c r="F21" s="658">
        <f t="shared" ref="F21:K21" si="1">E25</f>
        <v>58500000000</v>
      </c>
      <c r="G21" s="658">
        <f t="shared" si="1"/>
        <v>59085000000</v>
      </c>
      <c r="H21" s="658">
        <f t="shared" si="1"/>
        <v>59675850000</v>
      </c>
      <c r="I21" s="658">
        <f t="shared" si="1"/>
        <v>60272610000</v>
      </c>
      <c r="J21" s="658">
        <f t="shared" si="1"/>
        <v>60875330000</v>
      </c>
      <c r="K21" s="658">
        <f t="shared" si="1"/>
        <v>61484090000</v>
      </c>
      <c r="M21" s="89"/>
    </row>
    <row r="22" spans="1:13" ht="36" customHeight="1">
      <c r="C22" s="89"/>
      <c r="D22" s="658"/>
      <c r="E22" s="658"/>
      <c r="F22" s="658"/>
      <c r="G22" s="658"/>
      <c r="H22" s="658"/>
      <c r="I22" s="658"/>
      <c r="J22" s="658"/>
      <c r="K22" s="658"/>
      <c r="M22" s="89"/>
    </row>
    <row r="23" spans="1:13" ht="36" customHeight="1">
      <c r="A23" s="90" t="s">
        <v>461</v>
      </c>
      <c r="C23" s="89"/>
      <c r="D23" s="658">
        <f>'Final workings'!B8</f>
        <v>22232540000</v>
      </c>
      <c r="E23" s="658">
        <f>'Final workings'!C8</f>
        <v>28116810000</v>
      </c>
      <c r="F23" s="658">
        <f>'Final workings'!D8</f>
        <v>29467870000</v>
      </c>
      <c r="G23" s="658">
        <f>'Final workings'!E8</f>
        <v>30818780000</v>
      </c>
      <c r="H23" s="658">
        <f>'Final workings'!F8</f>
        <v>32169840000</v>
      </c>
      <c r="I23" s="658">
        <f>'Final workings'!G8</f>
        <v>33520910000</v>
      </c>
      <c r="J23" s="658">
        <f>'Final workings'!H8</f>
        <v>34871990000</v>
      </c>
      <c r="K23" s="658">
        <f>'Final workings'!I8</f>
        <v>36223070000</v>
      </c>
      <c r="M23" s="89"/>
    </row>
    <row r="24" spans="1:13" ht="36" customHeight="1">
      <c r="C24" s="89"/>
      <c r="D24" s="658"/>
      <c r="E24" s="658"/>
      <c r="F24" s="658"/>
      <c r="G24" s="658"/>
      <c r="H24" s="658"/>
      <c r="I24" s="658"/>
      <c r="J24" s="658"/>
      <c r="K24" s="658"/>
      <c r="M24" s="89"/>
    </row>
    <row r="25" spans="1:13" ht="36" customHeight="1">
      <c r="A25" s="90" t="s">
        <v>900</v>
      </c>
      <c r="C25" s="89"/>
      <c r="D25" s="658">
        <f>'Final workings'!B9</f>
        <v>6669760000</v>
      </c>
      <c r="E25" s="658">
        <f>'Final workings'!C9</f>
        <v>58500000000</v>
      </c>
      <c r="F25" s="658">
        <f>'Final workings'!D9</f>
        <v>59085000000</v>
      </c>
      <c r="G25" s="658">
        <f>'Final workings'!E9</f>
        <v>59675850000</v>
      </c>
      <c r="H25" s="658">
        <f>'Final workings'!F9</f>
        <v>60272610000</v>
      </c>
      <c r="I25" s="658">
        <f>'Final workings'!G9</f>
        <v>60875330000</v>
      </c>
      <c r="J25" s="658">
        <f>'Final workings'!H9</f>
        <v>61484090000</v>
      </c>
      <c r="K25" s="658">
        <f>'Final workings'!I9</f>
        <v>62098930000</v>
      </c>
      <c r="M25" s="89"/>
    </row>
    <row r="26" spans="1:13" ht="36" customHeight="1">
      <c r="C26" s="89"/>
      <c r="D26" s="658"/>
      <c r="E26" s="658"/>
      <c r="F26" s="658"/>
      <c r="G26" s="658"/>
      <c r="H26" s="658"/>
      <c r="I26" s="658"/>
      <c r="J26" s="658"/>
      <c r="K26" s="658"/>
      <c r="M26" s="89"/>
    </row>
    <row r="27" spans="1:13" ht="36" customHeight="1">
      <c r="A27" s="92" t="s">
        <v>583</v>
      </c>
      <c r="B27" s="92"/>
      <c r="C27" s="98"/>
      <c r="D27" s="657">
        <f>D21+D23-D25</f>
        <v>15562780000</v>
      </c>
      <c r="E27" s="657">
        <f t="shared" ref="E27:K27" si="2">E21+E23-E25</f>
        <v>-23713430000</v>
      </c>
      <c r="F27" s="657">
        <f t="shared" si="2"/>
        <v>28882870000</v>
      </c>
      <c r="G27" s="657">
        <f t="shared" si="2"/>
        <v>30227930000</v>
      </c>
      <c r="H27" s="657">
        <f t="shared" si="2"/>
        <v>31573080000</v>
      </c>
      <c r="I27" s="657">
        <f t="shared" si="2"/>
        <v>32918190000</v>
      </c>
      <c r="J27" s="657">
        <f t="shared" si="2"/>
        <v>34263230000</v>
      </c>
      <c r="K27" s="657">
        <f t="shared" si="2"/>
        <v>35608230000</v>
      </c>
      <c r="M27" s="89"/>
    </row>
    <row r="28" spans="1:13" ht="36" customHeight="1">
      <c r="C28" s="89"/>
      <c r="D28" s="658"/>
      <c r="E28" s="658"/>
      <c r="F28" s="658"/>
      <c r="G28" s="658"/>
      <c r="H28" s="658"/>
      <c r="I28" s="658"/>
      <c r="J28" s="658"/>
      <c r="K28" s="658"/>
      <c r="M28" s="89"/>
    </row>
    <row r="29" spans="1:13" ht="36" customHeight="1">
      <c r="A29" s="92" t="s">
        <v>364</v>
      </c>
      <c r="B29" s="92"/>
      <c r="C29" s="98"/>
      <c r="D29" s="657">
        <f>D14-D27</f>
        <v>11971370000</v>
      </c>
      <c r="E29" s="657">
        <f t="shared" ref="E29:K29" si="3">E14-E27</f>
        <v>15139830000</v>
      </c>
      <c r="F29" s="657">
        <f t="shared" si="3"/>
        <v>15867310000</v>
      </c>
      <c r="G29" s="657">
        <f t="shared" si="3"/>
        <v>16594720000</v>
      </c>
      <c r="H29" s="657">
        <f t="shared" si="3"/>
        <v>17322220000</v>
      </c>
      <c r="I29" s="657">
        <f t="shared" si="3"/>
        <v>18049710000</v>
      </c>
      <c r="J29" s="657">
        <f t="shared" si="3"/>
        <v>18777230000</v>
      </c>
      <c r="K29" s="657">
        <f t="shared" si="3"/>
        <v>19504730000</v>
      </c>
      <c r="L29" s="89"/>
      <c r="M29" s="89"/>
    </row>
    <row r="30" spans="1:13" ht="36" customHeight="1">
      <c r="C30" s="89"/>
      <c r="D30" s="658"/>
      <c r="E30" s="658"/>
      <c r="F30" s="658"/>
      <c r="G30" s="658"/>
      <c r="H30" s="658"/>
      <c r="I30" s="658"/>
      <c r="J30" s="658"/>
      <c r="K30" s="658"/>
      <c r="M30" s="89"/>
    </row>
    <row r="31" spans="1:13" ht="36" customHeight="1">
      <c r="A31" s="92" t="s">
        <v>904</v>
      </c>
      <c r="B31" s="99" t="s">
        <v>23</v>
      </c>
      <c r="C31" s="89"/>
      <c r="D31" s="658">
        <f t="shared" ref="D31:K31" si="4">D106</f>
        <v>606650000</v>
      </c>
      <c r="E31" s="658">
        <f t="shared" si="4"/>
        <v>591570000</v>
      </c>
      <c r="F31" s="658">
        <f t="shared" si="4"/>
        <v>591650000</v>
      </c>
      <c r="G31" s="658">
        <f t="shared" si="4"/>
        <v>591650000</v>
      </c>
      <c r="H31" s="658">
        <f t="shared" si="4"/>
        <v>591730000</v>
      </c>
      <c r="I31" s="658">
        <f t="shared" si="4"/>
        <v>591820000</v>
      </c>
      <c r="J31" s="658">
        <f t="shared" si="4"/>
        <v>591910000</v>
      </c>
      <c r="K31" s="658">
        <f t="shared" si="4"/>
        <v>592010000</v>
      </c>
      <c r="M31" s="89"/>
    </row>
    <row r="32" spans="1:13" ht="43.5" customHeight="1">
      <c r="B32" s="99"/>
      <c r="C32" s="111"/>
      <c r="D32" s="658"/>
      <c r="E32" s="658"/>
      <c r="F32" s="658"/>
      <c r="G32" s="658"/>
      <c r="H32" s="658"/>
      <c r="I32" s="658"/>
      <c r="J32" s="658"/>
      <c r="K32" s="658"/>
    </row>
    <row r="33" spans="1:13" ht="43.5" customHeight="1">
      <c r="A33" s="97" t="s">
        <v>133</v>
      </c>
      <c r="B33" s="99"/>
      <c r="C33" s="100"/>
      <c r="D33" s="659">
        <f t="shared" ref="D33:K33" si="5">D29-D31</f>
        <v>11364720000</v>
      </c>
      <c r="E33" s="659">
        <f t="shared" si="5"/>
        <v>14548260000</v>
      </c>
      <c r="F33" s="659">
        <f t="shared" si="5"/>
        <v>15275660000</v>
      </c>
      <c r="G33" s="659">
        <f t="shared" si="5"/>
        <v>16003070000</v>
      </c>
      <c r="H33" s="659">
        <f t="shared" si="5"/>
        <v>16730490000</v>
      </c>
      <c r="I33" s="659">
        <f t="shared" si="5"/>
        <v>17457890000</v>
      </c>
      <c r="J33" s="659">
        <f t="shared" si="5"/>
        <v>18185320000</v>
      </c>
      <c r="K33" s="659">
        <f t="shared" si="5"/>
        <v>18912720000</v>
      </c>
      <c r="L33" s="89"/>
    </row>
    <row r="34" spans="1:13" ht="39" customHeight="1">
      <c r="A34" s="92"/>
      <c r="B34" s="99"/>
      <c r="C34" s="89"/>
      <c r="D34" s="658"/>
      <c r="E34" s="658"/>
      <c r="F34" s="658"/>
      <c r="G34" s="658"/>
      <c r="H34" s="658"/>
      <c r="I34" s="658"/>
      <c r="J34" s="658"/>
      <c r="K34" s="658"/>
    </row>
    <row r="35" spans="1:13" ht="54.75" customHeight="1">
      <c r="A35" s="90" t="s">
        <v>134</v>
      </c>
      <c r="B35" s="99"/>
      <c r="C35" s="111"/>
      <c r="D35" s="658">
        <f>'Dep IT act'!M17*100000</f>
        <v>916666666.66666663</v>
      </c>
      <c r="E35" s="660">
        <f>'Dep IT act'!M24*100000</f>
        <v>964583333.33333337</v>
      </c>
      <c r="F35" s="660">
        <f>'Dep IT act'!M31*100000</f>
        <v>822187500</v>
      </c>
      <c r="G35" s="660">
        <f>'Dep IT act'!M38*100000</f>
        <v>700921875</v>
      </c>
      <c r="H35" s="660">
        <f>'Dep IT act'!M45*100000</f>
        <v>597639843.75</v>
      </c>
      <c r="I35" s="658">
        <f>'Dep IT act'!M52*100000</f>
        <v>509664492.18749994</v>
      </c>
      <c r="J35" s="658">
        <f>'Dep IT act'!M59*100000</f>
        <v>434718380.859375</v>
      </c>
      <c r="K35" s="658">
        <f>'Dep IT act'!M66*100000</f>
        <v>370863829.98046875</v>
      </c>
      <c r="L35" s="138"/>
      <c r="M35" s="138"/>
    </row>
    <row r="36" spans="1:13" ht="54.75" customHeight="1">
      <c r="B36" s="99"/>
      <c r="C36" s="111"/>
      <c r="D36" s="658"/>
      <c r="E36" s="660"/>
      <c r="F36" s="660"/>
      <c r="G36" s="660"/>
      <c r="H36" s="660"/>
      <c r="I36" s="658"/>
      <c r="J36" s="658"/>
      <c r="K36" s="658"/>
      <c r="L36" s="138"/>
      <c r="M36" s="138"/>
    </row>
    <row r="37" spans="1:13" s="101" customFormat="1" ht="57.75" customHeight="1">
      <c r="A37" s="97" t="s">
        <v>132</v>
      </c>
      <c r="C37" s="100"/>
      <c r="D37" s="659">
        <f>D33-D35</f>
        <v>10448053333.333334</v>
      </c>
      <c r="E37" s="659">
        <f t="shared" ref="E37:K37" si="6">E33-E35</f>
        <v>13583676666.666666</v>
      </c>
      <c r="F37" s="659">
        <f t="shared" si="6"/>
        <v>14453472500</v>
      </c>
      <c r="G37" s="659">
        <f t="shared" si="6"/>
        <v>15302148125</v>
      </c>
      <c r="H37" s="659">
        <f t="shared" si="6"/>
        <v>16132850156.25</v>
      </c>
      <c r="I37" s="659">
        <f t="shared" si="6"/>
        <v>16948225507.8125</v>
      </c>
      <c r="J37" s="659">
        <f t="shared" si="6"/>
        <v>17750601619.140625</v>
      </c>
      <c r="K37" s="659">
        <f t="shared" si="6"/>
        <v>18541856170.019531</v>
      </c>
    </row>
    <row r="38" spans="1:13" ht="39" customHeight="1">
      <c r="A38" s="92"/>
      <c r="C38" s="89"/>
      <c r="D38" s="658"/>
      <c r="E38" s="658"/>
      <c r="F38" s="658"/>
      <c r="G38" s="658"/>
      <c r="H38" s="658"/>
      <c r="I38" s="658"/>
      <c r="J38" s="658"/>
      <c r="K38" s="658"/>
    </row>
    <row r="39" spans="1:13" ht="40.5" customHeight="1">
      <c r="A39" s="90" t="s">
        <v>20</v>
      </c>
      <c r="B39" s="99" t="s">
        <v>25</v>
      </c>
      <c r="C39" s="89"/>
      <c r="D39" s="658">
        <f>D119</f>
        <v>5094125000</v>
      </c>
      <c r="E39" s="658">
        <f t="shared" ref="E39:K39" si="7">E119</f>
        <v>5874124999.9999981</v>
      </c>
      <c r="F39" s="658">
        <f t="shared" si="7"/>
        <v>5727124999.999999</v>
      </c>
      <c r="G39" s="658">
        <f t="shared" si="7"/>
        <v>5607259999.9999981</v>
      </c>
      <c r="H39" s="658">
        <f t="shared" si="7"/>
        <v>5502843174.9999971</v>
      </c>
      <c r="I39" s="658">
        <f t="shared" si="7"/>
        <v>5508812703.3749962</v>
      </c>
      <c r="J39" s="658">
        <f t="shared" si="7"/>
        <v>5536356766.8918705</v>
      </c>
      <c r="K39" s="658">
        <f t="shared" si="7"/>
        <v>5564038550.7263288</v>
      </c>
      <c r="L39" s="138"/>
      <c r="M39" s="138"/>
    </row>
    <row r="40" spans="1:13" ht="56.25" customHeight="1">
      <c r="D40" s="658"/>
      <c r="E40" s="658"/>
      <c r="F40" s="658"/>
      <c r="G40" s="658"/>
      <c r="H40" s="658"/>
      <c r="I40" s="658"/>
      <c r="J40" s="658"/>
      <c r="K40" s="658"/>
    </row>
    <row r="41" spans="1:13" s="92" customFormat="1" ht="48" customHeight="1" thickBot="1">
      <c r="A41" s="102" t="s">
        <v>377</v>
      </c>
      <c r="B41" s="103"/>
      <c r="C41" s="104"/>
      <c r="D41" s="661">
        <f>D37-D39</f>
        <v>5353928333.333334</v>
      </c>
      <c r="E41" s="661">
        <f>E37-E39</f>
        <v>7709551666.6666679</v>
      </c>
      <c r="F41" s="661">
        <f t="shared" ref="F41:K41" si="8">F37-F39</f>
        <v>8726347500</v>
      </c>
      <c r="G41" s="661">
        <f t="shared" si="8"/>
        <v>9694888125.0000019</v>
      </c>
      <c r="H41" s="661">
        <f t="shared" si="8"/>
        <v>10630006981.250004</v>
      </c>
      <c r="I41" s="661">
        <f t="shared" si="8"/>
        <v>11439412804.437504</v>
      </c>
      <c r="J41" s="661">
        <f t="shared" si="8"/>
        <v>12214244852.248755</v>
      </c>
      <c r="K41" s="661">
        <f t="shared" si="8"/>
        <v>12977817619.293201</v>
      </c>
      <c r="L41" s="141"/>
      <c r="M41" s="141"/>
    </row>
    <row r="42" spans="1:13" s="92" customFormat="1" ht="35.25" customHeight="1" thickTop="1">
      <c r="A42" s="102"/>
      <c r="B42" s="103"/>
      <c r="C42" s="125"/>
      <c r="D42" s="125"/>
      <c r="E42" s="125"/>
      <c r="F42" s="125"/>
      <c r="G42" s="125"/>
      <c r="H42" s="125"/>
      <c r="I42" s="125"/>
      <c r="J42" s="125"/>
      <c r="K42" s="125"/>
    </row>
    <row r="43" spans="1:13" ht="26.4" thickBot="1">
      <c r="A43" s="105"/>
      <c r="B43" s="105"/>
      <c r="C43" s="105"/>
      <c r="D43" s="105"/>
      <c r="E43" s="105"/>
      <c r="F43" s="105"/>
      <c r="G43" s="105"/>
      <c r="H43" s="105"/>
      <c r="I43" s="105"/>
      <c r="J43" s="105"/>
      <c r="K43" s="105"/>
    </row>
    <row r="45" spans="1:13" ht="35.25" customHeight="1">
      <c r="A45" s="872" t="str">
        <f>Assumptions!I17</f>
        <v>Doe Textiles</v>
      </c>
      <c r="B45" s="872"/>
      <c r="C45" s="872"/>
      <c r="D45" s="872"/>
      <c r="E45" s="872"/>
      <c r="F45" s="872"/>
      <c r="G45" s="872"/>
      <c r="H45" s="872"/>
      <c r="I45" s="872"/>
      <c r="J45" s="872"/>
      <c r="K45" s="872"/>
    </row>
    <row r="46" spans="1:13" ht="39" customHeight="1">
      <c r="A46" s="872" t="str">
        <f>Assumptions!I8</f>
        <v>John Doe</v>
      </c>
      <c r="B46" s="872"/>
      <c r="C46" s="872"/>
      <c r="D46" s="872"/>
      <c r="E46" s="872"/>
      <c r="F46" s="872"/>
      <c r="G46" s="872"/>
      <c r="H46" s="872"/>
      <c r="I46" s="872"/>
      <c r="J46" s="872"/>
      <c r="K46" s="872"/>
    </row>
    <row r="47" spans="1:13" ht="44.25" customHeight="1">
      <c r="A47" s="872" t="str">
        <f>Assumptions!I16</f>
        <v>123 Industrial Area, City</v>
      </c>
      <c r="B47" s="872"/>
      <c r="C47" s="872"/>
      <c r="D47" s="872"/>
      <c r="E47" s="872"/>
      <c r="F47" s="872"/>
      <c r="G47" s="872"/>
      <c r="H47" s="872"/>
      <c r="I47" s="872"/>
      <c r="J47" s="872"/>
      <c r="K47" s="872"/>
    </row>
    <row r="48" spans="1:13" ht="44.25" customHeight="1">
      <c r="A48" s="91"/>
      <c r="B48" s="91"/>
      <c r="C48" s="91"/>
      <c r="D48" s="91"/>
      <c r="E48" s="91"/>
      <c r="F48" s="91"/>
    </row>
    <row r="49" spans="1:13" ht="48.75" customHeight="1">
      <c r="A49" s="873" t="s">
        <v>6</v>
      </c>
      <c r="B49" s="873"/>
      <c r="C49" s="873"/>
      <c r="D49" s="873"/>
      <c r="E49" s="873"/>
      <c r="F49" s="873"/>
      <c r="G49" s="873"/>
      <c r="H49" s="873"/>
      <c r="I49" s="873"/>
      <c r="J49" s="873"/>
      <c r="K49" s="873"/>
    </row>
    <row r="50" spans="1:13" ht="30.75" customHeight="1">
      <c r="A50" s="818" t="s">
        <v>14</v>
      </c>
      <c r="B50" s="818" t="str">
        <f>B6</f>
        <v>Sch</v>
      </c>
      <c r="C50" s="289"/>
      <c r="D50" s="676" t="str">
        <f>Assumptions!J78</f>
        <v>Estimated</v>
      </c>
      <c r="E50" s="676" t="str">
        <f>Assumptions!J79</f>
        <v>Projected</v>
      </c>
      <c r="F50" s="676" t="str">
        <f>Assumptions!J80</f>
        <v>Projected</v>
      </c>
      <c r="G50" s="676" t="str">
        <f>Assumptions!J81</f>
        <v>Projected</v>
      </c>
      <c r="H50" s="676" t="str">
        <f>Assumptions!J82</f>
        <v>Projected</v>
      </c>
      <c r="I50" s="676" t="str">
        <f>Assumptions!J83</f>
        <v>Projected</v>
      </c>
      <c r="J50" s="676" t="str">
        <f>Assumptions!J84</f>
        <v>Projected</v>
      </c>
      <c r="K50" s="676" t="str">
        <f>Assumptions!J85</f>
        <v>Projected</v>
      </c>
    </row>
    <row r="51" spans="1:13" ht="59.25" customHeight="1" thickBot="1">
      <c r="A51" s="819"/>
      <c r="B51" s="819"/>
      <c r="C51" s="220"/>
      <c r="D51" s="677" t="str">
        <f>Assumptions!I78</f>
        <v>2024-25</v>
      </c>
      <c r="E51" s="678" t="str">
        <f>Assumptions!I79</f>
        <v>2025-26</v>
      </c>
      <c r="F51" s="678" t="str">
        <f>Assumptions!I80</f>
        <v>2026-27</v>
      </c>
      <c r="G51" s="678" t="str">
        <f>Assumptions!I81</f>
        <v>2027-28</v>
      </c>
      <c r="H51" s="678" t="str">
        <f>Assumptions!I82</f>
        <v>2028-29</v>
      </c>
      <c r="I51" s="678" t="str">
        <f>Assumptions!I83</f>
        <v>2029-30</v>
      </c>
      <c r="J51" s="678" t="str">
        <f>Assumptions!I84</f>
        <v>2030-31</v>
      </c>
      <c r="K51" s="678" t="str">
        <f>Assumptions!I85</f>
        <v>2031-32</v>
      </c>
    </row>
    <row r="52" spans="1:13" ht="33.75" customHeight="1" thickTop="1">
      <c r="A52" s="106" t="s">
        <v>4</v>
      </c>
      <c r="M52" s="89"/>
    </row>
    <row r="53" spans="1:13" ht="33.75" customHeight="1">
      <c r="K53" s="138"/>
      <c r="M53" s="89"/>
    </row>
    <row r="54" spans="1:13">
      <c r="A54" s="875" t="s">
        <v>877</v>
      </c>
      <c r="B54" s="875"/>
      <c r="D54" s="658">
        <f>D66-SUM(D57:D65)</f>
        <v>7987280000</v>
      </c>
      <c r="E54" s="658">
        <f t="shared" ref="E54:J54" si="9">E66-SUM(E57:E65)</f>
        <v>13059806666.666672</v>
      </c>
      <c r="F54" s="658">
        <f t="shared" si="9"/>
        <v>34293309166.666672</v>
      </c>
      <c r="G54" s="658">
        <f t="shared" si="9"/>
        <v>40199487291.666672</v>
      </c>
      <c r="H54" s="658">
        <f t="shared" si="9"/>
        <v>46546557447.916672</v>
      </c>
      <c r="I54" s="658" t="e">
        <f t="shared" si="9"/>
        <v>#VALUE!</v>
      </c>
      <c r="J54" s="658" t="e">
        <f t="shared" si="9"/>
        <v>#VALUE!</v>
      </c>
      <c r="K54" s="658">
        <f>K66-SUM(K57:K65)</f>
        <v>65576564078.222656</v>
      </c>
      <c r="L54" s="149"/>
      <c r="M54" s="138"/>
    </row>
    <row r="55" spans="1:13">
      <c r="A55" s="875"/>
      <c r="B55" s="875"/>
      <c r="D55" s="658"/>
      <c r="E55" s="658"/>
      <c r="F55" s="658"/>
      <c r="G55" s="658"/>
      <c r="H55" s="658"/>
      <c r="I55" s="658"/>
      <c r="J55" s="658"/>
      <c r="K55" s="658"/>
      <c r="L55" s="149"/>
      <c r="M55" s="138"/>
    </row>
    <row r="56" spans="1:13" ht="42.75" customHeight="1">
      <c r="A56" s="253" t="s">
        <v>905</v>
      </c>
      <c r="B56" s="91"/>
      <c r="C56" s="89"/>
      <c r="D56" s="658"/>
      <c r="E56" s="658"/>
      <c r="F56" s="658"/>
      <c r="G56" s="658"/>
      <c r="H56" s="658"/>
      <c r="I56" s="658"/>
      <c r="J56" s="658"/>
      <c r="K56" s="658"/>
      <c r="L56" s="149"/>
    </row>
    <row r="57" spans="1:13" ht="42.75" customHeight="1">
      <c r="B57" s="91"/>
      <c r="C57" s="89"/>
      <c r="D57" s="662"/>
      <c r="E57" s="662"/>
      <c r="F57" s="658"/>
      <c r="G57" s="658"/>
      <c r="H57" s="658"/>
      <c r="I57" s="658"/>
      <c r="J57" s="658"/>
      <c r="K57" s="658"/>
      <c r="L57" s="149"/>
    </row>
    <row r="58" spans="1:13" ht="33" customHeight="1">
      <c r="A58" s="92" t="s">
        <v>191</v>
      </c>
      <c r="B58" s="107"/>
      <c r="C58" s="89"/>
      <c r="D58" s="658">
        <f>'WorKings for PL BS 2'!B14</f>
        <v>4783333333.333333</v>
      </c>
      <c r="E58" s="658">
        <f>'WorKings for PL BS 2'!C14</f>
        <v>3383333333.3333292</v>
      </c>
      <c r="F58" s="658">
        <f>'WorKings for PL BS 2'!D14</f>
        <v>1983333333.3333292</v>
      </c>
      <c r="G58" s="658">
        <f>'WorKings for PL BS 2'!E14</f>
        <v>1283333333.3333306</v>
      </c>
      <c r="H58" s="658">
        <f>'WorKings for PL BS 2'!F14</f>
        <v>583333333.33333027</v>
      </c>
      <c r="I58" s="658" t="e">
        <f>'WorKings for PL BS 2'!G14</f>
        <v>#VALUE!</v>
      </c>
      <c r="J58" s="658" t="e">
        <f>'WorKings for PL BS 2'!H14</f>
        <v>#VALUE!</v>
      </c>
      <c r="K58" s="658">
        <f>'WorKings for PL BS 2'!I14</f>
        <v>0</v>
      </c>
      <c r="L58" s="149"/>
      <c r="M58" s="89"/>
    </row>
    <row r="59" spans="1:13" ht="42.75" customHeight="1">
      <c r="B59" s="107"/>
      <c r="C59" s="108"/>
      <c r="D59" s="663"/>
      <c r="E59" s="663"/>
      <c r="F59" s="663"/>
      <c r="G59" s="658"/>
      <c r="H59" s="658"/>
      <c r="I59" s="658"/>
      <c r="J59" s="658"/>
      <c r="K59" s="658"/>
      <c r="L59" s="149"/>
    </row>
    <row r="60" spans="1:13" ht="42.75" customHeight="1">
      <c r="A60" s="92" t="s">
        <v>221</v>
      </c>
      <c r="B60" s="91"/>
      <c r="D60" s="658"/>
      <c r="E60" s="658"/>
      <c r="F60" s="658"/>
      <c r="G60" s="658"/>
      <c r="H60" s="658"/>
      <c r="I60" s="658"/>
      <c r="J60" s="658"/>
      <c r="K60" s="658"/>
      <c r="L60" s="149"/>
    </row>
    <row r="61" spans="1:13" ht="42.75" customHeight="1">
      <c r="A61" s="92"/>
      <c r="B61" s="91"/>
      <c r="D61" s="658"/>
      <c r="E61" s="658"/>
      <c r="F61" s="658"/>
      <c r="G61" s="658"/>
      <c r="H61" s="658"/>
      <c r="I61" s="658"/>
      <c r="J61" s="658"/>
      <c r="K61" s="658"/>
      <c r="L61" s="149"/>
    </row>
    <row r="62" spans="1:13" ht="42.75" customHeight="1">
      <c r="A62" s="90" t="str">
        <f>'project cost'!A31</f>
        <v>Working capital Loan</v>
      </c>
      <c r="B62" s="107"/>
      <c r="C62" s="108"/>
      <c r="D62" s="663">
        <f>'Workings for PL BS 1'!D72</f>
        <v>6241360000</v>
      </c>
      <c r="E62" s="663">
        <f>'Workings for PL BS 1'!E72</f>
        <v>43446320000</v>
      </c>
      <c r="F62" s="663">
        <f>'WorKings for PL BS 2'!D15</f>
        <v>45000000000</v>
      </c>
      <c r="G62" s="663">
        <f>'WorKings for PL BS 2'!E15</f>
        <v>45000000000</v>
      </c>
      <c r="H62" s="663">
        <f>'WorKings for PL BS 2'!F15</f>
        <v>45000000000</v>
      </c>
      <c r="I62" s="663">
        <f>'WorKings for PL BS 2'!G15</f>
        <v>45000000000</v>
      </c>
      <c r="J62" s="663">
        <f>'WorKings for PL BS 2'!H15</f>
        <v>45000000000</v>
      </c>
      <c r="K62" s="663">
        <f>'WorKings for PL BS 2'!I15</f>
        <v>45000000000</v>
      </c>
      <c r="L62" s="149"/>
    </row>
    <row r="63" spans="1:13" ht="42.75" customHeight="1">
      <c r="B63" s="107"/>
      <c r="C63" s="108"/>
      <c r="D63" s="663"/>
      <c r="E63" s="663"/>
      <c r="F63" s="663"/>
      <c r="G63" s="663"/>
      <c r="H63" s="663"/>
      <c r="I63" s="663"/>
      <c r="J63" s="663"/>
      <c r="K63" s="663"/>
      <c r="L63" s="149"/>
    </row>
    <row r="64" spans="1:13" ht="38.25" customHeight="1">
      <c r="A64" s="90" t="s">
        <v>447</v>
      </c>
      <c r="B64" s="91"/>
      <c r="C64" s="89"/>
      <c r="D64" s="658">
        <f>'WorKings for PL BS 2'!B13</f>
        <v>1400000000</v>
      </c>
      <c r="E64" s="658">
        <f>'WorKings for PL BS 2'!C13</f>
        <v>1400000000</v>
      </c>
      <c r="F64" s="658">
        <f>'WorKings for PL BS 2'!D13</f>
        <v>1400000000</v>
      </c>
      <c r="G64" s="658">
        <f>'WorKings for PL BS 2'!E13</f>
        <v>700000000</v>
      </c>
      <c r="H64" s="658">
        <f>'WorKings for PL BS 2'!F13</f>
        <v>0</v>
      </c>
      <c r="I64" s="658">
        <f>'WorKings for PL BS 2'!G13</f>
        <v>0</v>
      </c>
      <c r="J64" s="658">
        <f>'WorKings for PL BS 2'!H13</f>
        <v>0</v>
      </c>
      <c r="K64" s="658">
        <f>'WorKings for PL BS 2'!I13</f>
        <v>0</v>
      </c>
    </row>
    <row r="65" spans="1:13" ht="57.75" customHeight="1">
      <c r="D65" s="658"/>
      <c r="E65" s="658"/>
      <c r="F65" s="658"/>
      <c r="G65" s="658"/>
      <c r="H65" s="658"/>
      <c r="I65" s="658"/>
      <c r="J65" s="658"/>
      <c r="K65" s="658"/>
    </row>
    <row r="66" spans="1:13" ht="47.25" customHeight="1" thickBot="1">
      <c r="C66" s="109"/>
      <c r="D66" s="664">
        <f>D82</f>
        <v>20411973333.333332</v>
      </c>
      <c r="E66" s="664">
        <f t="shared" ref="E66:K66" si="10">E82</f>
        <v>61289460000</v>
      </c>
      <c r="F66" s="664">
        <f t="shared" si="10"/>
        <v>82676642500</v>
      </c>
      <c r="G66" s="664">
        <f t="shared" si="10"/>
        <v>87182820625</v>
      </c>
      <c r="H66" s="664">
        <f t="shared" si="10"/>
        <v>92129890781.25</v>
      </c>
      <c r="I66" s="664">
        <f t="shared" si="10"/>
        <v>98012166289.0625</v>
      </c>
      <c r="J66" s="664">
        <f t="shared" si="10"/>
        <v>104348457908.20313</v>
      </c>
      <c r="K66" s="664">
        <f t="shared" si="10"/>
        <v>110576564078.22266</v>
      </c>
    </row>
    <row r="67" spans="1:13" ht="26.4" thickTop="1">
      <c r="D67" s="658"/>
      <c r="E67" s="658"/>
      <c r="F67" s="658"/>
      <c r="G67" s="658"/>
      <c r="H67" s="658"/>
      <c r="I67" s="658"/>
      <c r="J67" s="658"/>
      <c r="K67" s="658"/>
    </row>
    <row r="68" spans="1:13" ht="36.75" customHeight="1">
      <c r="A68" s="106" t="s">
        <v>5</v>
      </c>
      <c r="D68" s="658"/>
      <c r="E68" s="658"/>
      <c r="F68" s="658"/>
      <c r="G68" s="658"/>
      <c r="H68" s="658"/>
      <c r="I68" s="658"/>
      <c r="J68" s="658"/>
      <c r="K68" s="658"/>
    </row>
    <row r="69" spans="1:13" ht="36.75" customHeight="1">
      <c r="A69" s="97"/>
      <c r="D69" s="658"/>
      <c r="E69" s="658"/>
      <c r="F69" s="658"/>
      <c r="G69" s="658"/>
      <c r="H69" s="658"/>
      <c r="I69" s="658"/>
      <c r="J69" s="658"/>
      <c r="K69" s="658"/>
    </row>
    <row r="70" spans="1:13" ht="31.5" customHeight="1">
      <c r="A70" s="92" t="s">
        <v>804</v>
      </c>
      <c r="C70" s="89"/>
      <c r="D70" s="658">
        <f>'WorKings for PL BS 2'!B22</f>
        <v>6583333333.333333</v>
      </c>
      <c r="E70" s="658">
        <f>'WorKings for PL BS 2'!C22</f>
        <v>5618750000</v>
      </c>
      <c r="F70" s="658">
        <f>'WorKings for PL BS 2'!D22</f>
        <v>4796562500</v>
      </c>
      <c r="G70" s="658">
        <f>'WorKings for PL BS 2'!E22</f>
        <v>4095640625</v>
      </c>
      <c r="H70" s="658">
        <f>'WorKings for PL BS 2'!F22</f>
        <v>3498000781.25</v>
      </c>
      <c r="I70" s="658">
        <f>'WorKings for PL BS 2'!G22</f>
        <v>2988336289.0625</v>
      </c>
      <c r="J70" s="658">
        <f>'WorKings for PL BS 2'!H22</f>
        <v>2553617908.203125</v>
      </c>
      <c r="K70" s="658">
        <f>'WorKings for PL BS 2'!I22</f>
        <v>2182754078.2226567</v>
      </c>
      <c r="L70" s="89"/>
      <c r="M70" s="89"/>
    </row>
    <row r="71" spans="1:13" ht="31.5" customHeight="1">
      <c r="A71" s="92"/>
      <c r="D71" s="658"/>
      <c r="E71" s="658"/>
      <c r="F71" s="658"/>
      <c r="G71" s="658"/>
      <c r="H71" s="658"/>
      <c r="I71" s="658"/>
      <c r="J71" s="658"/>
      <c r="K71" s="658"/>
    </row>
    <row r="72" spans="1:13" ht="31.5" customHeight="1">
      <c r="A72" s="92" t="str">
        <f>IF('Final workings'!B20=0,"",NON CURRENT ASSETS)</f>
        <v/>
      </c>
      <c r="D72" s="658" t="str">
        <f>IF('Final workings'!B20=0,"",'Final workings'!B20)</f>
        <v/>
      </c>
      <c r="E72" s="658" t="str">
        <f>IF('Final workings'!C20=0,"",'Final workings'!C20)</f>
        <v/>
      </c>
      <c r="F72" s="658" t="str">
        <f>IF('Final workings'!D20=0,"",'Final workings'!D20)</f>
        <v/>
      </c>
      <c r="G72" s="658" t="str">
        <f>IF('Final workings'!E20=0,"",'Final workings'!E20)</f>
        <v/>
      </c>
      <c r="H72" s="658" t="str">
        <f>IF('Final workings'!F20=0,"",'Final workings'!F20)</f>
        <v/>
      </c>
      <c r="I72" s="658" t="str">
        <f>IF('Final workings'!G20=0,"",'Final workings'!G20)</f>
        <v/>
      </c>
      <c r="J72" s="658" t="str">
        <f>IF('Final workings'!H20=0,"",'Final workings'!H20)</f>
        <v/>
      </c>
      <c r="K72" s="658" t="str">
        <f>IF('Final workings'!I20=0,"",'Final workings'!I20)</f>
        <v/>
      </c>
      <c r="L72" s="89"/>
    </row>
    <row r="73" spans="1:13" ht="31.5" customHeight="1">
      <c r="A73" s="92"/>
      <c r="D73" s="658"/>
      <c r="E73" s="658"/>
      <c r="F73" s="658"/>
      <c r="G73" s="658"/>
      <c r="H73" s="658"/>
      <c r="I73" s="658"/>
      <c r="J73" s="658"/>
      <c r="K73" s="658"/>
    </row>
    <row r="74" spans="1:13" ht="42.75" customHeight="1">
      <c r="A74" s="92" t="s">
        <v>222</v>
      </c>
      <c r="B74" s="107"/>
      <c r="D74" s="658"/>
      <c r="E74" s="658"/>
      <c r="F74" s="658"/>
      <c r="G74" s="658"/>
      <c r="H74" s="658"/>
      <c r="I74" s="658"/>
      <c r="J74" s="658"/>
      <c r="K74" s="658"/>
    </row>
    <row r="75" spans="1:13" ht="42.75" customHeight="1">
      <c r="A75" s="92"/>
      <c r="B75" s="107"/>
      <c r="D75" s="658"/>
      <c r="E75" s="658"/>
      <c r="F75" s="658"/>
      <c r="G75" s="658"/>
      <c r="H75" s="658"/>
      <c r="I75" s="658"/>
      <c r="J75" s="658"/>
      <c r="K75" s="658"/>
    </row>
    <row r="76" spans="1:13" ht="42.75" customHeight="1">
      <c r="A76" s="90" t="str">
        <f>A25</f>
        <v>Closing stock / WIP</v>
      </c>
      <c r="B76" s="107"/>
      <c r="C76" s="89"/>
      <c r="D76" s="658">
        <f>'Final workings'!B9</f>
        <v>6669760000</v>
      </c>
      <c r="E76" s="658">
        <f>'Final workings'!C9</f>
        <v>58500000000</v>
      </c>
      <c r="F76" s="658">
        <f>'Final workings'!D9</f>
        <v>59085000000</v>
      </c>
      <c r="G76" s="658">
        <f>'Final workings'!E9</f>
        <v>59675850000</v>
      </c>
      <c r="H76" s="658">
        <f>'Final workings'!F9</f>
        <v>60272610000</v>
      </c>
      <c r="I76" s="658">
        <f>'Final workings'!G9</f>
        <v>60875330000</v>
      </c>
      <c r="J76" s="658">
        <f>'Final workings'!H9</f>
        <v>61484090000</v>
      </c>
      <c r="K76" s="658">
        <f>'Final workings'!I9</f>
        <v>62098930000</v>
      </c>
    </row>
    <row r="77" spans="1:13" ht="42.75" customHeight="1">
      <c r="B77" s="107"/>
      <c r="C77" s="89"/>
      <c r="D77" s="658"/>
      <c r="E77" s="658"/>
      <c r="F77" s="658"/>
      <c r="G77" s="658"/>
      <c r="H77" s="658"/>
      <c r="I77" s="658"/>
      <c r="J77" s="658"/>
      <c r="K77" s="658"/>
    </row>
    <row r="78" spans="1:13" ht="44.25" customHeight="1">
      <c r="A78" s="90" t="s">
        <v>514</v>
      </c>
      <c r="B78" s="91"/>
      <c r="D78" s="658">
        <f>'Final workings'!B19</f>
        <v>2478070000</v>
      </c>
      <c r="E78" s="658">
        <f>'Final workings'!C19</f>
        <v>-857360000</v>
      </c>
      <c r="F78" s="658">
        <f>'Final workings'!D19</f>
        <v>4922520000</v>
      </c>
      <c r="G78" s="658">
        <f>'Final workings'!E19</f>
        <v>5618720000</v>
      </c>
      <c r="H78" s="658">
        <f>'Final workings'!F19</f>
        <v>6356390000</v>
      </c>
      <c r="I78" s="658">
        <f>'Final workings'!G19</f>
        <v>7135510000</v>
      </c>
      <c r="J78" s="658">
        <f>'Final workings'!H19</f>
        <v>7956070000</v>
      </c>
      <c r="K78" s="658">
        <f>'Final workings'!I19</f>
        <v>8818070000</v>
      </c>
    </row>
    <row r="79" spans="1:13" ht="44.25" customHeight="1">
      <c r="B79" s="91"/>
      <c r="D79" s="658"/>
      <c r="E79" s="658"/>
      <c r="F79" s="658"/>
      <c r="G79" s="658"/>
      <c r="H79" s="658"/>
      <c r="I79" s="658"/>
      <c r="J79" s="658"/>
      <c r="K79" s="658"/>
    </row>
    <row r="80" spans="1:13" ht="41.25" customHeight="1">
      <c r="A80" s="90" t="s">
        <v>187</v>
      </c>
      <c r="C80" s="89"/>
      <c r="D80" s="658">
        <f>'Final workings'!B18</f>
        <v>4680810000</v>
      </c>
      <c r="E80" s="658">
        <f>'Final workings'!C18</f>
        <v>-1971930000</v>
      </c>
      <c r="F80" s="658">
        <f>'Final workings'!D18</f>
        <v>13872560000</v>
      </c>
      <c r="G80" s="658">
        <f>'Final workings'!E18</f>
        <v>17792610000</v>
      </c>
      <c r="H80" s="658">
        <f>'Final workings'!F18</f>
        <v>22002890000</v>
      </c>
      <c r="I80" s="658">
        <f>'Final workings'!G18</f>
        <v>27012990000</v>
      </c>
      <c r="J80" s="658">
        <f>'Final workings'!H18</f>
        <v>32354680000</v>
      </c>
      <c r="K80" s="658">
        <f>'Final workings'!I18</f>
        <v>37476810000</v>
      </c>
      <c r="M80" s="138"/>
    </row>
    <row r="81" spans="1:13" ht="41.25" customHeight="1">
      <c r="C81" s="89"/>
      <c r="D81" s="658"/>
      <c r="E81" s="658"/>
      <c r="F81" s="658"/>
      <c r="G81" s="658"/>
      <c r="H81" s="658"/>
      <c r="I81" s="658"/>
      <c r="J81" s="658"/>
      <c r="K81" s="658"/>
      <c r="M81" s="138"/>
    </row>
    <row r="82" spans="1:13" ht="51.75" customHeight="1" thickBot="1">
      <c r="C82" s="112"/>
      <c r="D82" s="665">
        <f>SUM(D70:D81)</f>
        <v>20411973333.333332</v>
      </c>
      <c r="E82" s="665">
        <f t="shared" ref="E82:K82" si="11">SUM(E70:E81)</f>
        <v>61289460000</v>
      </c>
      <c r="F82" s="665">
        <f t="shared" si="11"/>
        <v>82676642500</v>
      </c>
      <c r="G82" s="665">
        <f t="shared" si="11"/>
        <v>87182820625</v>
      </c>
      <c r="H82" s="665">
        <f t="shared" si="11"/>
        <v>92129890781.25</v>
      </c>
      <c r="I82" s="665">
        <f t="shared" si="11"/>
        <v>98012166289.0625</v>
      </c>
      <c r="J82" s="665">
        <f t="shared" si="11"/>
        <v>104348457908.20313</v>
      </c>
      <c r="K82" s="665">
        <f t="shared" si="11"/>
        <v>110576564078.22266</v>
      </c>
      <c r="M82" s="89"/>
    </row>
    <row r="83" spans="1:13" ht="26.4" thickTop="1">
      <c r="C83" s="89"/>
      <c r="D83" s="89"/>
      <c r="E83" s="89"/>
      <c r="F83" s="89"/>
      <c r="G83" s="89"/>
      <c r="H83" s="89"/>
      <c r="I83" s="89"/>
      <c r="J83" s="89"/>
      <c r="K83" s="89"/>
      <c r="M83" s="89"/>
    </row>
    <row r="84" spans="1:13" ht="18" customHeight="1" thickBot="1">
      <c r="A84" s="105"/>
      <c r="B84" s="105"/>
      <c r="C84" s="105"/>
      <c r="D84" s="105"/>
      <c r="E84" s="105"/>
      <c r="F84" s="105"/>
      <c r="G84" s="105"/>
      <c r="H84" s="105"/>
      <c r="I84" s="105"/>
      <c r="J84" s="105"/>
      <c r="K84" s="105"/>
    </row>
    <row r="85" spans="1:13" ht="31.5" customHeight="1">
      <c r="A85" s="93"/>
      <c r="B85" s="93"/>
      <c r="C85" s="138"/>
      <c r="M85" s="138"/>
    </row>
    <row r="86" spans="1:13" ht="25.5" customHeight="1">
      <c r="A86" s="93"/>
      <c r="B86" s="93"/>
      <c r="C86" s="93"/>
    </row>
    <row r="87" spans="1:13" ht="25.5" customHeight="1">
      <c r="A87" s="93"/>
      <c r="B87" s="93"/>
      <c r="C87" s="93"/>
    </row>
    <row r="88" spans="1:13" ht="25.5" customHeight="1">
      <c r="A88" s="93"/>
      <c r="B88" s="93"/>
      <c r="C88" s="93"/>
    </row>
    <row r="89" spans="1:13" ht="30" customHeight="1">
      <c r="A89" s="873" t="s">
        <v>901</v>
      </c>
      <c r="B89" s="873"/>
      <c r="C89" s="873"/>
      <c r="D89" s="873"/>
      <c r="E89" s="873"/>
      <c r="F89" s="873"/>
      <c r="G89" s="873"/>
      <c r="H89" s="873"/>
      <c r="I89" s="873"/>
      <c r="J89" s="873"/>
      <c r="K89" s="873"/>
    </row>
    <row r="90" spans="1:13" ht="95.25" customHeight="1" thickBot="1">
      <c r="A90" s="221" t="s">
        <v>14</v>
      </c>
      <c r="B90" s="221"/>
      <c r="C90" s="222"/>
      <c r="D90" s="674" t="str">
        <f>Assumptions!I78</f>
        <v>2024-25</v>
      </c>
      <c r="E90" s="675" t="str">
        <f>Assumptions!I79</f>
        <v>2025-26</v>
      </c>
      <c r="F90" s="675" t="str">
        <f>Assumptions!I80</f>
        <v>2026-27</v>
      </c>
      <c r="G90" s="675" t="str">
        <f>Assumptions!I81</f>
        <v>2027-28</v>
      </c>
      <c r="H90" s="675" t="str">
        <f>Assumptions!I82</f>
        <v>2028-29</v>
      </c>
      <c r="I90" s="675" t="str">
        <f>Assumptions!I83</f>
        <v>2029-30</v>
      </c>
      <c r="J90" s="675" t="str">
        <f>Assumptions!I84</f>
        <v>2030-31</v>
      </c>
      <c r="K90" s="675" t="str">
        <f>Assumptions!I85</f>
        <v>2031-32</v>
      </c>
    </row>
    <row r="91" spans="1:13" ht="26.4" thickTop="1"/>
    <row r="92" spans="1:13" ht="33.75" customHeight="1">
      <c r="A92" s="658" t="s">
        <v>240</v>
      </c>
      <c r="B92" s="658"/>
      <c r="C92" s="658"/>
      <c r="D92" s="658">
        <f>'Workings for PL BS 1'!D40</f>
        <v>605340000</v>
      </c>
      <c r="E92" s="658">
        <f>'Workings for PL BS 1'!E40</f>
        <v>590000000</v>
      </c>
      <c r="F92" s="658">
        <f>'Workings for PL BS 1'!F40</f>
        <v>590000000</v>
      </c>
      <c r="G92" s="658">
        <f>'Workings for PL BS 1'!G40</f>
        <v>590000000</v>
      </c>
      <c r="H92" s="658">
        <f>'Workings for PL BS 1'!H40</f>
        <v>590000000</v>
      </c>
      <c r="I92" s="658">
        <f>'Workings for PL BS 1'!I40</f>
        <v>590000000</v>
      </c>
      <c r="J92" s="658">
        <f>'Workings for PL BS 1'!J40</f>
        <v>590000000</v>
      </c>
      <c r="K92" s="658">
        <f>'Workings for PL BS 1'!K40</f>
        <v>590000000</v>
      </c>
    </row>
    <row r="93" spans="1:13">
      <c r="A93" s="658"/>
      <c r="B93" s="658"/>
      <c r="C93" s="658"/>
      <c r="D93" s="658"/>
      <c r="E93" s="658"/>
      <c r="F93" s="658"/>
      <c r="G93" s="658"/>
      <c r="H93" s="658"/>
      <c r="I93" s="658"/>
      <c r="J93" s="658"/>
      <c r="K93" s="658"/>
    </row>
    <row r="94" spans="1:13" ht="33.75" customHeight="1">
      <c r="A94" s="658" t="str">
        <f>IF('Final workings'!B10=0,"",'Workings for PL BS 1'!A41)</f>
        <v>Employee Related Expenses</v>
      </c>
      <c r="B94" s="658"/>
      <c r="C94" s="658"/>
      <c r="D94" s="658">
        <f>IF('Final workings'!B10=0,"",'Final workings'!B10)</f>
        <v>1310000</v>
      </c>
      <c r="E94" s="658">
        <f>IF('Final workings'!B10=0,"",'Final workings'!C10)</f>
        <v>1570000</v>
      </c>
      <c r="F94" s="658">
        <f>IF('Final workings'!B10=0,"",'Final workings'!D10)</f>
        <v>1650000</v>
      </c>
      <c r="G94" s="658">
        <f>IF('Final workings'!B10=0,"",'Final workings'!E10)</f>
        <v>1650000</v>
      </c>
      <c r="H94" s="658">
        <f>IF('Final workings'!B10=0,"",'Final workings'!F10)</f>
        <v>1730000</v>
      </c>
      <c r="I94" s="658">
        <f>IF('Final workings'!B10=0,"",'Final workings'!G10)</f>
        <v>1820000</v>
      </c>
      <c r="J94" s="658">
        <f>IF('Final workings'!B10=0,"",'Final workings'!H10)</f>
        <v>1910000</v>
      </c>
      <c r="K94" s="658">
        <f>IF('Final workings'!B10=0,"",'Final workings'!I10)</f>
        <v>2010000</v>
      </c>
    </row>
    <row r="95" spans="1:13" ht="33.75" customHeight="1">
      <c r="A95" s="658"/>
      <c r="B95" s="658"/>
      <c r="C95" s="658"/>
      <c r="D95" s="658"/>
      <c r="E95" s="658"/>
      <c r="F95" s="658"/>
      <c r="G95" s="658"/>
      <c r="H95" s="658"/>
      <c r="I95" s="658"/>
      <c r="J95" s="658"/>
      <c r="K95" s="658"/>
    </row>
    <row r="96" spans="1:13" ht="33.75" customHeight="1">
      <c r="A96" s="658" t="str">
        <f>IF('Final workings'!B11=0,"",'Workings for PL BS 1'!A42)</f>
        <v/>
      </c>
      <c r="B96" s="658"/>
      <c r="C96" s="658"/>
      <c r="D96" s="658" t="str">
        <f>IF('Final workings'!B11=0,"",'Final workings'!B11)</f>
        <v/>
      </c>
      <c r="E96" s="658" t="str">
        <f>IF('Final workings'!B11=0,"",'Final workings'!C11)</f>
        <v/>
      </c>
      <c r="F96" s="658" t="str">
        <f>IF('Final workings'!B11=0,"",'Final workings'!D11)</f>
        <v/>
      </c>
      <c r="G96" s="658" t="str">
        <f>IF('Final workings'!B11=0,"",'Final workings'!E11)</f>
        <v/>
      </c>
      <c r="H96" s="658" t="str">
        <f>IF('Final workings'!B11=0,"",'Final workings'!F11)</f>
        <v/>
      </c>
      <c r="I96" s="658" t="str">
        <f>IF('Final workings'!B11=0,"",'Final workings'!G11)</f>
        <v/>
      </c>
      <c r="J96" s="658" t="str">
        <f>IF('Final workings'!B11=0,"",'Final workings'!H11)</f>
        <v/>
      </c>
      <c r="K96" s="658" t="str">
        <f>IF('Final workings'!B11=0,"",'Final workings'!I11)</f>
        <v/>
      </c>
    </row>
    <row r="97" spans="1:11" ht="33.75" customHeight="1">
      <c r="A97" s="658"/>
      <c r="B97" s="658"/>
      <c r="C97" s="658"/>
      <c r="D97" s="658"/>
      <c r="E97" s="658"/>
      <c r="F97" s="658"/>
      <c r="G97" s="658"/>
      <c r="H97" s="658"/>
      <c r="I97" s="658"/>
      <c r="J97" s="658"/>
      <c r="K97" s="658"/>
    </row>
    <row r="98" spans="1:11" ht="36.75" customHeight="1">
      <c r="A98" s="658" t="str">
        <f>IF('Final workings'!B12=0,"",'Workings for PL BS 1'!A43)</f>
        <v/>
      </c>
      <c r="B98" s="658"/>
      <c r="C98" s="658"/>
      <c r="D98" s="658" t="str">
        <f>IF('Final workings'!B12=0,"",'Final workings'!B12)</f>
        <v/>
      </c>
      <c r="E98" s="658" t="str">
        <f>IF('Final workings'!B12=0,"",'Final workings'!C12)</f>
        <v/>
      </c>
      <c r="F98" s="658" t="str">
        <f>IF('Final workings'!B12=0,"",'Final workings'!D12)</f>
        <v/>
      </c>
      <c r="G98" s="658" t="str">
        <f>IF('Final workings'!B12=0,"",'Final workings'!E12)</f>
        <v/>
      </c>
      <c r="H98" s="658" t="str">
        <f>IF('Final workings'!B12=0,"",'Final workings'!F12)</f>
        <v/>
      </c>
      <c r="I98" s="658" t="str">
        <f>IF('Final workings'!B12=0,"",'Final workings'!G12)</f>
        <v/>
      </c>
      <c r="J98" s="658" t="str">
        <f>IF('Final workings'!B12=0,"",'Final workings'!H12)</f>
        <v/>
      </c>
      <c r="K98" s="658" t="str">
        <f>IF('Final workings'!B12=0,"",'Final workings'!I12)</f>
        <v/>
      </c>
    </row>
    <row r="99" spans="1:11" ht="36.75" customHeight="1">
      <c r="A99" s="658"/>
      <c r="B99" s="658"/>
      <c r="C99" s="658"/>
      <c r="D99" s="658"/>
      <c r="E99" s="658"/>
      <c r="F99" s="658"/>
      <c r="G99" s="658"/>
      <c r="H99" s="658"/>
      <c r="I99" s="658"/>
      <c r="J99" s="658"/>
      <c r="K99" s="658"/>
    </row>
    <row r="100" spans="1:11">
      <c r="A100" s="658" t="str">
        <f>IF('Final workings'!B13=0,"",'Workings for PL BS 1'!A44)</f>
        <v/>
      </c>
      <c r="B100" s="658"/>
      <c r="C100" s="658"/>
      <c r="D100" s="658" t="str">
        <f>IF('Final workings'!B13=0,"",'Final workings'!B13)</f>
        <v/>
      </c>
      <c r="E100" s="658" t="str">
        <f>IF('Final workings'!B13=0,"",'Final workings'!C13)</f>
        <v/>
      </c>
      <c r="F100" s="658" t="str">
        <f>IF('Final workings'!B13=0,"",'Final workings'!D13)</f>
        <v/>
      </c>
      <c r="G100" s="658" t="str">
        <f>IF('Final workings'!B13=0,"",'Final workings'!E13)</f>
        <v/>
      </c>
      <c r="H100" s="658" t="str">
        <f>IF('Final workings'!B13=0,"",'Final workings'!F13)</f>
        <v/>
      </c>
      <c r="I100" s="658" t="str">
        <f>IF('Final workings'!B13=0,"",'Final workings'!G13)</f>
        <v/>
      </c>
      <c r="J100" s="658" t="str">
        <f>IF('Final workings'!B13=0,"",'Final workings'!H13)</f>
        <v/>
      </c>
      <c r="K100" s="658" t="str">
        <f>IF('Final workings'!B13=0,"",'Final workings'!I13)</f>
        <v/>
      </c>
    </row>
    <row r="101" spans="1:11" ht="33.75" customHeight="1">
      <c r="A101" s="658"/>
      <c r="B101" s="658"/>
      <c r="C101" s="658"/>
      <c r="D101" s="658"/>
      <c r="E101" s="658"/>
      <c r="F101" s="658"/>
      <c r="G101" s="658"/>
      <c r="H101" s="658"/>
      <c r="I101" s="658"/>
      <c r="J101" s="658"/>
      <c r="K101" s="658"/>
    </row>
    <row r="102" spans="1:11" ht="33.75" customHeight="1">
      <c r="A102" s="658" t="str">
        <f>IF('Final workings'!B14=0,"",'Workings for PL BS 1'!A45)</f>
        <v/>
      </c>
      <c r="B102" s="658"/>
      <c r="C102" s="658"/>
      <c r="D102" s="658" t="str">
        <f>IF('Final workings'!B14=0,"",'Final workings'!B14)</f>
        <v/>
      </c>
      <c r="E102" s="658" t="str">
        <f>IF('Final workings'!B14=0,"",'Final workings'!C14)</f>
        <v/>
      </c>
      <c r="F102" s="658" t="str">
        <f>IF('Final workings'!B14=0,"",'Final workings'!D14)</f>
        <v/>
      </c>
      <c r="G102" s="658" t="str">
        <f>IF('Final workings'!B14=0,"",'Final workings'!E14)</f>
        <v/>
      </c>
      <c r="H102" s="658" t="str">
        <f>IF('Final workings'!B14=0,"",'Final workings'!F14)</f>
        <v/>
      </c>
      <c r="I102" s="658" t="str">
        <f>IF('Final workings'!B14=0,"",'Final workings'!G14)</f>
        <v/>
      </c>
      <c r="J102" s="658" t="str">
        <f>IF('Final workings'!B14=0,"",'Final workings'!H14)</f>
        <v/>
      </c>
      <c r="K102" s="658" t="str">
        <f>IF('Final workings'!B14=0,"",'Final workings'!I14)</f>
        <v/>
      </c>
    </row>
    <row r="103" spans="1:11" ht="33.75" customHeight="1">
      <c r="A103" s="658"/>
      <c r="B103" s="658"/>
      <c r="C103" s="658"/>
      <c r="D103" s="658"/>
      <c r="E103" s="658"/>
      <c r="F103" s="658"/>
      <c r="G103" s="658"/>
      <c r="H103" s="658"/>
      <c r="I103" s="658"/>
      <c r="J103" s="658"/>
      <c r="K103" s="658"/>
    </row>
    <row r="104" spans="1:11" ht="33.75" customHeight="1">
      <c r="A104" s="658"/>
      <c r="B104" s="658"/>
      <c r="C104" s="658"/>
      <c r="D104" s="658"/>
      <c r="E104" s="658"/>
      <c r="F104" s="658"/>
      <c r="G104" s="658"/>
      <c r="H104" s="658"/>
      <c r="I104" s="658"/>
      <c r="J104" s="658"/>
      <c r="K104" s="658"/>
    </row>
    <row r="105" spans="1:11" ht="33.75" customHeight="1">
      <c r="A105" s="658"/>
      <c r="B105" s="658"/>
      <c r="C105" s="658"/>
      <c r="D105" s="658"/>
      <c r="E105" s="658"/>
      <c r="F105" s="658"/>
      <c r="G105" s="658"/>
      <c r="H105" s="658"/>
      <c r="I105" s="658"/>
      <c r="J105" s="658"/>
      <c r="K105" s="658"/>
    </row>
    <row r="106" spans="1:11" ht="50.25" customHeight="1" thickBot="1">
      <c r="A106" s="658"/>
      <c r="B106" s="658"/>
      <c r="C106" s="664"/>
      <c r="D106" s="664">
        <f>SUM(D91:D105)</f>
        <v>606650000</v>
      </c>
      <c r="E106" s="664">
        <f t="shared" ref="E106:K106" si="12">SUM(E91:E105)</f>
        <v>591570000</v>
      </c>
      <c r="F106" s="664">
        <f t="shared" si="12"/>
        <v>591650000</v>
      </c>
      <c r="G106" s="664">
        <f t="shared" si="12"/>
        <v>591650000</v>
      </c>
      <c r="H106" s="664">
        <f t="shared" si="12"/>
        <v>591730000</v>
      </c>
      <c r="I106" s="664">
        <f t="shared" si="12"/>
        <v>591820000</v>
      </c>
      <c r="J106" s="664">
        <f t="shared" si="12"/>
        <v>591910000</v>
      </c>
      <c r="K106" s="664">
        <f t="shared" si="12"/>
        <v>592010000</v>
      </c>
    </row>
    <row r="107" spans="1:11" ht="41.25" customHeight="1" thickTop="1">
      <c r="A107" s="658"/>
      <c r="B107" s="658"/>
      <c r="C107" s="666"/>
      <c r="D107" s="658"/>
      <c r="E107" s="658"/>
      <c r="F107" s="658"/>
      <c r="G107" s="658"/>
      <c r="H107" s="658"/>
      <c r="I107" s="658"/>
      <c r="J107" s="658"/>
      <c r="K107" s="658"/>
    </row>
    <row r="108" spans="1:11" ht="41.25" customHeight="1">
      <c r="A108" s="658"/>
      <c r="B108" s="658"/>
      <c r="C108" s="666"/>
      <c r="D108" s="658"/>
      <c r="E108" s="658"/>
      <c r="F108" s="658"/>
      <c r="G108" s="658"/>
      <c r="H108" s="658"/>
      <c r="I108" s="658"/>
      <c r="J108" s="658"/>
      <c r="K108" s="658"/>
    </row>
    <row r="109" spans="1:11" ht="40.5" customHeight="1">
      <c r="A109" s="874" t="s">
        <v>24</v>
      </c>
      <c r="B109" s="874"/>
      <c r="C109" s="874"/>
      <c r="D109" s="874"/>
      <c r="E109" s="874"/>
      <c r="F109" s="874"/>
      <c r="G109" s="874"/>
      <c r="H109" s="874"/>
      <c r="I109" s="874"/>
      <c r="J109" s="874"/>
      <c r="K109" s="874"/>
    </row>
    <row r="110" spans="1:11" ht="94.5" customHeight="1" thickBot="1">
      <c r="A110" s="667" t="s">
        <v>14</v>
      </c>
      <c r="B110" s="667"/>
      <c r="C110" s="668"/>
      <c r="D110" s="672" t="str">
        <f>Assumptions!I78</f>
        <v>2024-25</v>
      </c>
      <c r="E110" s="673" t="str">
        <f>Assumptions!I79</f>
        <v>2025-26</v>
      </c>
      <c r="F110" s="673" t="str">
        <f>Assumptions!I80</f>
        <v>2026-27</v>
      </c>
      <c r="G110" s="673" t="str">
        <f>Assumptions!I81</f>
        <v>2027-28</v>
      </c>
      <c r="H110" s="673" t="str">
        <f>Assumptions!I82</f>
        <v>2028-29</v>
      </c>
      <c r="I110" s="673" t="str">
        <f>Assumptions!I83</f>
        <v>2029-30</v>
      </c>
      <c r="J110" s="673" t="str">
        <f>Assumptions!I84</f>
        <v>2030-31</v>
      </c>
      <c r="K110" s="673" t="str">
        <f>Assumptions!I85</f>
        <v>2031-32</v>
      </c>
    </row>
    <row r="111" spans="1:11" ht="32.25" customHeight="1" thickTop="1">
      <c r="A111" s="669"/>
      <c r="B111" s="669"/>
      <c r="C111" s="670"/>
      <c r="D111" s="670"/>
      <c r="E111" s="670"/>
      <c r="F111" s="670"/>
      <c r="G111" s="658"/>
      <c r="H111" s="658"/>
      <c r="I111" s="658"/>
      <c r="J111" s="658"/>
      <c r="K111" s="658"/>
    </row>
    <row r="112" spans="1:11" ht="33" customHeight="1">
      <c r="A112" s="658"/>
      <c r="B112" s="658"/>
      <c r="C112" s="671"/>
      <c r="D112" s="671"/>
      <c r="E112" s="671"/>
      <c r="F112" s="671"/>
      <c r="G112" s="658"/>
      <c r="H112" s="658"/>
      <c r="I112" s="658"/>
      <c r="J112" s="658"/>
      <c r="K112" s="658"/>
    </row>
    <row r="113" spans="1:11" ht="34.5" customHeight="1">
      <c r="A113" s="658" t="s">
        <v>219</v>
      </c>
      <c r="B113" s="658"/>
      <c r="C113" s="671"/>
      <c r="D113" s="671">
        <f>'WorKings for PL BS 2'!B5</f>
        <v>594124999.99999964</v>
      </c>
      <c r="E113" s="671">
        <f>'WorKings for PL BS 2'!C5</f>
        <v>447124999.99999952</v>
      </c>
      <c r="F113" s="671">
        <f>'WorKings for PL BS 2'!D5</f>
        <v>300124999.99999958</v>
      </c>
      <c r="G113" s="671">
        <f>'WorKings for PL BS 2'!E5</f>
        <v>153124999.99999967</v>
      </c>
      <c r="H113" s="671">
        <f>'WorKings for PL BS 2'!F5</f>
        <v>21437499.999999836</v>
      </c>
      <c r="I113" s="671">
        <f>'WorKings for PL BS 2'!G5</f>
        <v>0</v>
      </c>
      <c r="J113" s="671">
        <f>'WorKings for PL BS 2'!H5</f>
        <v>0</v>
      </c>
      <c r="K113" s="671">
        <f>'WorKings for PL BS 2'!I5</f>
        <v>0</v>
      </c>
    </row>
    <row r="114" spans="1:11" ht="34.5" customHeight="1">
      <c r="A114" s="658"/>
      <c r="B114" s="658"/>
      <c r="C114" s="671"/>
      <c r="D114" s="671"/>
      <c r="E114" s="671"/>
      <c r="F114" s="671"/>
      <c r="G114" s="671"/>
      <c r="H114" s="671"/>
      <c r="I114" s="671"/>
      <c r="J114" s="671"/>
      <c r="K114" s="671"/>
    </row>
    <row r="115" spans="1:11" ht="34.5" customHeight="1">
      <c r="A115" s="658" t="s">
        <v>372</v>
      </c>
      <c r="B115" s="658"/>
      <c r="C115" s="671"/>
      <c r="D115" s="671">
        <f>'WorKings for PL BS 2'!B6</f>
        <v>4500000000</v>
      </c>
      <c r="E115" s="671">
        <f>'WorKings for PL BS 2'!C6</f>
        <v>5426999999.999999</v>
      </c>
      <c r="F115" s="671">
        <f>'WorKings for PL BS 2'!D6</f>
        <v>5426999999.999999</v>
      </c>
      <c r="G115" s="671">
        <f>'WorKings for PL BS 2'!E6</f>
        <v>5454134999.9999981</v>
      </c>
      <c r="H115" s="671">
        <f>'WorKings for PL BS 2'!F6</f>
        <v>5481405674.9999971</v>
      </c>
      <c r="I115" s="671">
        <f>'WorKings for PL BS 2'!G6</f>
        <v>5508812703.3749962</v>
      </c>
      <c r="J115" s="671">
        <f>'WorKings for PL BS 2'!H6</f>
        <v>5536356766.8918705</v>
      </c>
      <c r="K115" s="671">
        <f>'WorKings for PL BS 2'!I6</f>
        <v>5564038550.7263288</v>
      </c>
    </row>
    <row r="116" spans="1:11" ht="34.5" customHeight="1">
      <c r="A116" s="658"/>
      <c r="B116" s="658"/>
      <c r="C116" s="671"/>
      <c r="D116" s="671"/>
      <c r="E116" s="671"/>
      <c r="F116" s="671"/>
      <c r="G116" s="671"/>
      <c r="H116" s="671"/>
      <c r="I116" s="671"/>
      <c r="J116" s="671"/>
      <c r="K116" s="671"/>
    </row>
    <row r="117" spans="1:11" ht="34.5" customHeight="1">
      <c r="A117" s="658"/>
      <c r="B117" s="658"/>
      <c r="C117" s="671"/>
      <c r="D117" s="671"/>
      <c r="E117" s="671"/>
      <c r="F117" s="671"/>
      <c r="G117" s="671"/>
      <c r="H117" s="671"/>
      <c r="I117" s="671"/>
      <c r="J117" s="671"/>
      <c r="K117" s="671"/>
    </row>
    <row r="118" spans="1:11" ht="34.5" customHeight="1">
      <c r="A118" s="658"/>
      <c r="B118" s="658"/>
      <c r="C118" s="671"/>
      <c r="D118" s="671"/>
      <c r="E118" s="671"/>
      <c r="F118" s="658"/>
      <c r="G118" s="658"/>
      <c r="H118" s="658"/>
      <c r="I118" s="658"/>
      <c r="J118" s="658"/>
      <c r="K118" s="658"/>
    </row>
    <row r="119" spans="1:11" ht="46.5" customHeight="1" thickBot="1">
      <c r="A119" s="658"/>
      <c r="B119" s="658"/>
      <c r="C119" s="664"/>
      <c r="D119" s="664">
        <f>SUM(D112:D117)</f>
        <v>5094125000</v>
      </c>
      <c r="E119" s="664">
        <f t="shared" ref="E119:K119" si="13">SUM(E112:E117)</f>
        <v>5874124999.9999981</v>
      </c>
      <c r="F119" s="664">
        <f t="shared" si="13"/>
        <v>5727124999.999999</v>
      </c>
      <c r="G119" s="664">
        <f t="shared" si="13"/>
        <v>5607259999.9999981</v>
      </c>
      <c r="H119" s="664">
        <f t="shared" si="13"/>
        <v>5502843174.9999971</v>
      </c>
      <c r="I119" s="664">
        <f t="shared" si="13"/>
        <v>5508812703.3749962</v>
      </c>
      <c r="J119" s="664">
        <f t="shared" si="13"/>
        <v>5536356766.8918705</v>
      </c>
      <c r="K119" s="664">
        <f t="shared" si="13"/>
        <v>5564038550.7263288</v>
      </c>
    </row>
    <row r="120" spans="1:11" ht="25.5" customHeight="1" thickTop="1">
      <c r="C120" s="94"/>
    </row>
    <row r="121" spans="1:11" ht="25.5" customHeight="1">
      <c r="C121" s="89"/>
      <c r="D121" s="89"/>
      <c r="E121" s="89"/>
      <c r="F121" s="89"/>
      <c r="G121" s="89"/>
      <c r="H121" s="89"/>
      <c r="I121" s="89"/>
      <c r="J121" s="89"/>
      <c r="K121" s="89"/>
    </row>
    <row r="122" spans="1:11">
      <c r="D122" s="89"/>
      <c r="E122" s="89"/>
      <c r="F122" s="89"/>
      <c r="G122" s="89"/>
      <c r="H122" s="89"/>
      <c r="I122" s="89"/>
      <c r="J122" s="89"/>
      <c r="K122" s="89"/>
    </row>
  </sheetData>
  <mergeCells count="16">
    <mergeCell ref="A89:K89"/>
    <mergeCell ref="A109:K109"/>
    <mergeCell ref="A45:K45"/>
    <mergeCell ref="A46:K46"/>
    <mergeCell ref="A47:K47"/>
    <mergeCell ref="A49:K49"/>
    <mergeCell ref="A50:A51"/>
    <mergeCell ref="B50:B51"/>
    <mergeCell ref="A54:B55"/>
    <mergeCell ref="A1:K1"/>
    <mergeCell ref="A2:K2"/>
    <mergeCell ref="A3:K3"/>
    <mergeCell ref="A4:G4"/>
    <mergeCell ref="A5:K5"/>
    <mergeCell ref="A6:A7"/>
    <mergeCell ref="B6:B7"/>
  </mergeCells>
  <pageMargins left="0.15748031496062992" right="0.15748031496062992" top="0.35433070866141736" bottom="0.74803149606299213" header="0.31496062992125984" footer="0.31496062992125984"/>
  <pageSetup scale="30" orientation="portrait" horizontalDpi="0" verticalDpi="0" r:id="rId1"/>
  <rowBreaks count="2" manualBreakCount="2">
    <brk id="44" max="11" man="1"/>
    <brk id="85" max="11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A0CC5-4A6A-46D2-B164-007537E3B3BF}">
  <sheetPr codeName="Sheet13"/>
  <dimension ref="A1:J122"/>
  <sheetViews>
    <sheetView view="pageBreakPreview" topLeftCell="A85" zoomScale="85" zoomScaleNormal="100" zoomScaleSheetLayoutView="85" workbookViewId="0">
      <selection activeCell="P9" sqref="P9"/>
    </sheetView>
  </sheetViews>
  <sheetFormatPr defaultColWidth="9.21875" defaultRowHeight="14.4"/>
  <cols>
    <col min="1" max="1" width="27.5546875" style="2" customWidth="1"/>
    <col min="2" max="2" width="5.21875" style="2" customWidth="1"/>
    <col min="3" max="3" width="13.21875" style="2" customWidth="1"/>
    <col min="4" max="4" width="12.44140625" style="2" customWidth="1"/>
    <col min="5" max="5" width="12.21875" style="2" customWidth="1"/>
    <col min="6" max="6" width="12.44140625" style="2" customWidth="1"/>
    <col min="7" max="7" width="12.21875" style="2" customWidth="1"/>
    <col min="8" max="8" width="12" style="2" customWidth="1"/>
    <col min="9" max="10" width="11" style="2" customWidth="1"/>
    <col min="11" max="11" width="1.77734375" style="2" customWidth="1"/>
    <col min="12" max="16384" width="9.21875" style="2"/>
  </cols>
  <sheetData>
    <row r="1" spans="1:10">
      <c r="A1" s="855" t="str">
        <f>Assumptions!I17</f>
        <v>Doe Textiles</v>
      </c>
      <c r="B1" s="855"/>
      <c r="C1" s="855"/>
      <c r="D1" s="855"/>
      <c r="E1" s="855"/>
      <c r="F1" s="855"/>
      <c r="G1" s="855"/>
      <c r="H1" s="855"/>
      <c r="I1" s="855"/>
      <c r="J1" s="855"/>
    </row>
    <row r="2" spans="1:10">
      <c r="A2" s="855" t="str">
        <f>Assumptions!I8</f>
        <v>John Doe</v>
      </c>
      <c r="B2" s="855"/>
      <c r="C2" s="855"/>
      <c r="D2" s="855"/>
      <c r="E2" s="855"/>
      <c r="F2" s="855"/>
      <c r="G2" s="855"/>
      <c r="H2" s="855"/>
      <c r="I2" s="855"/>
      <c r="J2" s="855"/>
    </row>
    <row r="3" spans="1:10">
      <c r="A3" s="855" t="str">
        <f>Assumptions!I16</f>
        <v>123 Industrial Area, City</v>
      </c>
      <c r="B3" s="855"/>
      <c r="C3" s="855"/>
      <c r="D3" s="855"/>
      <c r="E3" s="855"/>
      <c r="F3" s="855"/>
      <c r="G3" s="855"/>
      <c r="H3" s="855"/>
      <c r="I3" s="855"/>
      <c r="J3" s="855"/>
    </row>
    <row r="5" spans="1:10">
      <c r="A5" s="876" t="s">
        <v>12</v>
      </c>
      <c r="B5" s="876"/>
      <c r="C5" s="876"/>
      <c r="D5" s="876"/>
      <c r="E5" s="876"/>
      <c r="F5" s="876"/>
      <c r="G5" s="876"/>
      <c r="H5" s="876"/>
      <c r="I5" s="876"/>
      <c r="J5" s="876"/>
    </row>
    <row r="6" spans="1:10">
      <c r="A6" s="1"/>
      <c r="B6" s="1"/>
      <c r="C6" s="1"/>
      <c r="D6" s="1"/>
      <c r="E6" s="1"/>
      <c r="F6" s="1"/>
    </row>
    <row r="7" spans="1:10">
      <c r="A7" s="66" t="s">
        <v>184</v>
      </c>
    </row>
    <row r="8" spans="1:10">
      <c r="B8" s="877" t="s">
        <v>306</v>
      </c>
      <c r="C8" s="877"/>
      <c r="D8" s="877"/>
      <c r="E8" s="877"/>
      <c r="F8" s="877"/>
      <c r="G8" s="877"/>
      <c r="H8" s="877"/>
      <c r="I8" s="877"/>
      <c r="J8" s="877"/>
    </row>
    <row r="9" spans="1:10" ht="40.5" customHeight="1" thickBot="1">
      <c r="A9" s="224" t="s">
        <v>16</v>
      </c>
      <c r="B9" s="225"/>
      <c r="C9" s="225" t="str">
        <f>IF(Assumptions!I62=0,"",'Workings for PL BS 1'!D4)</f>
        <v>2024-25</v>
      </c>
      <c r="D9" s="226" t="str">
        <f>IF(Assumptions!I63=0,"",Assumptions!I79)</f>
        <v>2025-26</v>
      </c>
      <c r="E9" s="226" t="str">
        <f>'Workings for PL BS 1'!F4</f>
        <v>2026-27</v>
      </c>
      <c r="F9" s="226" t="str">
        <f>'Workings for PL BS 1'!G4</f>
        <v>2027-28</v>
      </c>
      <c r="G9" s="226" t="str">
        <f>'Workings for PL BS 1'!H4</f>
        <v>2028-29</v>
      </c>
      <c r="H9" s="226" t="str">
        <f>'Workings for PL BS 1'!I4</f>
        <v>2029-30</v>
      </c>
      <c r="I9" s="226" t="str">
        <f>'Workings for PL BS 1'!J4</f>
        <v>2030-31</v>
      </c>
      <c r="J9" s="226" t="str">
        <f>'Workings for PL BS 1'!K4</f>
        <v>2031-32</v>
      </c>
    </row>
    <row r="11" spans="1:10">
      <c r="A11" s="2" t="s">
        <v>125</v>
      </c>
      <c r="B11" s="17"/>
      <c r="C11" s="17">
        <f>IF('Final workings'!B7&lt;=0,"",RATIO!C16/RATIO!C23)</f>
        <v>1.7500001924816662</v>
      </c>
      <c r="D11" s="17" t="str">
        <f>IF('Final workings'!C7&lt;=0,"",D16/D23)</f>
        <v/>
      </c>
      <c r="E11" s="17">
        <f t="shared" ref="E11:J11" si="0">E16/E23</f>
        <v>2.1433130469859871</v>
      </c>
      <c r="F11" s="17">
        <f t="shared" si="0"/>
        <v>2.283784246624216</v>
      </c>
      <c r="G11" s="17">
        <f t="shared" si="0"/>
        <v>2.6972292427818809</v>
      </c>
      <c r="H11" s="17">
        <f t="shared" si="0"/>
        <v>3.169083964191477</v>
      </c>
      <c r="I11" s="17">
        <f t="shared" si="0"/>
        <v>3.2847088375428704</v>
      </c>
      <c r="J11" s="17">
        <f t="shared" si="0"/>
        <v>3.3990993821441329</v>
      </c>
    </row>
    <row r="13" spans="1:10">
      <c r="A13" s="2" t="s">
        <v>181</v>
      </c>
      <c r="E13" s="8"/>
    </row>
    <row r="14" spans="1:10">
      <c r="A14" s="2" t="s">
        <v>127</v>
      </c>
      <c r="B14" s="17"/>
      <c r="C14" s="17"/>
      <c r="D14" s="17"/>
      <c r="E14" s="17"/>
      <c r="F14" s="17"/>
      <c r="G14" s="17"/>
      <c r="H14" s="17"/>
      <c r="I14" s="17"/>
      <c r="J14" s="17"/>
    </row>
    <row r="15" spans="1:10">
      <c r="B15" s="17"/>
      <c r="C15" s="17"/>
      <c r="D15" s="17"/>
      <c r="E15" s="17"/>
      <c r="F15" s="17"/>
      <c r="G15" s="17"/>
      <c r="H15" s="17"/>
      <c r="I15" s="17"/>
      <c r="J15" s="17"/>
    </row>
    <row r="16" spans="1:10" ht="34.5" customHeight="1">
      <c r="A16" s="146" t="s">
        <v>128</v>
      </c>
      <c r="B16" s="11"/>
      <c r="C16" s="11">
        <f>'PL BS'!D33</f>
        <v>11364720000</v>
      </c>
      <c r="D16" s="11">
        <f>'PL BS'!E33</f>
        <v>14548260000</v>
      </c>
      <c r="E16" s="11">
        <f>'PL BS'!F33</f>
        <v>15275660000</v>
      </c>
      <c r="F16" s="11">
        <f>'PL BS'!G33</f>
        <v>16003070000</v>
      </c>
      <c r="G16" s="11">
        <f>'PL BS'!H33</f>
        <v>16730490000</v>
      </c>
      <c r="H16" s="11">
        <f>'PL BS'!I33</f>
        <v>17457890000</v>
      </c>
      <c r="I16" s="11">
        <f>'PL BS'!J33</f>
        <v>18185320000</v>
      </c>
      <c r="J16" s="11">
        <f>'PL BS'!K33</f>
        <v>18912720000</v>
      </c>
    </row>
    <row r="17" spans="1:10">
      <c r="B17" s="17"/>
      <c r="C17" s="17"/>
      <c r="D17" s="17"/>
      <c r="E17" s="17"/>
      <c r="F17" s="17"/>
      <c r="G17" s="17"/>
      <c r="H17" s="17"/>
      <c r="I17" s="17"/>
      <c r="J17" s="17"/>
    </row>
    <row r="18" spans="1:10">
      <c r="A18" s="19" t="s">
        <v>129</v>
      </c>
      <c r="B18" s="17"/>
      <c r="C18" s="17"/>
      <c r="D18" s="17"/>
      <c r="E18" s="17"/>
      <c r="F18" s="17"/>
      <c r="G18" s="17"/>
      <c r="H18" s="17"/>
      <c r="I18" s="17"/>
      <c r="J18" s="17"/>
    </row>
    <row r="19" spans="1:10">
      <c r="B19" s="17"/>
    </row>
    <row r="20" spans="1:10">
      <c r="A20" s="2" t="s">
        <v>130</v>
      </c>
      <c r="B20" s="14"/>
      <c r="C20" s="14">
        <f>'WorKings for PL BS 2'!B7</f>
        <v>5094125000</v>
      </c>
      <c r="D20" s="14">
        <f>'WorKings for PL BS 2'!C7</f>
        <v>5874124999.9999981</v>
      </c>
      <c r="E20" s="14">
        <f>'WorKings for PL BS 2'!D7</f>
        <v>5727124999.999999</v>
      </c>
      <c r="F20" s="14">
        <f>'WorKings for PL BS 2'!E7</f>
        <v>5607259999.9999981</v>
      </c>
      <c r="G20" s="14">
        <f>'WorKings for PL BS 2'!F7</f>
        <v>5502843174.9999971</v>
      </c>
      <c r="H20" s="14">
        <f>'WorKings for PL BS 2'!G7</f>
        <v>5508812703.3749962</v>
      </c>
      <c r="I20" s="14">
        <f>'WorKings for PL BS 2'!H7</f>
        <v>5536356766.8918705</v>
      </c>
      <c r="J20" s="14">
        <f>'WorKings for PL BS 2'!I7</f>
        <v>5564038550.7263288</v>
      </c>
    </row>
    <row r="21" spans="1:10">
      <c r="A21" s="2" t="s">
        <v>131</v>
      </c>
      <c r="B21" s="14"/>
      <c r="C21" s="14">
        <f>'WorKings for PL BS 2'!B10</f>
        <v>1400000000</v>
      </c>
      <c r="D21" s="14">
        <f>'WorKings for PL BS 2'!C10</f>
        <v>1400000000</v>
      </c>
      <c r="E21" s="14">
        <f>'WorKings for PL BS 2'!D10</f>
        <v>1400000000</v>
      </c>
      <c r="F21" s="14">
        <f>'WorKings for PL BS 2'!E10</f>
        <v>1400000000</v>
      </c>
      <c r="G21" s="14">
        <f>'WorKings for PL BS 2'!F10</f>
        <v>700000000</v>
      </c>
      <c r="H21" s="14">
        <f>'WorKings for PL BS 2'!G10</f>
        <v>0</v>
      </c>
      <c r="I21" s="14">
        <f>'WorKings for PL BS 2'!H10</f>
        <v>0</v>
      </c>
      <c r="J21" s="14">
        <f>'WorKings for PL BS 2'!I10</f>
        <v>0</v>
      </c>
    </row>
    <row r="22" spans="1:10" ht="15" thickBot="1">
      <c r="B22" s="21"/>
      <c r="C22" s="21"/>
      <c r="D22" s="21"/>
      <c r="E22" s="21"/>
      <c r="F22" s="21"/>
      <c r="G22" s="21"/>
      <c r="H22" s="21"/>
      <c r="I22" s="21"/>
      <c r="J22" s="21"/>
    </row>
    <row r="23" spans="1:10">
      <c r="B23" s="11"/>
      <c r="C23" s="11">
        <f>C20+C21</f>
        <v>6494125000</v>
      </c>
      <c r="D23" s="11">
        <f t="shared" ref="D23:I23" si="1">D20+D21</f>
        <v>7274124999.9999981</v>
      </c>
      <c r="E23" s="11">
        <f t="shared" si="1"/>
        <v>7127124999.999999</v>
      </c>
      <c r="F23" s="11">
        <f t="shared" si="1"/>
        <v>7007259999.9999981</v>
      </c>
      <c r="G23" s="11">
        <f t="shared" si="1"/>
        <v>6202843174.9999971</v>
      </c>
      <c r="H23" s="11">
        <f t="shared" si="1"/>
        <v>5508812703.3749962</v>
      </c>
      <c r="I23" s="11">
        <f t="shared" si="1"/>
        <v>5536356766.8918705</v>
      </c>
      <c r="J23" s="11">
        <f>J20+J21</f>
        <v>5564038550.7263288</v>
      </c>
    </row>
    <row r="24" spans="1:10">
      <c r="A24" s="19"/>
      <c r="B24" s="11"/>
      <c r="C24" s="11"/>
      <c r="D24" s="11"/>
      <c r="E24" s="11"/>
      <c r="F24" s="11"/>
      <c r="G24" s="11"/>
      <c r="H24" s="11"/>
      <c r="I24" s="11"/>
      <c r="J24" s="11"/>
    </row>
    <row r="25" spans="1:10">
      <c r="D25" s="14"/>
    </row>
    <row r="27" spans="1:10" ht="15" thickBot="1">
      <c r="A27" s="3" t="s">
        <v>182</v>
      </c>
      <c r="B27" s="3"/>
      <c r="C27" s="3"/>
      <c r="D27" s="3"/>
      <c r="E27" s="3"/>
      <c r="F27" s="3"/>
      <c r="G27" s="3"/>
      <c r="H27" s="3"/>
      <c r="I27" s="3"/>
      <c r="J27" s="3"/>
    </row>
    <row r="30" spans="1:10">
      <c r="A30" s="66" t="s">
        <v>522</v>
      </c>
      <c r="B30" s="6"/>
      <c r="D30" s="60"/>
      <c r="E30" s="60"/>
      <c r="F30" s="60"/>
      <c r="G30" s="60"/>
      <c r="H30" s="60"/>
      <c r="I30" s="60"/>
      <c r="J30" s="60"/>
    </row>
    <row r="31" spans="1:10">
      <c r="A31" s="4"/>
      <c r="D31" s="60"/>
      <c r="E31" s="60"/>
      <c r="F31" s="60"/>
      <c r="G31" s="60"/>
      <c r="H31" s="60"/>
      <c r="I31" s="60"/>
      <c r="J31" s="60"/>
    </row>
    <row r="32" spans="1:10" ht="36.75" customHeight="1" thickBot="1">
      <c r="A32" s="224" t="s">
        <v>14</v>
      </c>
      <c r="B32" s="225"/>
      <c r="C32" s="225" t="str">
        <f>IF(Assumptions!I62=0,"",Assumptions!I78)</f>
        <v>2024-25</v>
      </c>
      <c r="D32" s="225" t="str">
        <f>IF(Assumptions!I63=0,"",Assumptions!I79)</f>
        <v>2025-26</v>
      </c>
      <c r="E32" s="225" t="str">
        <f t="shared" ref="E32:J32" si="2">E107</f>
        <v>2026-27</v>
      </c>
      <c r="F32" s="225" t="str">
        <f t="shared" si="2"/>
        <v>2027-28</v>
      </c>
      <c r="G32" s="225" t="str">
        <f t="shared" si="2"/>
        <v>2028-29</v>
      </c>
      <c r="H32" s="225" t="str">
        <f t="shared" si="2"/>
        <v>2029-30</v>
      </c>
      <c r="I32" s="225" t="str">
        <f t="shared" si="2"/>
        <v>2030-31</v>
      </c>
      <c r="J32" s="225" t="str">
        <f t="shared" si="2"/>
        <v>2031-32</v>
      </c>
    </row>
    <row r="33" spans="1:10">
      <c r="D33" s="60"/>
      <c r="E33" s="60"/>
      <c r="F33" s="60"/>
      <c r="G33" s="60"/>
      <c r="H33" s="60"/>
      <c r="I33" s="60"/>
      <c r="J33" s="60"/>
    </row>
    <row r="34" spans="1:10">
      <c r="A34" s="2" t="s">
        <v>501</v>
      </c>
      <c r="B34" s="8"/>
      <c r="C34" s="8">
        <f>IF(C38&lt;=0,"",C36/C37)</f>
        <v>1.8097092664133085</v>
      </c>
      <c r="D34" s="8">
        <f>IF(D38&lt;=0,"",D36/D37)</f>
        <v>1.2413662927080751</v>
      </c>
      <c r="E34" s="8">
        <f t="shared" ref="E34:J34" si="3">E36/E37</f>
        <v>1.67845</v>
      </c>
      <c r="F34" s="8">
        <f t="shared" si="3"/>
        <v>1.8181002188183808</v>
      </c>
      <c r="G34" s="8">
        <f t="shared" si="3"/>
        <v>1.9695975555555556</v>
      </c>
      <c r="H34" s="8">
        <f t="shared" si="3"/>
        <v>2.1116406666666667</v>
      </c>
      <c r="I34" s="8">
        <f t="shared" si="3"/>
        <v>2.2621075555555556</v>
      </c>
      <c r="J34" s="8">
        <f t="shared" si="3"/>
        <v>2.4087513333333335</v>
      </c>
    </row>
    <row r="35" spans="1:10">
      <c r="B35" s="8"/>
      <c r="C35" s="8"/>
      <c r="D35" s="8"/>
      <c r="E35" s="8"/>
      <c r="F35" s="8"/>
      <c r="G35" s="8"/>
      <c r="H35" s="8"/>
      <c r="I35" s="8"/>
      <c r="J35" s="8"/>
    </row>
    <row r="36" spans="1:10">
      <c r="A36" s="2" t="s">
        <v>498</v>
      </c>
      <c r="B36" s="8"/>
      <c r="C36" s="14">
        <f>SUM('PL BS'!D76:D80)</f>
        <v>13828640000</v>
      </c>
      <c r="D36" s="14">
        <f>SUM('PL BS'!E76:E80)</f>
        <v>55670710000</v>
      </c>
      <c r="E36" s="14">
        <f>SUM('PL BS'!F76:F80)</f>
        <v>77880080000</v>
      </c>
      <c r="F36" s="14">
        <f>SUM('PL BS'!G76:G80)</f>
        <v>83087180000</v>
      </c>
      <c r="G36" s="14">
        <f>SUM('PL BS'!H76:H80)</f>
        <v>88631890000</v>
      </c>
      <c r="H36" s="14">
        <f>SUM('PL BS'!I76:I80)</f>
        <v>95023830000</v>
      </c>
      <c r="I36" s="14">
        <f>SUM('PL BS'!J76:J80)</f>
        <v>101794840000</v>
      </c>
      <c r="J36" s="14">
        <f>SUM('PL BS'!K76:K80)</f>
        <v>108393810000</v>
      </c>
    </row>
    <row r="37" spans="1:10">
      <c r="A37" s="2" t="s">
        <v>499</v>
      </c>
      <c r="B37" s="8"/>
      <c r="C37" s="14">
        <f>SUM('PL BS'!D62:D65)</f>
        <v>7641360000</v>
      </c>
      <c r="D37" s="14">
        <f>SUM('PL BS'!E62:E65)</f>
        <v>44846320000</v>
      </c>
      <c r="E37" s="14">
        <f>SUM('PL BS'!F62:F65)</f>
        <v>46400000000</v>
      </c>
      <c r="F37" s="14">
        <f>SUM('PL BS'!G62:G65)</f>
        <v>45700000000</v>
      </c>
      <c r="G37" s="14">
        <f>SUM('PL BS'!H62:H65)</f>
        <v>45000000000</v>
      </c>
      <c r="H37" s="14">
        <f>SUM('PL BS'!I62:I65)</f>
        <v>45000000000</v>
      </c>
      <c r="I37" s="14">
        <f>SUM('PL BS'!J62:J65)</f>
        <v>45000000000</v>
      </c>
      <c r="J37" s="14">
        <f>SUM('PL BS'!K62:K65)</f>
        <v>45000000000</v>
      </c>
    </row>
    <row r="38" spans="1:10">
      <c r="A38" s="19" t="s">
        <v>500</v>
      </c>
      <c r="B38" s="679"/>
      <c r="C38" s="11">
        <f>C36-C37</f>
        <v>6187280000</v>
      </c>
      <c r="D38" s="11">
        <f t="shared" ref="D38:J38" si="4">D36-D37</f>
        <v>10824390000</v>
      </c>
      <c r="E38" s="11">
        <f t="shared" si="4"/>
        <v>31480080000</v>
      </c>
      <c r="F38" s="11">
        <f t="shared" si="4"/>
        <v>37387180000</v>
      </c>
      <c r="G38" s="11">
        <f t="shared" si="4"/>
        <v>43631890000</v>
      </c>
      <c r="H38" s="11">
        <f t="shared" si="4"/>
        <v>50023830000</v>
      </c>
      <c r="I38" s="11">
        <f t="shared" si="4"/>
        <v>56794840000</v>
      </c>
      <c r="J38" s="11">
        <f t="shared" si="4"/>
        <v>63393810000</v>
      </c>
    </row>
    <row r="39" spans="1:10">
      <c r="B39" s="8"/>
      <c r="C39" s="14"/>
      <c r="D39" s="14"/>
      <c r="E39" s="14"/>
      <c r="F39" s="14"/>
      <c r="G39" s="14"/>
      <c r="H39" s="14"/>
      <c r="I39" s="14"/>
      <c r="J39" s="14"/>
    </row>
    <row r="40" spans="1:10" ht="15" thickBot="1">
      <c r="A40" s="3" t="s">
        <v>179</v>
      </c>
      <c r="B40" s="3"/>
      <c r="C40" s="3"/>
      <c r="D40" s="127"/>
      <c r="E40" s="127"/>
      <c r="F40" s="127"/>
      <c r="G40" s="127"/>
      <c r="H40" s="127"/>
      <c r="I40" s="127"/>
      <c r="J40" s="127"/>
    </row>
    <row r="41" spans="1:10">
      <c r="A41" s="1"/>
      <c r="B41" s="1"/>
      <c r="C41" s="1"/>
      <c r="D41" s="64"/>
      <c r="E41" s="64"/>
      <c r="F41" s="64"/>
      <c r="G41" s="64"/>
      <c r="H41" s="64"/>
      <c r="I41" s="64"/>
      <c r="J41" s="64"/>
    </row>
    <row r="42" spans="1:10">
      <c r="A42" s="67" t="s">
        <v>464</v>
      </c>
    </row>
    <row r="43" spans="1:10">
      <c r="A43" s="65"/>
    </row>
    <row r="44" spans="1:10" ht="32.25" customHeight="1" thickBot="1">
      <c r="A44" s="227" t="s">
        <v>14</v>
      </c>
      <c r="B44" s="225"/>
      <c r="C44" s="225" t="str">
        <f>IF(Assumptions!I62=0,"",Assumptions!I78)</f>
        <v>2024-25</v>
      </c>
      <c r="D44" s="225" t="str">
        <f>IF(Assumptions!I63=0,"",Assumptions!I79)</f>
        <v>2025-26</v>
      </c>
      <c r="E44" s="225" t="str">
        <f t="shared" ref="E44:J44" si="5">E115</f>
        <v>2026-27</v>
      </c>
      <c r="F44" s="225" t="str">
        <f t="shared" si="5"/>
        <v>2027-28</v>
      </c>
      <c r="G44" s="225" t="str">
        <f t="shared" si="5"/>
        <v>2028-29</v>
      </c>
      <c r="H44" s="225" t="str">
        <f t="shared" si="5"/>
        <v>2029-30</v>
      </c>
      <c r="I44" s="225" t="str">
        <f t="shared" si="5"/>
        <v>2030-31</v>
      </c>
      <c r="J44" s="225" t="str">
        <f t="shared" si="5"/>
        <v>2031-32</v>
      </c>
    </row>
    <row r="46" spans="1:10">
      <c r="A46" s="2" t="s">
        <v>465</v>
      </c>
      <c r="B46" s="8"/>
      <c r="C46" s="8">
        <f>IF('Final workings'!B7=0,"",'PL BS'!D29/'PL BS'!D14*100)</f>
        <v>43.478262448631973</v>
      </c>
      <c r="D46" s="8">
        <f>IF('Final workings'!C7=0,"",'PL BS'!E29/'PL BS'!E14*100)</f>
        <v>-176.58661472426985</v>
      </c>
      <c r="E46" s="8">
        <f>'PL BS'!F29/'PL BS'!F14*100</f>
        <v>35.457533355173098</v>
      </c>
      <c r="F46" s="8">
        <f>'PL BS'!G29/'PL BS'!G14*100</f>
        <v>35.441650568688445</v>
      </c>
      <c r="G46" s="8">
        <f>'PL BS'!H29/'PL BS'!H14*100</f>
        <v>35.427167846398319</v>
      </c>
      <c r="H46" s="8">
        <f>'PL BS'!I29/'PL BS'!I14*100</f>
        <v>35.413878146833596</v>
      </c>
      <c r="I46" s="8">
        <f>'PL BS'!J29/'PL BS'!J14*100</f>
        <v>35.401710316991974</v>
      </c>
      <c r="J46" s="8">
        <f>'PL BS'!K29/'PL BS'!K14*100</f>
        <v>35.390459884571612</v>
      </c>
    </row>
    <row r="47" spans="1:10">
      <c r="B47" s="8"/>
    </row>
    <row r="48" spans="1:10" ht="15" thickBot="1">
      <c r="A48" s="15" t="s">
        <v>175</v>
      </c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60"/>
    </row>
    <row r="50" spans="1:10">
      <c r="A50" s="67" t="s">
        <v>466</v>
      </c>
    </row>
    <row r="51" spans="1:10">
      <c r="A51" s="65"/>
    </row>
    <row r="52" spans="1:10" ht="36" customHeight="1" thickBot="1">
      <c r="A52" s="227" t="s">
        <v>14</v>
      </c>
      <c r="B52" s="225"/>
      <c r="C52" s="225" t="str">
        <f>IF(Assumptions!I62=0,"",Assumptions!I78)</f>
        <v>2024-25</v>
      </c>
      <c r="D52" s="226" t="str">
        <f>IF(Assumptions!I63=0,"",Assumptions!I79)</f>
        <v>2025-26</v>
      </c>
      <c r="E52" s="226" t="str">
        <f>'Workings for PL BS 1'!F4</f>
        <v>2026-27</v>
      </c>
      <c r="F52" s="226" t="str">
        <f>'Workings for PL BS 1'!G4</f>
        <v>2027-28</v>
      </c>
      <c r="G52" s="226" t="str">
        <f>'Workings for PL BS 1'!H4</f>
        <v>2028-29</v>
      </c>
      <c r="H52" s="226" t="str">
        <f>'Workings for PL BS 1'!I4</f>
        <v>2029-30</v>
      </c>
      <c r="I52" s="226" t="str">
        <f>'Workings for PL BS 1'!J4</f>
        <v>2030-31</v>
      </c>
      <c r="J52" s="226" t="str">
        <f>'Workings for PL BS 1'!K4</f>
        <v>2031-32</v>
      </c>
    </row>
    <row r="54" spans="1:10">
      <c r="A54" s="2" t="s">
        <v>13</v>
      </c>
      <c r="B54" s="8"/>
      <c r="C54" s="532">
        <f>IF('Final workings'!B7=0,"",'PL BS'!D41/'PL BS'!D14*100)</f>
        <v>19.444683541468809</v>
      </c>
      <c r="D54" s="8">
        <f>IF('Final workings'!C7=0,"",'PL BS'!E41/'PL BS'!E14*100)</f>
        <v>-89.92198920717864</v>
      </c>
      <c r="E54" s="8">
        <f>'PL BS'!F41/'PL BS'!F14*100</f>
        <v>19.500139440779904</v>
      </c>
      <c r="F54" s="8">
        <f>'PL BS'!G41/'PL BS'!G14*100</f>
        <v>20.70555196042941</v>
      </c>
      <c r="G54" s="8">
        <f>'PL BS'!H41/'PL BS'!H14*100</f>
        <v>21.740345148204437</v>
      </c>
      <c r="H54" s="8">
        <f>'PL BS'!I41/'PL BS'!I14*100</f>
        <v>22.44434792180471</v>
      </c>
      <c r="I54" s="8">
        <f>'PL BS'!J41/'PL BS'!J14*100</f>
        <v>23.028165389683185</v>
      </c>
      <c r="J54" s="8">
        <f>'PL BS'!K41/'PL BS'!K14*100</f>
        <v>23.54766940351816</v>
      </c>
    </row>
    <row r="55" spans="1:10">
      <c r="B55" s="8"/>
    </row>
    <row r="56" spans="1:10" ht="15" thickBot="1">
      <c r="A56" s="15" t="s">
        <v>175</v>
      </c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1"/>
      <c r="B57" s="1"/>
      <c r="C57" s="1"/>
      <c r="D57" s="1"/>
      <c r="E57" s="1"/>
      <c r="F57" s="1"/>
    </row>
    <row r="59" spans="1:10">
      <c r="A59" s="68" t="s">
        <v>467</v>
      </c>
    </row>
    <row r="60" spans="1:10" ht="36.75" customHeight="1" thickBot="1">
      <c r="A60" s="227" t="s">
        <v>14</v>
      </c>
      <c r="B60" s="225"/>
      <c r="C60" s="225" t="str">
        <f>IF(Assumptions!I62=0,"",Assumptions!I78)</f>
        <v>2024-25</v>
      </c>
      <c r="D60" s="226" t="str">
        <f>IF(Assumptions!I63=0,"",Assumptions!I79)</f>
        <v>2025-26</v>
      </c>
      <c r="E60" s="226" t="str">
        <f>'Workings for PL BS 1'!F4</f>
        <v>2026-27</v>
      </c>
      <c r="F60" s="226" t="str">
        <f>'Workings for PL BS 1'!G4</f>
        <v>2027-28</v>
      </c>
      <c r="G60" s="226" t="str">
        <f>'Workings for PL BS 1'!H4</f>
        <v>2028-29</v>
      </c>
      <c r="H60" s="226" t="str">
        <f>'Workings for PL BS 1'!I4</f>
        <v>2029-30</v>
      </c>
      <c r="I60" s="226" t="str">
        <f>'Workings for PL BS 1'!J4</f>
        <v>2030-31</v>
      </c>
      <c r="J60" s="226" t="str">
        <f>'Workings for PL BS 1'!K4</f>
        <v>2031-32</v>
      </c>
    </row>
    <row r="61" spans="1:10" ht="14.25" customHeight="1">
      <c r="A61" s="5"/>
      <c r="B61" s="7"/>
    </row>
    <row r="62" spans="1:10">
      <c r="A62" s="6" t="s">
        <v>10</v>
      </c>
      <c r="B62" s="8"/>
      <c r="C62" s="8">
        <f>IF('Final workings'!B7=0,0,'PL BS'!D14/'PL BS'!D78)</f>
        <v>11.111126804327562</v>
      </c>
      <c r="D62" s="8">
        <f>IF('Final workings'!C7=0,0,'PL BS'!E14/'PL BS'!E78)</f>
        <v>10</v>
      </c>
      <c r="E62" s="8">
        <f>'PL BS'!F14/'PL BS'!F78</f>
        <v>9.0909087215491251</v>
      </c>
      <c r="F62" s="8">
        <f>'PL BS'!G14/'PL BS'!G78</f>
        <v>8.3333303670586893</v>
      </c>
      <c r="G62" s="8">
        <f>'PL BS'!H14/'PL BS'!H78</f>
        <v>7.6923064821384468</v>
      </c>
      <c r="H62" s="8">
        <f>'PL BS'!I14/'PL BS'!I78</f>
        <v>7.1428531387385066</v>
      </c>
      <c r="I62" s="8">
        <f>'PL BS'!J14/'PL BS'!J78</f>
        <v>6.6666658287320244</v>
      </c>
      <c r="J62" s="8">
        <f>'PL BS'!K14/'PL BS'!K78</f>
        <v>6.2500025515787465</v>
      </c>
    </row>
    <row r="63" spans="1:10">
      <c r="A63" s="145" t="s">
        <v>11</v>
      </c>
    </row>
    <row r="65" spans="1:10" ht="15">
      <c r="A65" s="878" t="s">
        <v>185</v>
      </c>
      <c r="B65" s="879"/>
      <c r="C65" s="879"/>
      <c r="D65" s="879"/>
      <c r="E65" s="879"/>
      <c r="F65" s="879"/>
      <c r="G65" s="879"/>
      <c r="H65" s="879"/>
      <c r="I65" s="10"/>
      <c r="J65" s="10"/>
    </row>
    <row r="66" spans="1:10">
      <c r="A66" s="2" t="s">
        <v>9</v>
      </c>
    </row>
    <row r="68" spans="1:10" ht="24.75" customHeight="1">
      <c r="A68" s="70" t="s">
        <v>186</v>
      </c>
      <c r="B68" s="14"/>
      <c r="C68" s="14">
        <f>IF(C62=0,"",B71/C62)</f>
        <v>32.849953603071093</v>
      </c>
      <c r="D68" s="14">
        <f>IF(D62=0,"",B71/D62)</f>
        <v>36.5</v>
      </c>
      <c r="E68" s="14">
        <f>B71/E62</f>
        <v>40.150001631278357</v>
      </c>
      <c r="F68" s="14">
        <f>B71/F62</f>
        <v>43.800015590745076</v>
      </c>
      <c r="G68" s="14">
        <f>B71/G62</f>
        <v>47.450007464930167</v>
      </c>
      <c r="H68" s="14">
        <f>B71/H62</f>
        <v>51.100028645480783</v>
      </c>
      <c r="I68" s="14">
        <f>B71/I62</f>
        <v>54.750006881539115</v>
      </c>
      <c r="J68" s="14">
        <f>B71/J62</f>
        <v>58.399976158057925</v>
      </c>
    </row>
    <row r="69" spans="1:10">
      <c r="A69" s="71" t="s">
        <v>8</v>
      </c>
    </row>
    <row r="70" spans="1:10">
      <c r="A70" s="6"/>
      <c r="B70" s="6"/>
    </row>
    <row r="71" spans="1:10" ht="15" thickBot="1">
      <c r="A71" s="12" t="s">
        <v>7</v>
      </c>
      <c r="B71" s="3">
        <v>365</v>
      </c>
      <c r="C71" s="3"/>
      <c r="D71" s="3"/>
      <c r="E71" s="3"/>
      <c r="F71" s="3"/>
      <c r="G71" s="3"/>
      <c r="H71" s="3"/>
      <c r="I71" s="3"/>
      <c r="J71" s="3"/>
    </row>
    <row r="72" spans="1:10">
      <c r="A72" s="13"/>
    </row>
    <row r="73" spans="1:10">
      <c r="A73" s="69" t="s">
        <v>468</v>
      </c>
      <c r="B73" s="6"/>
    </row>
    <row r="74" spans="1:10">
      <c r="A74" s="16"/>
      <c r="B74" s="6"/>
    </row>
    <row r="75" spans="1:10" ht="38.25" customHeight="1" thickBot="1">
      <c r="A75" s="227" t="s">
        <v>14</v>
      </c>
      <c r="B75" s="225"/>
      <c r="C75" s="225" t="str">
        <f>'Workings for PL BS 1'!D4</f>
        <v>2024-25</v>
      </c>
      <c r="D75" s="226" t="str">
        <f>Assumptions!I79</f>
        <v>2025-26</v>
      </c>
      <c r="E75" s="226" t="str">
        <f>'Workings for PL BS 1'!F4</f>
        <v>2026-27</v>
      </c>
      <c r="F75" s="226" t="str">
        <f>'Workings for PL BS 1'!G4</f>
        <v>2027-28</v>
      </c>
      <c r="G75" s="226" t="str">
        <f>'Workings for PL BS 1'!H4</f>
        <v>2028-29</v>
      </c>
      <c r="H75" s="226" t="str">
        <f>'Workings for PL BS 1'!I4</f>
        <v>2029-30</v>
      </c>
      <c r="I75" s="226" t="str">
        <f>'Workings for PL BS 1'!J4</f>
        <v>2030-31</v>
      </c>
      <c r="J75" s="226" t="str">
        <f>'Workings for PL BS 1'!K4</f>
        <v>2031-32</v>
      </c>
    </row>
    <row r="76" spans="1:10">
      <c r="D76" s="60"/>
      <c r="E76" s="60"/>
      <c r="F76" s="60"/>
      <c r="G76" s="60"/>
      <c r="H76" s="60"/>
      <c r="I76" s="60"/>
      <c r="J76" s="60"/>
    </row>
    <row r="77" spans="1:10">
      <c r="A77" s="2" t="s">
        <v>303</v>
      </c>
      <c r="B77" s="8"/>
      <c r="C77" s="8">
        <f>SUM('PL BS'!D57:D65)/'PL BS'!D54</f>
        <v>1.5555600070779203</v>
      </c>
      <c r="D77" s="8">
        <f>SUM('PL BS'!E57:E65)/'PL BS'!E54</f>
        <v>3.6929837144092468</v>
      </c>
      <c r="E77" s="8">
        <f>SUM('PL BS'!F57:F65)/'PL BS'!F54</f>
        <v>1.4108680237940483</v>
      </c>
      <c r="F77" s="8">
        <f>SUM('PL BS'!G57:G65)/'PL BS'!G54</f>
        <v>1.1687545413812515</v>
      </c>
      <c r="G77" s="8">
        <f>SUM('PL BS'!H57:H65)/'PL BS'!H54</f>
        <v>0.97930622225583186</v>
      </c>
      <c r="H77" s="8" t="e">
        <f>SUM('PL BS'!I57:I65)/'PL BS'!I54</f>
        <v>#VALUE!</v>
      </c>
      <c r="I77" s="8" t="e">
        <f>SUM('PL BS'!J57:J65)/'PL BS'!J54</f>
        <v>#VALUE!</v>
      </c>
      <c r="J77" s="8">
        <f>SUM('PL BS'!K57:K65)/'PL BS'!K54</f>
        <v>0.68622076549057964</v>
      </c>
    </row>
    <row r="78" spans="1:10">
      <c r="B78" s="8"/>
      <c r="D78" s="60"/>
      <c r="E78" s="60"/>
      <c r="F78" s="60"/>
      <c r="G78" s="60"/>
      <c r="H78" s="60"/>
      <c r="I78" s="60"/>
      <c r="J78" s="60"/>
    </row>
    <row r="79" spans="1:10" ht="15" thickBot="1">
      <c r="A79" s="3" t="s">
        <v>176</v>
      </c>
      <c r="B79" s="3"/>
      <c r="C79" s="3"/>
      <c r="D79" s="127"/>
      <c r="E79" s="127"/>
      <c r="F79" s="127"/>
      <c r="G79" s="127"/>
      <c r="H79" s="127"/>
      <c r="I79" s="127"/>
      <c r="J79" s="127"/>
    </row>
    <row r="80" spans="1:10">
      <c r="A80" s="6"/>
      <c r="B80" s="6"/>
      <c r="C80" s="6"/>
      <c r="D80" s="62"/>
      <c r="E80" s="62"/>
      <c r="F80" s="62"/>
      <c r="G80" s="62"/>
      <c r="H80" s="62"/>
      <c r="I80" s="62"/>
      <c r="J80" s="62"/>
    </row>
    <row r="81" spans="1:10">
      <c r="A81" s="66" t="s">
        <v>469</v>
      </c>
      <c r="D81" s="60"/>
      <c r="E81" s="60"/>
      <c r="F81" s="60"/>
      <c r="G81" s="60"/>
      <c r="H81" s="60"/>
      <c r="I81" s="60"/>
      <c r="J81" s="60"/>
    </row>
    <row r="82" spans="1:10">
      <c r="D82" s="60"/>
      <c r="E82" s="60"/>
      <c r="F82" s="60"/>
      <c r="G82" s="60"/>
      <c r="H82" s="60"/>
      <c r="I82" s="60"/>
      <c r="J82" s="60"/>
    </row>
    <row r="83" spans="1:10" ht="31.5" customHeight="1" thickBot="1">
      <c r="A83" s="224" t="s">
        <v>14</v>
      </c>
      <c r="B83" s="225"/>
      <c r="C83" s="225" t="str">
        <f>IF(Assumptions!I62=0,"",Assumptions!I78)</f>
        <v>2024-25</v>
      </c>
      <c r="D83" s="226" t="str">
        <f>IF(Assumptions!I63=0,"",Assumptions!I79)</f>
        <v>2025-26</v>
      </c>
      <c r="E83" s="226" t="str">
        <f>'Workings for PL BS 1'!F4</f>
        <v>2026-27</v>
      </c>
      <c r="F83" s="226" t="str">
        <f>'Workings for PL BS 1'!G4</f>
        <v>2027-28</v>
      </c>
      <c r="G83" s="226" t="str">
        <f>'Workings for PL BS 1'!H4</f>
        <v>2028-29</v>
      </c>
      <c r="H83" s="226" t="str">
        <f>'Workings for PL BS 1'!I4</f>
        <v>2029-30</v>
      </c>
      <c r="I83" s="226" t="str">
        <f>'Workings for PL BS 1'!J4</f>
        <v>2030-31</v>
      </c>
      <c r="J83" s="226" t="str">
        <f>'Workings for PL BS 1'!K4</f>
        <v>2031-32</v>
      </c>
    </row>
    <row r="84" spans="1:10">
      <c r="D84" s="60"/>
      <c r="E84" s="60"/>
      <c r="F84" s="60"/>
      <c r="G84" s="60"/>
      <c r="H84" s="60"/>
      <c r="I84" s="60"/>
      <c r="J84" s="60"/>
    </row>
    <row r="85" spans="1:10">
      <c r="A85" s="2" t="s">
        <v>19</v>
      </c>
      <c r="B85" s="8"/>
      <c r="C85" s="8">
        <f>IF(Assumptions!I62=0,"",'PL BS'!D41/SUM('PL BS'!D53:D58))</f>
        <v>0.41923815196555436</v>
      </c>
      <c r="D85" s="8">
        <f>IF(Assumptions!I63=0,"",'PL BS'!E41/SUM('PL BS'!E53:E58))</f>
        <v>0.46886127994207116</v>
      </c>
      <c r="E85" s="8">
        <f>'PL BS'!F41/SUM('PL BS'!F53:F58)</f>
        <v>0.24055003160780383</v>
      </c>
      <c r="F85" s="8">
        <f>'PL BS'!G41/SUM('PL BS'!G53:G58)</f>
        <v>0.23370850821935887</v>
      </c>
      <c r="G85" s="8">
        <f>'PL BS'!H41/SUM('PL BS'!H53:H58)</f>
        <v>0.22554703193751111</v>
      </c>
      <c r="H85" s="8" t="e">
        <f>'PL BS'!I41/SUM('PL BS'!I53:I58)</f>
        <v>#VALUE!</v>
      </c>
      <c r="I85" s="8" t="e">
        <f>'PL BS'!J41/SUM('PL BS'!J53:J58)</f>
        <v>#VALUE!</v>
      </c>
      <c r="J85" s="8">
        <f>'PL BS'!K41/SUM('PL BS'!K53:K58)</f>
        <v>0.19790328758018919</v>
      </c>
    </row>
    <row r="86" spans="1:10">
      <c r="D86" s="60"/>
      <c r="E86" s="60"/>
      <c r="F86" s="60"/>
      <c r="G86" s="60"/>
      <c r="H86" s="60"/>
      <c r="I86" s="60"/>
      <c r="J86" s="60"/>
    </row>
    <row r="87" spans="1:10" ht="15" thickBot="1">
      <c r="A87" s="3" t="s">
        <v>180</v>
      </c>
      <c r="B87" s="3"/>
      <c r="C87" s="3"/>
      <c r="D87" s="127"/>
      <c r="E87" s="127"/>
      <c r="F87" s="127"/>
      <c r="G87" s="127"/>
      <c r="H87" s="127"/>
      <c r="I87" s="127"/>
      <c r="J87" s="127"/>
    </row>
    <row r="88" spans="1:10">
      <c r="A88" s="6"/>
      <c r="B88" s="6"/>
      <c r="C88" s="6"/>
      <c r="D88" s="62"/>
      <c r="E88" s="62"/>
      <c r="F88" s="62"/>
      <c r="G88" s="62"/>
      <c r="H88" s="62"/>
      <c r="I88" s="62"/>
      <c r="J88" s="62"/>
    </row>
    <row r="89" spans="1:10">
      <c r="A89" s="69" t="s">
        <v>470</v>
      </c>
      <c r="B89" s="6"/>
      <c r="D89" s="60"/>
      <c r="E89" s="60"/>
      <c r="F89" s="60"/>
      <c r="G89" s="60"/>
      <c r="H89" s="60"/>
      <c r="I89" s="60"/>
      <c r="J89" s="60"/>
    </row>
    <row r="90" spans="1:10">
      <c r="A90" s="16"/>
      <c r="B90" s="6"/>
      <c r="C90" s="147"/>
      <c r="D90" s="63"/>
      <c r="E90" s="63"/>
      <c r="F90" s="63"/>
      <c r="G90" s="63"/>
      <c r="H90" s="63"/>
      <c r="I90" s="63"/>
      <c r="J90" s="63"/>
    </row>
    <row r="91" spans="1:10" ht="38.25" customHeight="1" thickBot="1">
      <c r="A91" s="227" t="s">
        <v>14</v>
      </c>
      <c r="B91" s="225"/>
      <c r="C91" s="225" t="str">
        <f>'Workings for PL BS 1'!D4</f>
        <v>2024-25</v>
      </c>
      <c r="D91" s="226" t="str">
        <f>Assumptions!I79</f>
        <v>2025-26</v>
      </c>
      <c r="E91" s="226" t="str">
        <f>'Workings for PL BS 1'!F4</f>
        <v>2026-27</v>
      </c>
      <c r="F91" s="226" t="str">
        <f>'Workings for PL BS 1'!G4</f>
        <v>2027-28</v>
      </c>
      <c r="G91" s="226" t="str">
        <f>'Workings for PL BS 1'!H4</f>
        <v>2028-29</v>
      </c>
      <c r="H91" s="226" t="str">
        <f>'Workings for PL BS 1'!I4</f>
        <v>2029-30</v>
      </c>
      <c r="I91" s="226" t="str">
        <f>'Workings for PL BS 1'!J4</f>
        <v>2030-31</v>
      </c>
      <c r="J91" s="226" t="str">
        <f>'Workings for PL BS 1'!K4</f>
        <v>2031-32</v>
      </c>
    </row>
    <row r="93" spans="1:10">
      <c r="A93" s="2" t="s">
        <v>18</v>
      </c>
      <c r="B93" s="128"/>
      <c r="C93" s="128">
        <f>'PL BS'!D70/'PL BS'!D58</f>
        <v>1.3763066202090593</v>
      </c>
      <c r="D93" s="128">
        <f>'PL BS'!E70/'PL BS'!E58</f>
        <v>1.6607142857142878</v>
      </c>
      <c r="E93" s="128">
        <f>'PL BS'!F70/'PL BS'!F58</f>
        <v>2.4184348739495847</v>
      </c>
      <c r="F93" s="128">
        <f>'PL BS'!G70/'PL BS'!G58</f>
        <v>3.1914082792207861</v>
      </c>
      <c r="G93" s="128">
        <f>IF('PL BS'!H58=0,0,'PL BS'!H70/'PL BS'!H58)</f>
        <v>5.9965727678571747</v>
      </c>
      <c r="H93" s="128" t="e">
        <f>IF('PL BS'!I58=0,0,'PL BS'!I70/'PL BS'!I58)</f>
        <v>#VALUE!</v>
      </c>
      <c r="I93" s="128" t="e">
        <f>IF('PL BS'!J58=0,0,'PL BS'!J70/'PL BS'!J58)</f>
        <v>#VALUE!</v>
      </c>
      <c r="J93" s="128">
        <f>IF('PL BS'!K58=0,0,'PL BS'!K70/'PL BS'!K58)</f>
        <v>0</v>
      </c>
    </row>
    <row r="94" spans="1:10">
      <c r="B94" s="18"/>
    </row>
    <row r="95" spans="1:10" ht="15" thickBot="1">
      <c r="A95" s="3" t="s">
        <v>177</v>
      </c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6"/>
      <c r="B96" s="6"/>
      <c r="C96" s="6"/>
      <c r="D96" s="6"/>
      <c r="E96" s="6"/>
      <c r="F96" s="6"/>
      <c r="G96" s="6"/>
      <c r="H96" s="6"/>
      <c r="I96" s="6"/>
      <c r="J96" s="6"/>
    </row>
    <row r="97" spans="1:10">
      <c r="A97" s="69" t="s">
        <v>471</v>
      </c>
      <c r="B97" s="6"/>
    </row>
    <row r="98" spans="1:10">
      <c r="A98" s="16"/>
      <c r="B98" s="6"/>
    </row>
    <row r="99" spans="1:10" ht="33.75" customHeight="1" thickBot="1">
      <c r="A99" s="227" t="s">
        <v>14</v>
      </c>
      <c r="B99" s="225"/>
      <c r="C99" s="225" t="str">
        <f>'Workings for PL BS 1'!D4</f>
        <v>2024-25</v>
      </c>
      <c r="D99" s="226" t="str">
        <f>Assumptions!I79</f>
        <v>2025-26</v>
      </c>
      <c r="E99" s="226" t="str">
        <f>'Workings for PL BS 1'!F4</f>
        <v>2026-27</v>
      </c>
      <c r="F99" s="226" t="str">
        <f>'Workings for PL BS 1'!G4</f>
        <v>2027-28</v>
      </c>
      <c r="G99" s="226" t="str">
        <f>'Workings for PL BS 1'!H4</f>
        <v>2028-29</v>
      </c>
      <c r="H99" s="226" t="str">
        <f>'Workings for PL BS 1'!I4</f>
        <v>2029-30</v>
      </c>
      <c r="I99" s="226" t="str">
        <f>'Workings for PL BS 1'!J4</f>
        <v>2030-31</v>
      </c>
      <c r="J99" s="226" t="str">
        <f>'Workings for PL BS 1'!K4</f>
        <v>2031-32</v>
      </c>
    </row>
    <row r="100" spans="1:10">
      <c r="D100" s="60"/>
      <c r="E100" s="60"/>
      <c r="F100" s="60"/>
      <c r="G100" s="60"/>
      <c r="H100" s="60"/>
      <c r="I100" s="60"/>
      <c r="J100" s="60"/>
    </row>
    <row r="101" spans="1:10">
      <c r="A101" s="2" t="s">
        <v>17</v>
      </c>
      <c r="B101" s="8"/>
      <c r="C101" s="8">
        <f>'PL BS'!D54/'PL BS'!D70</f>
        <v>1.2132577215189875</v>
      </c>
      <c r="D101" s="8">
        <f>'PL BS'!E54/'PL BS'!E70</f>
        <v>2.3243259918427892</v>
      </c>
      <c r="E101" s="8">
        <f>'PL BS'!F54/'PL BS'!F70</f>
        <v>7.1495595369948104</v>
      </c>
      <c r="F101" s="8">
        <f>'PL BS'!G54/'PL BS'!G70</f>
        <v>9.815189117494084</v>
      </c>
      <c r="G101" s="8">
        <f>'PL BS'!H54/'PL BS'!H70</f>
        <v>13.306617224734696</v>
      </c>
      <c r="H101" s="8" t="e">
        <f>'PL BS'!I54/'PL BS'!I70</f>
        <v>#VALUE!</v>
      </c>
      <c r="I101" s="8" t="e">
        <f>'PL BS'!J54/'PL BS'!J70</f>
        <v>#VALUE!</v>
      </c>
      <c r="J101" s="8">
        <f>'PL BS'!K54/'PL BS'!K70</f>
        <v>30.043038165627639</v>
      </c>
    </row>
    <row r="102" spans="1:10">
      <c r="B102" s="8"/>
      <c r="D102" s="60"/>
      <c r="E102" s="60"/>
      <c r="F102" s="60"/>
      <c r="G102" s="60"/>
      <c r="H102" s="60"/>
      <c r="I102" s="60"/>
      <c r="J102" s="60"/>
    </row>
    <row r="103" spans="1:10" ht="15" thickBot="1">
      <c r="A103" s="3" t="s">
        <v>178</v>
      </c>
      <c r="B103" s="3"/>
      <c r="C103" s="3"/>
      <c r="D103" s="127"/>
      <c r="E103" s="127"/>
      <c r="F103" s="127"/>
      <c r="G103" s="127"/>
      <c r="H103" s="127"/>
      <c r="I103" s="127"/>
      <c r="J103" s="127"/>
    </row>
    <row r="104" spans="1:10">
      <c r="A104" s="6"/>
      <c r="B104" s="6"/>
      <c r="D104" s="60"/>
      <c r="E104" s="60"/>
      <c r="F104" s="60"/>
      <c r="G104" s="60"/>
      <c r="H104" s="60"/>
      <c r="I104" s="60"/>
      <c r="J104" s="60"/>
    </row>
    <row r="105" spans="1:10">
      <c r="A105" s="66" t="s">
        <v>472</v>
      </c>
      <c r="B105" s="6"/>
      <c r="D105" s="60"/>
      <c r="E105" s="60"/>
      <c r="F105" s="60"/>
      <c r="G105" s="60"/>
      <c r="H105" s="60"/>
      <c r="I105" s="60"/>
      <c r="J105" s="60"/>
    </row>
    <row r="106" spans="1:10">
      <c r="A106" s="4"/>
      <c r="D106" s="60"/>
      <c r="E106" s="60"/>
      <c r="F106" s="60"/>
      <c r="G106" s="60"/>
      <c r="H106" s="60"/>
      <c r="I106" s="60"/>
      <c r="J106" s="60"/>
    </row>
    <row r="107" spans="1:10" ht="35.25" customHeight="1" thickBot="1">
      <c r="A107" s="224" t="s">
        <v>14</v>
      </c>
      <c r="B107" s="225"/>
      <c r="C107" s="225" t="str">
        <f>IF(Assumptions!I62=0,"",Assumptions!I78)</f>
        <v>2024-25</v>
      </c>
      <c r="D107" s="226" t="str">
        <f>IF(Assumptions!I63=0,"",Assumptions!I79)</f>
        <v>2025-26</v>
      </c>
      <c r="E107" s="226" t="str">
        <f>'Workings for PL BS 1'!F4</f>
        <v>2026-27</v>
      </c>
      <c r="F107" s="226" t="str">
        <f>'Workings for PL BS 1'!G4</f>
        <v>2027-28</v>
      </c>
      <c r="G107" s="226" t="str">
        <f>'Workings for PL BS 1'!H4</f>
        <v>2028-29</v>
      </c>
      <c r="H107" s="226" t="str">
        <f>'Workings for PL BS 1'!I4</f>
        <v>2029-30</v>
      </c>
      <c r="I107" s="226" t="str">
        <f>'Workings for PL BS 1'!J4</f>
        <v>2030-31</v>
      </c>
      <c r="J107" s="226" t="str">
        <f>'Workings for PL BS 1'!K4</f>
        <v>2031-32</v>
      </c>
    </row>
    <row r="108" spans="1:10">
      <c r="D108" s="60"/>
      <c r="E108" s="60"/>
      <c r="F108" s="60"/>
      <c r="G108" s="60"/>
      <c r="H108" s="60"/>
      <c r="I108" s="60"/>
      <c r="J108" s="60"/>
    </row>
    <row r="109" spans="1:10">
      <c r="A109" s="2" t="s">
        <v>15</v>
      </c>
      <c r="B109" s="8"/>
      <c r="C109" s="8">
        <f>IF(Assumptions!I62=0,"",'PL BS'!D41/'PL BS'!D82)</f>
        <v>0.26229351988179489</v>
      </c>
      <c r="D109" s="8">
        <f>IF(Assumptions!I63=0,"",'PL BS'!E41/'PL BS'!E82)</f>
        <v>0.12578919224719337</v>
      </c>
      <c r="E109" s="8">
        <f>'PL BS'!F41/'PL BS'!F82</f>
        <v>0.10554791820434653</v>
      </c>
      <c r="F109" s="8">
        <f>'PL BS'!G41/'PL BS'!G82</f>
        <v>0.11120181769182123</v>
      </c>
      <c r="G109" s="8">
        <f>'PL BS'!H41/'PL BS'!H82</f>
        <v>0.11538065323977775</v>
      </c>
      <c r="H109" s="8">
        <f>'PL BS'!I41/'PL BS'!I82</f>
        <v>0.11671421250602504</v>
      </c>
      <c r="I109" s="8">
        <f>'PL BS'!J41/'PL BS'!J82</f>
        <v>0.11705247108676782</v>
      </c>
      <c r="J109" s="8">
        <f>'PL BS'!K41/'PL BS'!K82</f>
        <v>0.1173649925504341</v>
      </c>
    </row>
    <row r="110" spans="1:10">
      <c r="B110" s="8"/>
      <c r="D110" s="60"/>
      <c r="E110" s="60"/>
      <c r="F110" s="60"/>
      <c r="G110" s="60"/>
      <c r="H110" s="60"/>
      <c r="I110" s="60"/>
      <c r="J110" s="60"/>
    </row>
    <row r="111" spans="1:10" ht="15" thickBot="1">
      <c r="A111" s="3" t="s">
        <v>179</v>
      </c>
      <c r="B111" s="3"/>
      <c r="C111" s="3"/>
      <c r="D111" s="127"/>
      <c r="E111" s="127"/>
      <c r="F111" s="127"/>
      <c r="G111" s="127"/>
      <c r="H111" s="127"/>
      <c r="I111" s="127"/>
      <c r="J111" s="127"/>
    </row>
    <row r="112" spans="1:10">
      <c r="A112" s="6"/>
      <c r="B112" s="6"/>
      <c r="D112" s="60"/>
      <c r="E112" s="60"/>
      <c r="F112" s="60"/>
      <c r="G112" s="60"/>
      <c r="H112" s="60"/>
      <c r="I112" s="60"/>
    </row>
    <row r="113" spans="1:10">
      <c r="A113" s="66" t="s">
        <v>523</v>
      </c>
    </row>
    <row r="114" spans="1:10">
      <c r="C114" s="877"/>
      <c r="D114" s="877"/>
      <c r="E114" s="877"/>
      <c r="F114" s="877"/>
      <c r="G114" s="877"/>
      <c r="H114" s="877"/>
      <c r="I114" s="877"/>
    </row>
    <row r="115" spans="1:10" ht="39" customHeight="1" thickBot="1">
      <c r="A115" s="224" t="s">
        <v>16</v>
      </c>
      <c r="B115" s="225"/>
      <c r="C115" s="225" t="str">
        <f>IF(Assumptions!I62=0,"",Assumptions!I78)</f>
        <v>2024-25</v>
      </c>
      <c r="D115" s="226" t="str">
        <f>IF(Assumptions!I63=0,"",Assumptions!I79)</f>
        <v>2025-26</v>
      </c>
      <c r="E115" s="226" t="str">
        <f>'Workings for PL BS 1'!F4</f>
        <v>2026-27</v>
      </c>
      <c r="F115" s="226" t="str">
        <f>'Workings for PL BS 1'!G4</f>
        <v>2027-28</v>
      </c>
      <c r="G115" s="226" t="str">
        <f>'Workings for PL BS 1'!H4</f>
        <v>2028-29</v>
      </c>
      <c r="H115" s="226" t="str">
        <f>'Workings for PL BS 1'!I4</f>
        <v>2029-30</v>
      </c>
      <c r="I115" s="226" t="str">
        <f>'Workings for PL BS 1'!J4</f>
        <v>2030-31</v>
      </c>
      <c r="J115" s="226" t="str">
        <f>'Workings for PL BS 1'!K4</f>
        <v>2031-32</v>
      </c>
    </row>
    <row r="116" spans="1:10">
      <c r="D116" s="60"/>
      <c r="E116" s="60"/>
      <c r="F116" s="60"/>
      <c r="G116" s="60"/>
      <c r="H116" s="60"/>
      <c r="I116" s="60"/>
      <c r="J116" s="60"/>
    </row>
    <row r="117" spans="1:10">
      <c r="A117" s="2" t="s">
        <v>22</v>
      </c>
      <c r="B117" s="8"/>
      <c r="C117" s="8">
        <f>IF(Assumptions!I62=0,"",C119/C120)</f>
        <v>2.051000580734343</v>
      </c>
      <c r="D117" s="8">
        <f>IF(Assumptions!I63=0,"",D119/D120)</f>
        <v>2.3124595861795028</v>
      </c>
      <c r="E117" s="8">
        <f t="shared" ref="E117:J117" si="6">E119/E120</f>
        <v>2.523687277648035</v>
      </c>
      <c r="F117" s="8">
        <f t="shared" si="6"/>
        <v>2.728988512214523</v>
      </c>
      <c r="G117" s="8">
        <f t="shared" si="6"/>
        <v>2.9317299518080504</v>
      </c>
      <c r="H117" s="8">
        <f t="shared" si="6"/>
        <v>3.0765659354200046</v>
      </c>
      <c r="I117" s="8">
        <f t="shared" si="6"/>
        <v>3.2061881787119497</v>
      </c>
      <c r="J117" s="8">
        <f t="shared" si="6"/>
        <v>3.3324456689105939</v>
      </c>
    </row>
    <row r="118" spans="1:10">
      <c r="B118" s="8"/>
      <c r="C118" s="8"/>
      <c r="D118" s="61"/>
      <c r="E118" s="61"/>
      <c r="F118" s="61"/>
      <c r="G118" s="61"/>
      <c r="H118" s="61"/>
      <c r="I118" s="61"/>
      <c r="J118" s="61"/>
    </row>
    <row r="119" spans="1:10">
      <c r="A119" s="2" t="s">
        <v>21</v>
      </c>
      <c r="B119" s="14"/>
      <c r="C119" s="14">
        <f>'PL BS'!D37</f>
        <v>10448053333.333334</v>
      </c>
      <c r="D119" s="14">
        <f>'PL BS'!E37</f>
        <v>13583676666.666666</v>
      </c>
      <c r="E119" s="14">
        <f>'PL BS'!F37</f>
        <v>14453472500</v>
      </c>
      <c r="F119" s="14">
        <f>'PL BS'!G37</f>
        <v>15302148125</v>
      </c>
      <c r="G119" s="14">
        <f>'PL BS'!H37</f>
        <v>16132850156.25</v>
      </c>
      <c r="H119" s="14">
        <f>'PL BS'!I37</f>
        <v>16948225507.8125</v>
      </c>
      <c r="I119" s="14">
        <f>'PL BS'!J37</f>
        <v>17750601619.140625</v>
      </c>
      <c r="J119" s="14">
        <f>'PL BS'!K37</f>
        <v>18541856170.019531</v>
      </c>
    </row>
    <row r="120" spans="1:10">
      <c r="A120" s="2" t="s">
        <v>3</v>
      </c>
      <c r="B120" s="14"/>
      <c r="C120" s="14">
        <f>'WorKings for PL BS 2'!B7</f>
        <v>5094125000</v>
      </c>
      <c r="D120" s="14">
        <f>'WorKings for PL BS 2'!C7</f>
        <v>5874124999.9999981</v>
      </c>
      <c r="E120" s="14">
        <f>'WorKings for PL BS 2'!D7</f>
        <v>5727124999.999999</v>
      </c>
      <c r="F120" s="14">
        <f>'WorKings for PL BS 2'!E7</f>
        <v>5607259999.9999981</v>
      </c>
      <c r="G120" s="14">
        <f>'WorKings for PL BS 2'!F7</f>
        <v>5502843174.9999971</v>
      </c>
      <c r="H120" s="14">
        <f>'WorKings for PL BS 2'!G7</f>
        <v>5508812703.3749962</v>
      </c>
      <c r="I120" s="14">
        <f>'WorKings for PL BS 2'!H7</f>
        <v>5536356766.8918705</v>
      </c>
      <c r="J120" s="14">
        <f>'WorKings for PL BS 2'!I7</f>
        <v>5564038550.7263288</v>
      </c>
    </row>
    <row r="121" spans="1:10">
      <c r="B121" s="8"/>
      <c r="D121" s="60"/>
      <c r="E121" s="60"/>
      <c r="F121" s="60"/>
      <c r="G121" s="60"/>
      <c r="H121" s="60"/>
      <c r="I121" s="60"/>
      <c r="J121" s="60"/>
    </row>
    <row r="122" spans="1:10" ht="15" thickBot="1">
      <c r="A122" s="3" t="s">
        <v>183</v>
      </c>
      <c r="B122" s="3"/>
      <c r="C122" s="3"/>
      <c r="D122" s="127"/>
      <c r="E122" s="127"/>
      <c r="F122" s="127"/>
      <c r="G122" s="127"/>
      <c r="H122" s="127"/>
      <c r="I122" s="127"/>
      <c r="J122" s="127"/>
    </row>
  </sheetData>
  <mergeCells count="7">
    <mergeCell ref="A5:J5"/>
    <mergeCell ref="C114:I114"/>
    <mergeCell ref="A65:H65"/>
    <mergeCell ref="B8:J8"/>
    <mergeCell ref="A1:J1"/>
    <mergeCell ref="A2:J2"/>
    <mergeCell ref="A3:J3"/>
  </mergeCells>
  <phoneticPr fontId="2" type="noConversion"/>
  <pageMargins left="0.39370078740157483" right="0.15748031496062992" top="0.6692913385826772" bottom="0.17" header="0.51181102362204722" footer="0.19"/>
  <pageSetup scale="78" orientation="portrait" r:id="rId1"/>
  <headerFooter alignWithMargins="0"/>
  <rowBreaks count="2" manualBreakCount="2">
    <brk id="56" max="10" man="1"/>
    <brk id="111" max="10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B8346-F114-4A29-A509-63CA1A9F416F}">
  <sheetPr codeName="Sheet14"/>
  <dimension ref="B2:L53"/>
  <sheetViews>
    <sheetView view="pageBreakPreview" zoomScale="60" zoomScaleNormal="100" workbookViewId="0">
      <selection activeCell="D43" sqref="D43"/>
    </sheetView>
  </sheetViews>
  <sheetFormatPr defaultRowHeight="13.2"/>
  <cols>
    <col min="1" max="1" width="2.5546875" customWidth="1"/>
    <col min="2" max="2" width="25.77734375" customWidth="1"/>
    <col min="3" max="3" width="11.44140625" customWidth="1"/>
    <col min="4" max="4" width="10.5546875" customWidth="1"/>
    <col min="5" max="5" width="12" customWidth="1"/>
    <col min="6" max="7" width="12.5546875" customWidth="1"/>
    <col min="8" max="8" width="12" customWidth="1"/>
    <col min="9" max="9" width="13" customWidth="1"/>
    <col min="10" max="10" width="10.5546875" customWidth="1"/>
    <col min="11" max="11" width="3.44140625" customWidth="1"/>
  </cols>
  <sheetData>
    <row r="2" spans="2:10" ht="16.2">
      <c r="B2" s="882" t="str">
        <f>Assumptions!I17</f>
        <v>Doe Textiles</v>
      </c>
      <c r="C2" s="882"/>
      <c r="D2" s="882"/>
      <c r="E2" s="882"/>
      <c r="F2" s="882"/>
      <c r="G2" s="882"/>
      <c r="H2" s="882"/>
      <c r="I2" s="882"/>
      <c r="J2" s="882"/>
    </row>
    <row r="3" spans="2:10" ht="16.2">
      <c r="B3" s="882" t="str">
        <f>Assumptions!I8</f>
        <v>John Doe</v>
      </c>
      <c r="C3" s="882"/>
      <c r="D3" s="882"/>
      <c r="E3" s="882"/>
      <c r="F3" s="882"/>
      <c r="G3" s="882"/>
      <c r="H3" s="882"/>
      <c r="I3" s="882"/>
      <c r="J3" s="882"/>
    </row>
    <row r="4" spans="2:10" ht="16.2">
      <c r="B4" s="882" t="str">
        <f>Assumptions!I16</f>
        <v>123 Industrial Area, City</v>
      </c>
      <c r="C4" s="882"/>
      <c r="D4" s="882"/>
      <c r="E4" s="882"/>
      <c r="F4" s="882"/>
      <c r="G4" s="882"/>
      <c r="H4" s="882"/>
      <c r="I4" s="882"/>
      <c r="J4" s="882"/>
    </row>
    <row r="5" spans="2:10" ht="16.2">
      <c r="B5" s="442"/>
      <c r="C5" s="442"/>
      <c r="D5" s="442"/>
      <c r="E5" s="442"/>
      <c r="F5" s="442"/>
      <c r="G5" s="442"/>
      <c r="H5" s="442"/>
      <c r="I5" s="442"/>
      <c r="J5" s="442"/>
    </row>
    <row r="7" spans="2:10" ht="16.2">
      <c r="B7" s="880" t="s">
        <v>643</v>
      </c>
      <c r="C7" s="880"/>
      <c r="D7" s="880"/>
      <c r="E7" s="880"/>
      <c r="F7" s="880"/>
      <c r="G7" s="880"/>
      <c r="H7" s="880"/>
      <c r="I7" s="880"/>
      <c r="J7" s="880"/>
    </row>
    <row r="10" spans="2:10" ht="18" customHeight="1">
      <c r="B10" s="880" t="s">
        <v>635</v>
      </c>
      <c r="C10" s="880"/>
      <c r="D10" s="880"/>
      <c r="E10" s="880"/>
      <c r="F10" s="880"/>
      <c r="G10" s="880"/>
      <c r="H10" s="880"/>
      <c r="I10" s="880"/>
      <c r="J10" s="880"/>
    </row>
    <row r="11" spans="2:10" ht="16.2">
      <c r="B11" s="4"/>
      <c r="C11" s="4"/>
      <c r="D11" s="2"/>
      <c r="E11" s="2"/>
      <c r="F11" s="2"/>
      <c r="G11" s="2"/>
      <c r="H11" s="498"/>
      <c r="I11" s="2"/>
      <c r="J11" s="60"/>
    </row>
    <row r="12" spans="2:10" ht="42" customHeight="1" thickBot="1">
      <c r="B12" s="224" t="s">
        <v>14</v>
      </c>
      <c r="C12" s="225" t="str">
        <f>IF(Assumptions!I62=0,"",'PL BS'!D7)</f>
        <v>2024-25</v>
      </c>
      <c r="D12" s="226" t="str">
        <f>IF(Assumptions!I63=0,"",'PL BS'!E7)</f>
        <v>2025-26</v>
      </c>
      <c r="E12" s="226" t="str">
        <f>'PL BS'!F7</f>
        <v>2026-27</v>
      </c>
      <c r="F12" s="226" t="str">
        <f>'PL BS'!G7</f>
        <v>2027-28</v>
      </c>
      <c r="G12" s="226" t="str">
        <f>'PL BS'!H7</f>
        <v>2028-29</v>
      </c>
      <c r="H12" s="226" t="str">
        <f>'PL BS'!I7</f>
        <v>2029-30</v>
      </c>
      <c r="I12" s="226" t="str">
        <f>'PL BS'!J7</f>
        <v>2030-31</v>
      </c>
      <c r="J12" s="226" t="str">
        <f>'PL BS'!K7</f>
        <v>2031-32</v>
      </c>
    </row>
    <row r="13" spans="2:10" ht="14.4">
      <c r="B13" s="2"/>
      <c r="C13" s="2"/>
      <c r="D13" s="2"/>
      <c r="E13" s="2"/>
      <c r="F13" s="2"/>
      <c r="G13" s="2"/>
      <c r="H13" s="503"/>
      <c r="I13" s="2"/>
      <c r="J13" s="60"/>
    </row>
    <row r="14" spans="2:10" ht="14.4">
      <c r="B14" s="505"/>
      <c r="C14" s="8"/>
      <c r="D14" s="8"/>
      <c r="E14" s="8"/>
      <c r="F14" s="8"/>
      <c r="G14" s="8"/>
      <c r="H14" s="8"/>
      <c r="I14" s="8"/>
      <c r="J14" s="8"/>
    </row>
    <row r="15" spans="2:10" ht="14.4">
      <c r="B15" s="2" t="s">
        <v>646</v>
      </c>
      <c r="C15" s="8">
        <f>IF('Final workings'!B7=0,0,BEP!B14/'PL BS'!D37)</f>
        <v>1.1457990898464019</v>
      </c>
      <c r="D15" s="8">
        <f>IF('Final workings'!C7=0,0,BEP!C14/'PL BS'!E37)</f>
        <v>1.1145605399421807</v>
      </c>
      <c r="E15" s="8">
        <f>BEP!D14/'PL BS'!F37</f>
        <v>1.0978199183621791</v>
      </c>
      <c r="F15" s="8">
        <f>BEP!E14/'PL BS'!G37</f>
        <v>1.0844699622851155</v>
      </c>
      <c r="G15" s="8">
        <f>BEP!F14/'PL BS'!H37</f>
        <v>1.0737234792507651</v>
      </c>
      <c r="H15" s="8">
        <f>BEP!G14/'PL BS'!I37</f>
        <v>1.0649911397319889</v>
      </c>
      <c r="I15" s="8">
        <f>BEP!H14/'PL BS'!J37</f>
        <v>1.0578362583357375</v>
      </c>
      <c r="J15" s="8">
        <f>BEP!I14/'PL BS'!K37</f>
        <v>1.0519297432334389</v>
      </c>
    </row>
    <row r="16" spans="2:10" ht="14.4">
      <c r="B16" s="375" t="s">
        <v>649</v>
      </c>
      <c r="C16" s="375"/>
      <c r="D16" s="2"/>
      <c r="E16" s="8"/>
      <c r="F16" s="8"/>
      <c r="G16" s="8"/>
      <c r="H16" s="8"/>
      <c r="I16" s="8"/>
      <c r="J16" s="61"/>
    </row>
    <row r="17" spans="2:10" ht="14.4">
      <c r="D17" s="2"/>
      <c r="E17" s="14"/>
      <c r="F17" s="14"/>
      <c r="G17" s="14"/>
      <c r="H17" s="14"/>
      <c r="I17" s="14"/>
      <c r="J17" s="14"/>
    </row>
    <row r="18" spans="2:10" ht="16.2">
      <c r="B18" s="500"/>
      <c r="C18" s="500"/>
      <c r="D18" s="2"/>
      <c r="E18" s="8"/>
      <c r="F18" s="8"/>
      <c r="G18" s="8"/>
      <c r="H18" s="8"/>
      <c r="I18" s="8"/>
      <c r="J18" s="61"/>
    </row>
    <row r="19" spans="2:10" ht="14.4">
      <c r="B19" s="19" t="s">
        <v>630</v>
      </c>
      <c r="C19" s="19"/>
      <c r="D19" s="2"/>
      <c r="E19" s="8"/>
      <c r="F19" s="8"/>
      <c r="G19" s="8"/>
      <c r="H19" s="8"/>
      <c r="I19" s="2"/>
      <c r="J19" s="60"/>
    </row>
    <row r="20" spans="2:10" ht="14.4">
      <c r="B20" s="19"/>
      <c r="C20" s="19"/>
      <c r="D20" s="2"/>
      <c r="E20" s="8"/>
      <c r="F20" s="8"/>
      <c r="G20" s="8"/>
      <c r="H20" s="8"/>
      <c r="I20" s="2"/>
      <c r="J20" s="60"/>
    </row>
    <row r="21" spans="2:10" ht="14.4">
      <c r="B21" s="2" t="s">
        <v>644</v>
      </c>
      <c r="C21" s="2"/>
      <c r="D21" s="2"/>
      <c r="E21" s="8"/>
      <c r="F21" s="8"/>
      <c r="G21" s="8"/>
      <c r="H21" s="8"/>
      <c r="I21" s="2"/>
      <c r="J21" s="60"/>
    </row>
    <row r="22" spans="2:10" ht="14.4">
      <c r="B22" s="506"/>
      <c r="C22" s="506"/>
      <c r="D22" s="2"/>
      <c r="E22" s="8"/>
      <c r="F22" s="8"/>
      <c r="G22" s="8"/>
      <c r="H22" s="8"/>
      <c r="I22" s="2"/>
      <c r="J22" s="60"/>
    </row>
    <row r="23" spans="2:10" ht="15" thickBot="1">
      <c r="B23" s="501" t="s">
        <v>631</v>
      </c>
      <c r="C23" s="501"/>
      <c r="D23" s="3"/>
      <c r="E23" s="3"/>
      <c r="F23" s="3"/>
      <c r="G23" s="3"/>
      <c r="H23" s="504"/>
      <c r="I23" s="3"/>
      <c r="J23" s="127"/>
    </row>
    <row r="24" spans="2:10" ht="14.4">
      <c r="B24" s="2"/>
      <c r="C24" s="2"/>
      <c r="D24" s="2"/>
      <c r="E24" s="2"/>
      <c r="F24" s="2"/>
      <c r="G24" s="2"/>
      <c r="H24" s="2"/>
      <c r="I24" s="2"/>
      <c r="J24" s="2"/>
    </row>
    <row r="25" spans="2:10" ht="14.4">
      <c r="B25" s="2"/>
      <c r="C25" s="2"/>
      <c r="D25" s="2"/>
      <c r="E25" s="2"/>
      <c r="F25" s="2"/>
      <c r="G25" s="2"/>
      <c r="H25" s="2"/>
      <c r="I25" s="2"/>
      <c r="J25" s="2"/>
    </row>
    <row r="26" spans="2:10" ht="16.2">
      <c r="B26" s="880" t="s">
        <v>641</v>
      </c>
      <c r="C26" s="880"/>
      <c r="D26" s="880"/>
      <c r="E26" s="880"/>
      <c r="F26" s="880"/>
      <c r="G26" s="880"/>
      <c r="H26" s="880"/>
      <c r="I26" s="880"/>
      <c r="J26" s="880"/>
    </row>
    <row r="27" spans="2:10" ht="16.2">
      <c r="B27" s="4"/>
      <c r="C27" s="4"/>
      <c r="D27" s="2"/>
      <c r="E27" s="2"/>
      <c r="F27" s="2"/>
      <c r="G27" s="2"/>
      <c r="H27" s="498"/>
      <c r="I27" s="2"/>
      <c r="J27" s="2"/>
    </row>
    <row r="28" spans="2:10" ht="46.5" customHeight="1" thickBot="1">
      <c r="B28" s="224" t="s">
        <v>14</v>
      </c>
      <c r="C28" s="225" t="str">
        <f>C12</f>
        <v>2024-25</v>
      </c>
      <c r="D28" s="226" t="str">
        <f t="shared" ref="D28:J28" si="0">D12</f>
        <v>2025-26</v>
      </c>
      <c r="E28" s="226" t="str">
        <f t="shared" si="0"/>
        <v>2026-27</v>
      </c>
      <c r="F28" s="226" t="str">
        <f t="shared" si="0"/>
        <v>2027-28</v>
      </c>
      <c r="G28" s="226" t="str">
        <f t="shared" si="0"/>
        <v>2028-29</v>
      </c>
      <c r="H28" s="226" t="str">
        <f t="shared" si="0"/>
        <v>2029-30</v>
      </c>
      <c r="I28" s="226" t="str">
        <f t="shared" si="0"/>
        <v>2030-31</v>
      </c>
      <c r="J28" s="226" t="str">
        <f t="shared" si="0"/>
        <v>2031-32</v>
      </c>
    </row>
    <row r="29" spans="2:10" ht="16.2">
      <c r="B29" s="2"/>
      <c r="C29" s="2"/>
      <c r="D29" s="2"/>
      <c r="E29" s="2"/>
      <c r="F29" s="2"/>
      <c r="G29" s="2"/>
      <c r="H29" s="498"/>
      <c r="I29" s="2"/>
      <c r="J29" s="2"/>
    </row>
    <row r="30" spans="2:10" ht="14.4">
      <c r="B30" s="2" t="s">
        <v>647</v>
      </c>
      <c r="C30" s="8">
        <f>IF('Final workings'!B7=0,0,'PL BS'!D37/'PL BS'!D41)</f>
        <v>1.9514742601771844</v>
      </c>
      <c r="D30" s="8">
        <f>IF('Final workings'!C7=0,0,'PL BS'!E37/'PL BS'!E41)</f>
        <v>1.761928222804136</v>
      </c>
      <c r="E30" s="8">
        <f>'PL BS'!F37/'PL BS'!F41</f>
        <v>1.6563026512524284</v>
      </c>
      <c r="F30" s="8">
        <f>'PL BS'!G37/'PL BS'!G41</f>
        <v>1.5783728422343188</v>
      </c>
      <c r="G30" s="8">
        <f>'PL BS'!H37/'PL BS'!H41</f>
        <v>1.5176707018825406</v>
      </c>
      <c r="H30" s="8">
        <f>'PL BS'!I37/'PL BS'!I41</f>
        <v>1.4815642898417001</v>
      </c>
      <c r="I30" s="8">
        <f>'PL BS'!J37/'PL BS'!J41</f>
        <v>1.4532704914518375</v>
      </c>
      <c r="J30" s="8">
        <f>'PL BS'!K37/'PL BS'!K41</f>
        <v>1.4287345310242816</v>
      </c>
    </row>
    <row r="31" spans="2:10" ht="14.4">
      <c r="B31" s="508" t="s">
        <v>648</v>
      </c>
      <c r="C31" s="508"/>
      <c r="D31" s="2"/>
      <c r="E31" s="8"/>
      <c r="F31" s="8"/>
      <c r="G31" s="8"/>
      <c r="H31" s="8"/>
      <c r="I31" s="8"/>
      <c r="J31" s="2"/>
    </row>
    <row r="32" spans="2:10" ht="14.4">
      <c r="B32" s="509"/>
      <c r="C32" s="509"/>
      <c r="D32" s="2"/>
      <c r="E32" s="14"/>
      <c r="F32" s="14"/>
      <c r="G32" s="14"/>
      <c r="H32" s="14"/>
      <c r="I32" s="14"/>
      <c r="J32" s="14"/>
    </row>
    <row r="33" spans="2:12" ht="14.4">
      <c r="B33" s="2" t="s">
        <v>632</v>
      </c>
      <c r="C33" s="2"/>
      <c r="D33" s="2"/>
      <c r="E33" s="8"/>
      <c r="F33" s="8"/>
      <c r="G33" s="8"/>
      <c r="H33" s="8"/>
      <c r="I33" s="8"/>
      <c r="J33" s="2"/>
      <c r="K33" s="168"/>
    </row>
    <row r="34" spans="2:12" ht="14.4">
      <c r="B34" s="2" t="s">
        <v>633</v>
      </c>
      <c r="C34" s="2"/>
      <c r="D34" s="2"/>
      <c r="E34" s="8"/>
      <c r="F34" s="8"/>
      <c r="G34" s="8"/>
      <c r="H34" s="8"/>
      <c r="I34" s="8"/>
      <c r="J34" s="2"/>
      <c r="K34" s="168"/>
    </row>
    <row r="35" spans="2:12" ht="14.4">
      <c r="B35" s="6" t="s">
        <v>634</v>
      </c>
      <c r="C35" s="6"/>
      <c r="D35" s="2"/>
      <c r="E35" s="8"/>
      <c r="F35" s="8"/>
      <c r="G35" s="8"/>
      <c r="H35" s="8"/>
      <c r="I35" s="8"/>
      <c r="J35" s="2"/>
      <c r="K35" s="168"/>
    </row>
    <row r="36" spans="2:12" ht="16.8" thickBot="1">
      <c r="B36" s="501"/>
      <c r="C36" s="501"/>
      <c r="D36" s="3"/>
      <c r="E36" s="3"/>
      <c r="F36" s="3"/>
      <c r="G36" s="3"/>
      <c r="H36" s="502"/>
      <c r="I36" s="3"/>
      <c r="J36" s="3"/>
    </row>
    <row r="37" spans="2:12" ht="14.4">
      <c r="B37" s="2"/>
      <c r="C37" s="2"/>
      <c r="D37" s="2"/>
      <c r="E37" s="2"/>
      <c r="F37" s="2"/>
      <c r="G37" s="2"/>
      <c r="H37" s="2"/>
      <c r="I37" s="2"/>
      <c r="J37" s="2"/>
    </row>
    <row r="39" spans="2:12" ht="16.2">
      <c r="B39" s="880" t="s">
        <v>642</v>
      </c>
      <c r="C39" s="880"/>
      <c r="D39" s="880"/>
      <c r="E39" s="880"/>
      <c r="F39" s="880"/>
      <c r="G39" s="880"/>
      <c r="H39" s="880"/>
      <c r="I39" s="880"/>
      <c r="J39" s="880"/>
    </row>
    <row r="40" spans="2:12" ht="16.2">
      <c r="B40" s="4"/>
      <c r="C40" s="4"/>
      <c r="D40" s="2"/>
      <c r="E40" s="2"/>
      <c r="F40" s="2"/>
      <c r="G40" s="2"/>
      <c r="H40" s="498"/>
      <c r="I40" s="2"/>
    </row>
    <row r="41" spans="2:12" ht="42.75" customHeight="1" thickBot="1">
      <c r="B41" s="224" t="s">
        <v>14</v>
      </c>
      <c r="C41" s="225" t="str">
        <f>C28</f>
        <v>2024-25</v>
      </c>
      <c r="D41" s="226" t="str">
        <f>D28</f>
        <v>2025-26</v>
      </c>
      <c r="E41" s="226" t="str">
        <f t="shared" ref="E41:J41" si="1">E28</f>
        <v>2026-27</v>
      </c>
      <c r="F41" s="226" t="str">
        <f t="shared" si="1"/>
        <v>2027-28</v>
      </c>
      <c r="G41" s="226" t="str">
        <f t="shared" si="1"/>
        <v>2028-29</v>
      </c>
      <c r="H41" s="226" t="str">
        <f t="shared" si="1"/>
        <v>2029-30</v>
      </c>
      <c r="I41" s="226" t="str">
        <f t="shared" si="1"/>
        <v>2030-31</v>
      </c>
      <c r="J41" s="226" t="str">
        <f t="shared" si="1"/>
        <v>2031-32</v>
      </c>
    </row>
    <row r="42" spans="2:12" ht="16.2">
      <c r="B42" s="2"/>
      <c r="C42" s="2"/>
      <c r="D42" s="2"/>
      <c r="E42" s="2"/>
      <c r="F42" s="2"/>
      <c r="G42" s="2"/>
      <c r="H42" s="498"/>
      <c r="I42" s="2"/>
      <c r="J42" s="2"/>
    </row>
    <row r="43" spans="2:12" ht="28.8">
      <c r="B43" s="474" t="s">
        <v>636</v>
      </c>
      <c r="C43" s="8">
        <f>C15*C30</f>
        <v>2.2359974311696984</v>
      </c>
      <c r="D43" s="8">
        <f t="shared" ref="D43:J43" si="2">D15*D30</f>
        <v>1.9637756713479446</v>
      </c>
      <c r="E43" s="8">
        <f t="shared" si="2"/>
        <v>1.8183220413810017</v>
      </c>
      <c r="F43" s="8">
        <f t="shared" si="2"/>
        <v>1.7116979366897023</v>
      </c>
      <c r="G43" s="8">
        <f t="shared" si="2"/>
        <v>1.6295586663822721</v>
      </c>
      <c r="H43" s="8">
        <f t="shared" si="2"/>
        <v>1.5778528416247268</v>
      </c>
      <c r="I43" s="8">
        <f t="shared" si="2"/>
        <v>1.53732221902715</v>
      </c>
      <c r="J43" s="8">
        <f t="shared" si="2"/>
        <v>1.5029283483691203</v>
      </c>
    </row>
    <row r="44" spans="2:12" ht="14.4">
      <c r="B44" s="2"/>
      <c r="C44" s="2"/>
      <c r="D44" s="2"/>
    </row>
    <row r="45" spans="2:12" ht="14.4">
      <c r="B45" s="507" t="s">
        <v>640</v>
      </c>
      <c r="C45" s="507"/>
      <c r="D45" s="2"/>
      <c r="E45" s="8"/>
      <c r="F45" s="8"/>
      <c r="G45" s="8"/>
      <c r="H45" s="8"/>
      <c r="I45" s="8"/>
      <c r="J45" s="2"/>
      <c r="K45" s="168"/>
      <c r="L45" s="168"/>
    </row>
    <row r="46" spans="2:12" ht="14.4">
      <c r="B46" s="507" t="s">
        <v>637</v>
      </c>
      <c r="C46" s="507"/>
      <c r="D46" s="2"/>
      <c r="E46" s="8"/>
      <c r="F46" s="8"/>
      <c r="G46" s="8"/>
      <c r="H46" s="8"/>
      <c r="I46" s="8"/>
      <c r="J46" s="2"/>
      <c r="K46" s="168"/>
      <c r="L46" s="168"/>
    </row>
    <row r="47" spans="2:12" ht="14.4">
      <c r="B47" s="507" t="s">
        <v>638</v>
      </c>
      <c r="C47" s="507"/>
      <c r="D47" s="2"/>
      <c r="E47" s="8"/>
      <c r="F47" s="8"/>
      <c r="G47" s="8"/>
      <c r="H47" s="8"/>
      <c r="I47" s="2"/>
      <c r="J47" s="2"/>
      <c r="K47" s="168"/>
      <c r="L47" s="168"/>
    </row>
    <row r="48" spans="2:12" ht="14.4">
      <c r="B48" s="507"/>
      <c r="C48" s="507"/>
      <c r="D48" s="2"/>
      <c r="E48" s="8"/>
      <c r="F48" s="8"/>
      <c r="G48" s="8"/>
      <c r="H48" s="8"/>
      <c r="I48" s="2"/>
      <c r="J48" s="2"/>
      <c r="K48" s="168"/>
      <c r="L48" s="168"/>
    </row>
    <row r="49" spans="2:12" ht="14.4">
      <c r="B49" s="881"/>
      <c r="C49" s="881"/>
      <c r="D49" s="881"/>
      <c r="E49" s="881"/>
      <c r="F49" s="881"/>
      <c r="G49" s="881"/>
      <c r="H49" s="881"/>
      <c r="I49" s="881"/>
      <c r="J49" s="2"/>
      <c r="K49" s="168"/>
      <c r="L49" s="168"/>
    </row>
    <row r="50" spans="2:12" ht="14.4">
      <c r="B50" s="507" t="s">
        <v>639</v>
      </c>
      <c r="C50" s="507"/>
      <c r="D50" s="2"/>
      <c r="E50" s="8"/>
      <c r="F50" s="8"/>
      <c r="G50" s="8"/>
      <c r="H50" s="8"/>
      <c r="I50" s="2"/>
      <c r="J50" s="2"/>
      <c r="K50" s="168"/>
      <c r="L50" s="168"/>
    </row>
    <row r="51" spans="2:12" ht="14.4">
      <c r="B51" s="507" t="s">
        <v>645</v>
      </c>
      <c r="C51" s="507"/>
      <c r="D51" s="2"/>
      <c r="E51" s="8"/>
      <c r="F51" s="8"/>
      <c r="G51" s="8"/>
      <c r="H51" s="8"/>
      <c r="I51" s="2"/>
      <c r="J51" s="2"/>
      <c r="K51" s="168"/>
      <c r="L51" s="168"/>
    </row>
    <row r="52" spans="2:12" ht="14.4">
      <c r="B52" s="2"/>
      <c r="C52" s="2"/>
      <c r="D52" s="2"/>
      <c r="E52" s="8"/>
      <c r="F52" s="8"/>
      <c r="G52" s="8"/>
      <c r="H52" s="8"/>
      <c r="I52" s="2"/>
      <c r="J52" s="2"/>
    </row>
    <row r="53" spans="2:12" ht="16.8" thickBot="1">
      <c r="B53" s="3"/>
      <c r="C53" s="3"/>
      <c r="D53" s="3"/>
      <c r="E53" s="3"/>
      <c r="F53" s="3"/>
      <c r="G53" s="3"/>
      <c r="H53" s="502"/>
      <c r="I53" s="3"/>
      <c r="J53" s="3"/>
    </row>
  </sheetData>
  <mergeCells count="8">
    <mergeCell ref="B10:J10"/>
    <mergeCell ref="B49:I49"/>
    <mergeCell ref="B26:J26"/>
    <mergeCell ref="B39:J39"/>
    <mergeCell ref="B2:J2"/>
    <mergeCell ref="B3:J3"/>
    <mergeCell ref="B4:J4"/>
    <mergeCell ref="B7:J7"/>
  </mergeCells>
  <pageMargins left="0.19685039370078741" right="0.15748031496062992" top="0.39370078740157483" bottom="0.47244094488188981" header="0.31496062992125984" footer="0.31496062992125984"/>
  <pageSetup scale="78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ED685-5D07-459F-82D0-D886E6A4FA97}">
  <sheetPr codeName="Sheet15"/>
  <dimension ref="A1:M88"/>
  <sheetViews>
    <sheetView topLeftCell="A10" zoomScaleNormal="100" workbookViewId="0">
      <selection activeCell="P14" sqref="P14"/>
    </sheetView>
  </sheetViews>
  <sheetFormatPr defaultColWidth="9.21875" defaultRowHeight="14.4"/>
  <cols>
    <col min="1" max="1" width="32.44140625" style="2" customWidth="1"/>
    <col min="2" max="3" width="11.77734375" style="2" customWidth="1"/>
    <col min="4" max="4" width="13.77734375" style="2" customWidth="1"/>
    <col min="5" max="10" width="11.77734375" style="2" customWidth="1"/>
    <col min="11" max="11" width="11.21875" style="2" customWidth="1"/>
    <col min="12" max="12" width="12.77734375" style="2" customWidth="1"/>
    <col min="13" max="13" width="11.44140625" style="2" customWidth="1"/>
    <col min="14" max="16384" width="9.21875" style="2"/>
  </cols>
  <sheetData>
    <row r="1" spans="1:13">
      <c r="A1" s="855" t="str">
        <f>Assumptions!I17</f>
        <v>Doe Textiles</v>
      </c>
      <c r="B1" s="855"/>
      <c r="C1" s="855"/>
      <c r="D1" s="855"/>
      <c r="E1" s="855"/>
      <c r="F1" s="855"/>
      <c r="G1" s="855"/>
      <c r="H1" s="855"/>
      <c r="I1" s="855"/>
      <c r="J1" s="855"/>
      <c r="K1" s="855"/>
      <c r="L1" s="855"/>
      <c r="M1" s="855"/>
    </row>
    <row r="2" spans="1:13">
      <c r="A2" s="855" t="str">
        <f>Assumptions!I8</f>
        <v>John Doe</v>
      </c>
      <c r="B2" s="855"/>
      <c r="C2" s="855"/>
      <c r="D2" s="855"/>
      <c r="E2" s="855"/>
      <c r="F2" s="855"/>
      <c r="G2" s="855"/>
      <c r="H2" s="855"/>
      <c r="I2" s="855"/>
      <c r="J2" s="855"/>
      <c r="K2" s="855"/>
      <c r="L2" s="855"/>
      <c r="M2" s="855"/>
    </row>
    <row r="3" spans="1:13">
      <c r="A3" s="856" t="str">
        <f>Assumptions!I16</f>
        <v>123 Industrial Area, City</v>
      </c>
      <c r="B3" s="856"/>
      <c r="C3" s="856"/>
      <c r="D3" s="856"/>
      <c r="E3" s="856"/>
      <c r="F3" s="856"/>
      <c r="G3" s="856"/>
      <c r="H3" s="856"/>
      <c r="I3" s="856"/>
      <c r="J3" s="856"/>
      <c r="K3" s="856"/>
      <c r="L3" s="856"/>
      <c r="M3" s="856"/>
    </row>
    <row r="4" spans="1:13">
      <c r="A4" s="856"/>
      <c r="B4" s="856"/>
      <c r="C4" s="856"/>
      <c r="D4" s="856"/>
      <c r="E4" s="856"/>
      <c r="F4" s="856"/>
      <c r="G4" s="856"/>
      <c r="H4" s="856"/>
      <c r="I4" s="856"/>
      <c r="J4" s="856"/>
      <c r="K4" s="856"/>
      <c r="L4" s="856"/>
      <c r="M4" s="856"/>
    </row>
    <row r="6" spans="1:13">
      <c r="A6" s="883" t="s">
        <v>124</v>
      </c>
      <c r="B6" s="883"/>
      <c r="C6" s="883"/>
      <c r="D6" s="883"/>
      <c r="E6" s="883"/>
      <c r="F6" s="883"/>
      <c r="G6" s="883"/>
      <c r="H6" s="883"/>
      <c r="I6" s="883"/>
      <c r="J6" s="883"/>
      <c r="K6" s="883"/>
      <c r="L6" s="883"/>
      <c r="M6" s="883"/>
    </row>
    <row r="7" spans="1:13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7" t="s">
        <v>218</v>
      </c>
    </row>
    <row r="8" spans="1:13">
      <c r="A8" s="228"/>
      <c r="B8" s="888" t="str">
        <f>Assumptions!C28</f>
        <v>Plant and Machinery</v>
      </c>
      <c r="C8" s="426"/>
      <c r="D8" s="888" t="str">
        <f>Assumptions!C30</f>
        <v>Shed Construction and Civil works</v>
      </c>
      <c r="E8" s="426"/>
      <c r="F8" s="426"/>
      <c r="G8" s="407"/>
      <c r="H8" s="407"/>
      <c r="I8" s="884" t="str">
        <f>Assumptions!C35</f>
        <v>Vehicles</v>
      </c>
      <c r="J8" s="424"/>
      <c r="K8" s="886" t="str">
        <f>Assumptions!C37</f>
        <v>Other Assets</v>
      </c>
      <c r="L8" s="888" t="str">
        <f>Assumptions!B226</f>
        <v>Other Assets (Nil depreciation)</v>
      </c>
      <c r="M8" s="229"/>
    </row>
    <row r="9" spans="1:13" ht="46.5" customHeight="1">
      <c r="A9" s="230"/>
      <c r="B9" s="889"/>
      <c r="C9" s="427" t="str">
        <f>Assumptions!C29</f>
        <v>Service Equipment</v>
      </c>
      <c r="D9" s="889"/>
      <c r="E9" s="427" t="str">
        <f>Assumptions!C31</f>
        <v>Land</v>
      </c>
      <c r="F9" s="427" t="str">
        <f>Assumptions!C32</f>
        <v xml:space="preserve">Electrical Items &amp; fittings                    </v>
      </c>
      <c r="G9" s="408" t="str">
        <f>Assumptions!C33</f>
        <v>Electronic Items</v>
      </c>
      <c r="H9" s="408" t="str">
        <f>Assumptions!C34</f>
        <v>Furniture and Fittings</v>
      </c>
      <c r="I9" s="885"/>
      <c r="J9" s="425" t="str">
        <f>Assumptions!C36</f>
        <v>Live stock</v>
      </c>
      <c r="K9" s="887"/>
      <c r="L9" s="889"/>
      <c r="M9" s="231" t="s">
        <v>39</v>
      </c>
    </row>
    <row r="10" spans="1:13" ht="15" thickBot="1">
      <c r="A10" s="232"/>
      <c r="B10" s="233">
        <f>Assumptions!F109</f>
        <v>0.15</v>
      </c>
      <c r="C10" s="233">
        <f>Assumptions!F110</f>
        <v>0.15</v>
      </c>
      <c r="D10" s="233">
        <f>Assumptions!F111</f>
        <v>0.1</v>
      </c>
      <c r="E10" s="233">
        <f>Assumptions!F112</f>
        <v>0</v>
      </c>
      <c r="F10" s="233">
        <f>Assumptions!F113</f>
        <v>0.15</v>
      </c>
      <c r="G10" s="233">
        <f>Assumptions!F114</f>
        <v>0.15</v>
      </c>
      <c r="H10" s="233">
        <f>Assumptions!F115</f>
        <v>0.1</v>
      </c>
      <c r="I10" s="233">
        <f>Assumptions!F116</f>
        <v>0.15</v>
      </c>
      <c r="J10" s="233">
        <f>Assumptions!F117</f>
        <v>0</v>
      </c>
      <c r="K10" s="233">
        <f>Assumptions!F118</f>
        <v>0.1</v>
      </c>
      <c r="L10" s="233">
        <v>0</v>
      </c>
      <c r="M10" s="234"/>
    </row>
    <row r="11" spans="1:13" ht="15" thickTop="1">
      <c r="A11" s="6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7"/>
    </row>
    <row r="12" spans="1:13">
      <c r="A12" s="28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7"/>
    </row>
    <row r="13" spans="1:13">
      <c r="A13" s="59" t="str">
        <f>Assumptions!I78</f>
        <v>2024-25</v>
      </c>
      <c r="B13" s="26"/>
      <c r="C13" s="26"/>
      <c r="D13" s="26"/>
      <c r="E13" s="26"/>
      <c r="F13" s="26"/>
      <c r="G13" s="26"/>
      <c r="H13" s="26"/>
      <c r="I13" s="140"/>
      <c r="J13" s="140"/>
      <c r="K13" s="140"/>
      <c r="L13" s="140"/>
      <c r="M13" s="20"/>
    </row>
    <row r="14" spans="1:13">
      <c r="A14" s="375" t="s">
        <v>426</v>
      </c>
      <c r="B14" s="376">
        <v>0</v>
      </c>
      <c r="C14" s="376">
        <v>0</v>
      </c>
      <c r="D14" s="376">
        <v>0</v>
      </c>
      <c r="E14" s="376">
        <v>0</v>
      </c>
      <c r="F14" s="376">
        <v>0</v>
      </c>
      <c r="G14" s="376">
        <v>0</v>
      </c>
      <c r="H14" s="376">
        <v>0</v>
      </c>
      <c r="I14" s="376">
        <v>0</v>
      </c>
      <c r="J14" s="376">
        <v>0</v>
      </c>
      <c r="K14" s="376">
        <v>0</v>
      </c>
      <c r="L14" s="376">
        <v>0</v>
      </c>
      <c r="M14" s="377">
        <f>SUM(B14:L14)</f>
        <v>0</v>
      </c>
    </row>
    <row r="15" spans="1:13">
      <c r="A15" s="6" t="s">
        <v>428</v>
      </c>
      <c r="B15" s="26">
        <f>'project cost'!C15</f>
        <v>70000</v>
      </c>
      <c r="C15" s="26">
        <f>Assumptions!I29</f>
        <v>0</v>
      </c>
      <c r="D15" s="26">
        <f>Assumptions!I30</f>
        <v>0</v>
      </c>
      <c r="E15" s="26">
        <f>Assumptions!I31</f>
        <v>0</v>
      </c>
      <c r="F15" s="26">
        <f>Assumptions!I32</f>
        <v>0</v>
      </c>
      <c r="G15" s="26">
        <f>Assumptions!I33</f>
        <v>0</v>
      </c>
      <c r="H15" s="26">
        <f>Assumptions!I34</f>
        <v>5000</v>
      </c>
      <c r="I15" s="26">
        <f>Assumptions!I35</f>
        <v>0</v>
      </c>
      <c r="J15" s="26">
        <f>Assumptions!I36</f>
        <v>0</v>
      </c>
      <c r="K15" s="26">
        <f>Assumptions!I37</f>
        <v>0</v>
      </c>
      <c r="L15" s="26">
        <f>Assumptions!I38</f>
        <v>0</v>
      </c>
      <c r="M15" s="377">
        <f t="shared" ref="M15:M67" si="0">SUM(B15:L15)</f>
        <v>75000</v>
      </c>
    </row>
    <row r="16" spans="1:13">
      <c r="A16" s="6" t="s">
        <v>39</v>
      </c>
      <c r="B16" s="26">
        <f>B14+B15</f>
        <v>70000</v>
      </c>
      <c r="C16" s="26">
        <f t="shared" ref="C16:K16" si="1">C14+C15</f>
        <v>0</v>
      </c>
      <c r="D16" s="26">
        <f t="shared" si="1"/>
        <v>0</v>
      </c>
      <c r="E16" s="26">
        <f t="shared" si="1"/>
        <v>0</v>
      </c>
      <c r="F16" s="26">
        <f t="shared" si="1"/>
        <v>0</v>
      </c>
      <c r="G16" s="26">
        <f t="shared" si="1"/>
        <v>0</v>
      </c>
      <c r="H16" s="26">
        <f t="shared" si="1"/>
        <v>5000</v>
      </c>
      <c r="I16" s="26">
        <f t="shared" si="1"/>
        <v>0</v>
      </c>
      <c r="J16" s="26">
        <f t="shared" si="1"/>
        <v>0</v>
      </c>
      <c r="K16" s="26">
        <f t="shared" si="1"/>
        <v>0</v>
      </c>
      <c r="L16" s="26">
        <f>L14+L15</f>
        <v>0</v>
      </c>
      <c r="M16" s="377">
        <f t="shared" si="0"/>
        <v>75000</v>
      </c>
    </row>
    <row r="17" spans="1:13">
      <c r="A17" s="6" t="s">
        <v>427</v>
      </c>
      <c r="B17" s="26">
        <f>B10*B16*Assumptions!I62/Assumptions!F130</f>
        <v>8750</v>
      </c>
      <c r="C17" s="26">
        <f>C10*C16*Assumptions!I62/Assumptions!F130</f>
        <v>0</v>
      </c>
      <c r="D17" s="26">
        <f>D10*D16*Assumptions!I62/Assumptions!F130</f>
        <v>0</v>
      </c>
      <c r="E17" s="26">
        <f>E10*E16*Assumptions!I62/Assumptions!F130</f>
        <v>0</v>
      </c>
      <c r="F17" s="26">
        <f>F10*F16*Assumptions!I62/Assumptions!F130</f>
        <v>0</v>
      </c>
      <c r="G17" s="26">
        <f>G10*G16*Assumptions!I62/Assumptions!F130</f>
        <v>0</v>
      </c>
      <c r="H17" s="26">
        <f>H10*H16*Assumptions!I62/Assumptions!F130</f>
        <v>416.66666666666669</v>
      </c>
      <c r="I17" s="26">
        <f>I10*I16*Assumptions!I62/Assumptions!F130</f>
        <v>0</v>
      </c>
      <c r="J17" s="26">
        <f>J10*J16*Assumptions!I62/Assumptions!F130</f>
        <v>0</v>
      </c>
      <c r="K17" s="26">
        <f>K10*K16*Assumptions!I62/Assumptions!F130</f>
        <v>0</v>
      </c>
      <c r="L17" s="26">
        <f>L10</f>
        <v>0</v>
      </c>
      <c r="M17" s="377">
        <f t="shared" si="0"/>
        <v>9166.6666666666661</v>
      </c>
    </row>
    <row r="18" spans="1:13">
      <c r="A18" s="375" t="s">
        <v>425</v>
      </c>
      <c r="B18" s="376">
        <f>B16-B17</f>
        <v>61250</v>
      </c>
      <c r="C18" s="376">
        <f t="shared" ref="C18:K18" si="2">C16-C17</f>
        <v>0</v>
      </c>
      <c r="D18" s="376">
        <f t="shared" si="2"/>
        <v>0</v>
      </c>
      <c r="E18" s="376">
        <f t="shared" si="2"/>
        <v>0</v>
      </c>
      <c r="F18" s="376">
        <f t="shared" si="2"/>
        <v>0</v>
      </c>
      <c r="G18" s="376">
        <f t="shared" si="2"/>
        <v>0</v>
      </c>
      <c r="H18" s="376">
        <f t="shared" si="2"/>
        <v>4583.333333333333</v>
      </c>
      <c r="I18" s="376">
        <f t="shared" si="2"/>
        <v>0</v>
      </c>
      <c r="J18" s="376">
        <f t="shared" si="2"/>
        <v>0</v>
      </c>
      <c r="K18" s="376">
        <f t="shared" si="2"/>
        <v>0</v>
      </c>
      <c r="L18" s="376">
        <f>L16-L17</f>
        <v>0</v>
      </c>
      <c r="M18" s="377">
        <f t="shared" si="0"/>
        <v>65833.333333333328</v>
      </c>
    </row>
    <row r="19" spans="1:13">
      <c r="A19" s="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377"/>
    </row>
    <row r="20" spans="1:13">
      <c r="A20" s="59" t="str">
        <f>Assumptions!I79</f>
        <v>2025-26</v>
      </c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377"/>
    </row>
    <row r="21" spans="1:13">
      <c r="A21" s="375" t="s">
        <v>531</v>
      </c>
      <c r="B21" s="376">
        <f>B18</f>
        <v>61250</v>
      </c>
      <c r="C21" s="376">
        <f t="shared" ref="C21:K21" si="3">C18</f>
        <v>0</v>
      </c>
      <c r="D21" s="376">
        <f t="shared" si="3"/>
        <v>0</v>
      </c>
      <c r="E21" s="376">
        <f t="shared" si="3"/>
        <v>0</v>
      </c>
      <c r="F21" s="376">
        <f t="shared" si="3"/>
        <v>0</v>
      </c>
      <c r="G21" s="376">
        <f t="shared" si="3"/>
        <v>0</v>
      </c>
      <c r="H21" s="376">
        <f t="shared" si="3"/>
        <v>4583.333333333333</v>
      </c>
      <c r="I21" s="376">
        <f t="shared" si="3"/>
        <v>0</v>
      </c>
      <c r="J21" s="376">
        <f t="shared" si="3"/>
        <v>0</v>
      </c>
      <c r="K21" s="376">
        <f t="shared" si="3"/>
        <v>0</v>
      </c>
      <c r="L21" s="376">
        <f>L18</f>
        <v>0</v>
      </c>
      <c r="M21" s="377">
        <f t="shared" si="0"/>
        <v>65833.333333333328</v>
      </c>
    </row>
    <row r="22" spans="1:13">
      <c r="A22" s="6" t="s">
        <v>428</v>
      </c>
      <c r="B22" s="26">
        <v>0</v>
      </c>
      <c r="C22" s="26">
        <v>0</v>
      </c>
      <c r="D22" s="26">
        <v>0</v>
      </c>
      <c r="E22" s="26">
        <v>0</v>
      </c>
      <c r="F22" s="26">
        <v>0</v>
      </c>
      <c r="G22" s="26">
        <v>0</v>
      </c>
      <c r="H22" s="26">
        <v>0</v>
      </c>
      <c r="I22" s="26">
        <v>0</v>
      </c>
      <c r="J22" s="26">
        <v>0</v>
      </c>
      <c r="K22" s="26">
        <v>0</v>
      </c>
      <c r="L22" s="26">
        <v>0</v>
      </c>
      <c r="M22" s="377">
        <f t="shared" si="0"/>
        <v>0</v>
      </c>
    </row>
    <row r="23" spans="1:13">
      <c r="A23" s="6" t="s">
        <v>39</v>
      </c>
      <c r="B23" s="26">
        <f>B21+B22</f>
        <v>61250</v>
      </c>
      <c r="C23" s="26">
        <f t="shared" ref="C23:K23" si="4">C21+C22</f>
        <v>0</v>
      </c>
      <c r="D23" s="26">
        <f t="shared" si="4"/>
        <v>0</v>
      </c>
      <c r="E23" s="26">
        <f t="shared" si="4"/>
        <v>0</v>
      </c>
      <c r="F23" s="26">
        <f t="shared" si="4"/>
        <v>0</v>
      </c>
      <c r="G23" s="26">
        <f t="shared" si="4"/>
        <v>0</v>
      </c>
      <c r="H23" s="26">
        <f t="shared" si="4"/>
        <v>4583.333333333333</v>
      </c>
      <c r="I23" s="26">
        <f t="shared" si="4"/>
        <v>0</v>
      </c>
      <c r="J23" s="26">
        <f t="shared" si="4"/>
        <v>0</v>
      </c>
      <c r="K23" s="26">
        <f t="shared" si="4"/>
        <v>0</v>
      </c>
      <c r="L23" s="26">
        <f>L21+L22</f>
        <v>0</v>
      </c>
      <c r="M23" s="377">
        <f t="shared" si="0"/>
        <v>65833.333333333328</v>
      </c>
    </row>
    <row r="24" spans="1:13">
      <c r="A24" s="6" t="s">
        <v>427</v>
      </c>
      <c r="B24" s="26">
        <f>B23*B10*Assumptions!I63/Assumptions!F130</f>
        <v>9187.5</v>
      </c>
      <c r="C24" s="26">
        <f>C23*C10*Assumptions!I63/Assumptions!F130</f>
        <v>0</v>
      </c>
      <c r="D24" s="26">
        <f>D23*D10*Assumptions!I63/Assumptions!F130</f>
        <v>0</v>
      </c>
      <c r="E24" s="26">
        <f>E23*E10*Assumptions!I63/Assumptions!F130</f>
        <v>0</v>
      </c>
      <c r="F24" s="26">
        <f>F23*F10*Assumptions!I63/Assumptions!F130</f>
        <v>0</v>
      </c>
      <c r="G24" s="26">
        <f>G23*G10*Assumptions!I63/Assumptions!F130</f>
        <v>0</v>
      </c>
      <c r="H24" s="26">
        <f>H23*H10*Assumptions!I63/Assumptions!F130</f>
        <v>458.33333333333331</v>
      </c>
      <c r="I24" s="26">
        <f>I23*I10*Assumptions!I63/Assumptions!F130</f>
        <v>0</v>
      </c>
      <c r="J24" s="26">
        <f>J23*J10*Assumptions!I63/Assumptions!F130</f>
        <v>0</v>
      </c>
      <c r="K24" s="26">
        <f>K23*K10*Assumptions!I63/Assumptions!F130</f>
        <v>0</v>
      </c>
      <c r="L24" s="26">
        <f>L23*L10</f>
        <v>0</v>
      </c>
      <c r="M24" s="377">
        <f t="shared" si="0"/>
        <v>9645.8333333333339</v>
      </c>
    </row>
    <row r="25" spans="1:13">
      <c r="A25" s="375" t="s">
        <v>429</v>
      </c>
      <c r="B25" s="376">
        <f>B23-B24</f>
        <v>52062.5</v>
      </c>
      <c r="C25" s="376">
        <f t="shared" ref="C25:K25" si="5">C23-C24</f>
        <v>0</v>
      </c>
      <c r="D25" s="376">
        <f t="shared" si="5"/>
        <v>0</v>
      </c>
      <c r="E25" s="376">
        <f t="shared" si="5"/>
        <v>0</v>
      </c>
      <c r="F25" s="376">
        <f t="shared" si="5"/>
        <v>0</v>
      </c>
      <c r="G25" s="376">
        <f t="shared" si="5"/>
        <v>0</v>
      </c>
      <c r="H25" s="376">
        <f t="shared" si="5"/>
        <v>4125</v>
      </c>
      <c r="I25" s="376">
        <f t="shared" si="5"/>
        <v>0</v>
      </c>
      <c r="J25" s="376">
        <f t="shared" si="5"/>
        <v>0</v>
      </c>
      <c r="K25" s="376">
        <f t="shared" si="5"/>
        <v>0</v>
      </c>
      <c r="L25" s="376">
        <f>L23-L24</f>
        <v>0</v>
      </c>
      <c r="M25" s="377">
        <f t="shared" si="0"/>
        <v>56187.5</v>
      </c>
    </row>
    <row r="26" spans="1:13">
      <c r="A26" s="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377"/>
    </row>
    <row r="27" spans="1:13">
      <c r="A27" s="59" t="str">
        <f>Assumptions!I80</f>
        <v>2026-27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377"/>
    </row>
    <row r="28" spans="1:13">
      <c r="A28" s="375" t="s">
        <v>530</v>
      </c>
      <c r="B28" s="376">
        <f>B25</f>
        <v>52062.5</v>
      </c>
      <c r="C28" s="376">
        <f t="shared" ref="C28:K28" si="6">C25</f>
        <v>0</v>
      </c>
      <c r="D28" s="376">
        <f t="shared" si="6"/>
        <v>0</v>
      </c>
      <c r="E28" s="376">
        <f t="shared" si="6"/>
        <v>0</v>
      </c>
      <c r="F28" s="376">
        <f t="shared" si="6"/>
        <v>0</v>
      </c>
      <c r="G28" s="376">
        <f t="shared" si="6"/>
        <v>0</v>
      </c>
      <c r="H28" s="376">
        <f t="shared" si="6"/>
        <v>4125</v>
      </c>
      <c r="I28" s="376">
        <f t="shared" si="6"/>
        <v>0</v>
      </c>
      <c r="J28" s="376">
        <f t="shared" si="6"/>
        <v>0</v>
      </c>
      <c r="K28" s="376">
        <f t="shared" si="6"/>
        <v>0</v>
      </c>
      <c r="L28" s="376">
        <f>L25</f>
        <v>0</v>
      </c>
      <c r="M28" s="377">
        <f t="shared" si="0"/>
        <v>56187.5</v>
      </c>
    </row>
    <row r="29" spans="1:13">
      <c r="A29" s="6" t="s">
        <v>428</v>
      </c>
      <c r="B29" s="26">
        <v>0</v>
      </c>
      <c r="C29" s="26">
        <v>0</v>
      </c>
      <c r="D29" s="26">
        <v>0</v>
      </c>
      <c r="E29" s="26">
        <v>0</v>
      </c>
      <c r="F29" s="26">
        <v>0</v>
      </c>
      <c r="G29" s="26">
        <v>0</v>
      </c>
      <c r="H29" s="26">
        <v>0</v>
      </c>
      <c r="I29" s="26">
        <v>0</v>
      </c>
      <c r="J29" s="26">
        <v>0</v>
      </c>
      <c r="K29" s="26">
        <v>0</v>
      </c>
      <c r="L29" s="26">
        <v>0</v>
      </c>
      <c r="M29" s="377">
        <f t="shared" si="0"/>
        <v>0</v>
      </c>
    </row>
    <row r="30" spans="1:13">
      <c r="A30" s="6" t="s">
        <v>39</v>
      </c>
      <c r="B30" s="26">
        <f>B28+B29</f>
        <v>52062.5</v>
      </c>
      <c r="C30" s="26">
        <f t="shared" ref="C30:K30" si="7">C28+C29</f>
        <v>0</v>
      </c>
      <c r="D30" s="26">
        <f t="shared" si="7"/>
        <v>0</v>
      </c>
      <c r="E30" s="26">
        <f t="shared" si="7"/>
        <v>0</v>
      </c>
      <c r="F30" s="26">
        <f t="shared" si="7"/>
        <v>0</v>
      </c>
      <c r="G30" s="26">
        <f t="shared" si="7"/>
        <v>0</v>
      </c>
      <c r="H30" s="26">
        <f t="shared" si="7"/>
        <v>4125</v>
      </c>
      <c r="I30" s="26">
        <f t="shared" si="7"/>
        <v>0</v>
      </c>
      <c r="J30" s="26">
        <f t="shared" si="7"/>
        <v>0</v>
      </c>
      <c r="K30" s="26">
        <f t="shared" si="7"/>
        <v>0</v>
      </c>
      <c r="L30" s="26">
        <f>L28+L29</f>
        <v>0</v>
      </c>
      <c r="M30" s="377">
        <f t="shared" si="0"/>
        <v>56187.5</v>
      </c>
    </row>
    <row r="31" spans="1:13">
      <c r="A31" s="6" t="s">
        <v>427</v>
      </c>
      <c r="B31" s="26">
        <f>B30*B10</f>
        <v>7809.375</v>
      </c>
      <c r="C31" s="26">
        <f t="shared" ref="C31:K31" si="8">C30*C10</f>
        <v>0</v>
      </c>
      <c r="D31" s="26">
        <f t="shared" si="8"/>
        <v>0</v>
      </c>
      <c r="E31" s="26">
        <f t="shared" si="8"/>
        <v>0</v>
      </c>
      <c r="F31" s="26">
        <f t="shared" si="8"/>
        <v>0</v>
      </c>
      <c r="G31" s="26">
        <f t="shared" si="8"/>
        <v>0</v>
      </c>
      <c r="H31" s="26">
        <f t="shared" si="8"/>
        <v>412.5</v>
      </c>
      <c r="I31" s="26">
        <f t="shared" si="8"/>
        <v>0</v>
      </c>
      <c r="J31" s="26">
        <f t="shared" si="8"/>
        <v>0</v>
      </c>
      <c r="K31" s="26">
        <f t="shared" si="8"/>
        <v>0</v>
      </c>
      <c r="L31" s="26">
        <f>L30*L10</f>
        <v>0</v>
      </c>
      <c r="M31" s="377">
        <f t="shared" si="0"/>
        <v>8221.875</v>
      </c>
    </row>
    <row r="32" spans="1:13">
      <c r="A32" s="375" t="s">
        <v>430</v>
      </c>
      <c r="B32" s="376">
        <f>B30-B31</f>
        <v>44253.125</v>
      </c>
      <c r="C32" s="376">
        <f t="shared" ref="C32:K32" si="9">C30-C31</f>
        <v>0</v>
      </c>
      <c r="D32" s="376">
        <f t="shared" si="9"/>
        <v>0</v>
      </c>
      <c r="E32" s="376">
        <f t="shared" si="9"/>
        <v>0</v>
      </c>
      <c r="F32" s="376">
        <f t="shared" si="9"/>
        <v>0</v>
      </c>
      <c r="G32" s="376">
        <f t="shared" si="9"/>
        <v>0</v>
      </c>
      <c r="H32" s="376">
        <f t="shared" si="9"/>
        <v>3712.5</v>
      </c>
      <c r="I32" s="376">
        <f t="shared" si="9"/>
        <v>0</v>
      </c>
      <c r="J32" s="376">
        <f t="shared" si="9"/>
        <v>0</v>
      </c>
      <c r="K32" s="376">
        <f t="shared" si="9"/>
        <v>0</v>
      </c>
      <c r="L32" s="376">
        <f>L30-L31</f>
        <v>0</v>
      </c>
      <c r="M32" s="377">
        <f t="shared" si="0"/>
        <v>47965.625</v>
      </c>
    </row>
    <row r="33" spans="1:13">
      <c r="A33" s="6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377"/>
    </row>
    <row r="34" spans="1:13">
      <c r="A34" s="59" t="str">
        <f>Assumptions!I81</f>
        <v>2027-28</v>
      </c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377"/>
    </row>
    <row r="35" spans="1:13">
      <c r="A35" s="375" t="s">
        <v>529</v>
      </c>
      <c r="B35" s="376">
        <f>B32</f>
        <v>44253.125</v>
      </c>
      <c r="C35" s="376">
        <f t="shared" ref="C35:K35" si="10">C32</f>
        <v>0</v>
      </c>
      <c r="D35" s="376">
        <f t="shared" si="10"/>
        <v>0</v>
      </c>
      <c r="E35" s="376">
        <f t="shared" si="10"/>
        <v>0</v>
      </c>
      <c r="F35" s="376">
        <f t="shared" si="10"/>
        <v>0</v>
      </c>
      <c r="G35" s="376">
        <f t="shared" si="10"/>
        <v>0</v>
      </c>
      <c r="H35" s="376">
        <f t="shared" si="10"/>
        <v>3712.5</v>
      </c>
      <c r="I35" s="376">
        <f t="shared" si="10"/>
        <v>0</v>
      </c>
      <c r="J35" s="376">
        <f t="shared" si="10"/>
        <v>0</v>
      </c>
      <c r="K35" s="376">
        <f t="shared" si="10"/>
        <v>0</v>
      </c>
      <c r="L35" s="376">
        <f>L32</f>
        <v>0</v>
      </c>
      <c r="M35" s="377">
        <f t="shared" si="0"/>
        <v>47965.625</v>
      </c>
    </row>
    <row r="36" spans="1:13">
      <c r="A36" s="6" t="s">
        <v>428</v>
      </c>
      <c r="B36" s="26">
        <v>0</v>
      </c>
      <c r="C36" s="26">
        <v>0</v>
      </c>
      <c r="D36" s="26">
        <v>0</v>
      </c>
      <c r="E36" s="26">
        <v>0</v>
      </c>
      <c r="F36" s="26">
        <v>0</v>
      </c>
      <c r="G36" s="26">
        <v>0</v>
      </c>
      <c r="H36" s="26">
        <v>0</v>
      </c>
      <c r="I36" s="26">
        <v>0</v>
      </c>
      <c r="J36" s="26">
        <v>0</v>
      </c>
      <c r="K36" s="26">
        <v>0</v>
      </c>
      <c r="L36" s="26">
        <v>0</v>
      </c>
      <c r="M36" s="377">
        <f t="shared" si="0"/>
        <v>0</v>
      </c>
    </row>
    <row r="37" spans="1:13">
      <c r="A37" s="6" t="s">
        <v>39</v>
      </c>
      <c r="B37" s="26">
        <f>B35+B36</f>
        <v>44253.125</v>
      </c>
      <c r="C37" s="26">
        <f t="shared" ref="C37:K37" si="11">C35+C36</f>
        <v>0</v>
      </c>
      <c r="D37" s="26">
        <f t="shared" si="11"/>
        <v>0</v>
      </c>
      <c r="E37" s="26">
        <f t="shared" si="11"/>
        <v>0</v>
      </c>
      <c r="F37" s="26">
        <f t="shared" si="11"/>
        <v>0</v>
      </c>
      <c r="G37" s="26">
        <f t="shared" si="11"/>
        <v>0</v>
      </c>
      <c r="H37" s="26">
        <f t="shared" si="11"/>
        <v>3712.5</v>
      </c>
      <c r="I37" s="26">
        <f t="shared" si="11"/>
        <v>0</v>
      </c>
      <c r="J37" s="26">
        <f t="shared" si="11"/>
        <v>0</v>
      </c>
      <c r="K37" s="26">
        <f t="shared" si="11"/>
        <v>0</v>
      </c>
      <c r="L37" s="26">
        <f>L35+L36</f>
        <v>0</v>
      </c>
      <c r="M37" s="377">
        <f t="shared" si="0"/>
        <v>47965.625</v>
      </c>
    </row>
    <row r="38" spans="1:13">
      <c r="A38" s="6" t="s">
        <v>427</v>
      </c>
      <c r="B38" s="26">
        <f>B37*B10</f>
        <v>6637.96875</v>
      </c>
      <c r="C38" s="26">
        <f t="shared" ref="C38:K38" si="12">C37*C10</f>
        <v>0</v>
      </c>
      <c r="D38" s="26">
        <f t="shared" si="12"/>
        <v>0</v>
      </c>
      <c r="E38" s="26">
        <f t="shared" si="12"/>
        <v>0</v>
      </c>
      <c r="F38" s="26">
        <f t="shared" si="12"/>
        <v>0</v>
      </c>
      <c r="G38" s="26">
        <f t="shared" si="12"/>
        <v>0</v>
      </c>
      <c r="H38" s="26">
        <f t="shared" si="12"/>
        <v>371.25</v>
      </c>
      <c r="I38" s="26">
        <f t="shared" si="12"/>
        <v>0</v>
      </c>
      <c r="J38" s="26">
        <f t="shared" si="12"/>
        <v>0</v>
      </c>
      <c r="K38" s="26">
        <f t="shared" si="12"/>
        <v>0</v>
      </c>
      <c r="L38" s="26">
        <f>L37*L10</f>
        <v>0</v>
      </c>
      <c r="M38" s="377">
        <f t="shared" si="0"/>
        <v>7009.21875</v>
      </c>
    </row>
    <row r="39" spans="1:13">
      <c r="A39" s="375" t="s">
        <v>123</v>
      </c>
      <c r="B39" s="376">
        <f>B37-B38</f>
        <v>37615.15625</v>
      </c>
      <c r="C39" s="376">
        <f t="shared" ref="C39:K39" si="13">C37-C38</f>
        <v>0</v>
      </c>
      <c r="D39" s="376">
        <f t="shared" si="13"/>
        <v>0</v>
      </c>
      <c r="E39" s="376">
        <f t="shared" si="13"/>
        <v>0</v>
      </c>
      <c r="F39" s="376">
        <f t="shared" si="13"/>
        <v>0</v>
      </c>
      <c r="G39" s="376">
        <f t="shared" si="13"/>
        <v>0</v>
      </c>
      <c r="H39" s="376">
        <f t="shared" si="13"/>
        <v>3341.25</v>
      </c>
      <c r="I39" s="376">
        <f t="shared" si="13"/>
        <v>0</v>
      </c>
      <c r="J39" s="376">
        <f t="shared" si="13"/>
        <v>0</v>
      </c>
      <c r="K39" s="376">
        <f t="shared" si="13"/>
        <v>0</v>
      </c>
      <c r="L39" s="376">
        <f>L37-L38</f>
        <v>0</v>
      </c>
      <c r="M39" s="377">
        <f t="shared" si="0"/>
        <v>40956.40625</v>
      </c>
    </row>
    <row r="40" spans="1:13">
      <c r="A40" s="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377"/>
    </row>
    <row r="41" spans="1:13">
      <c r="A41" s="59" t="str">
        <f>Assumptions!I82</f>
        <v>2028-29</v>
      </c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377"/>
    </row>
    <row r="42" spans="1:13">
      <c r="A42" s="375" t="s">
        <v>528</v>
      </c>
      <c r="B42" s="376">
        <f>B39</f>
        <v>37615.15625</v>
      </c>
      <c r="C42" s="376">
        <f t="shared" ref="C42:K42" si="14">C39</f>
        <v>0</v>
      </c>
      <c r="D42" s="376">
        <f t="shared" si="14"/>
        <v>0</v>
      </c>
      <c r="E42" s="376">
        <f t="shared" si="14"/>
        <v>0</v>
      </c>
      <c r="F42" s="376">
        <f t="shared" si="14"/>
        <v>0</v>
      </c>
      <c r="G42" s="376">
        <f t="shared" si="14"/>
        <v>0</v>
      </c>
      <c r="H42" s="376">
        <f t="shared" si="14"/>
        <v>3341.25</v>
      </c>
      <c r="I42" s="376">
        <f t="shared" si="14"/>
        <v>0</v>
      </c>
      <c r="J42" s="376">
        <f t="shared" si="14"/>
        <v>0</v>
      </c>
      <c r="K42" s="376">
        <f t="shared" si="14"/>
        <v>0</v>
      </c>
      <c r="L42" s="376">
        <f>L39</f>
        <v>0</v>
      </c>
      <c r="M42" s="377">
        <f t="shared" si="0"/>
        <v>40956.40625</v>
      </c>
    </row>
    <row r="43" spans="1:13">
      <c r="A43" s="6" t="s">
        <v>428</v>
      </c>
      <c r="B43" s="26">
        <v>0</v>
      </c>
      <c r="C43" s="26">
        <v>0</v>
      </c>
      <c r="D43" s="26">
        <v>0</v>
      </c>
      <c r="E43" s="26">
        <v>0</v>
      </c>
      <c r="F43" s="26">
        <v>0</v>
      </c>
      <c r="G43" s="26">
        <v>0</v>
      </c>
      <c r="H43" s="26">
        <v>0</v>
      </c>
      <c r="I43" s="26">
        <v>0</v>
      </c>
      <c r="J43" s="26">
        <v>0</v>
      </c>
      <c r="K43" s="26">
        <v>0</v>
      </c>
      <c r="L43" s="26">
        <v>0</v>
      </c>
      <c r="M43" s="377">
        <f t="shared" si="0"/>
        <v>0</v>
      </c>
    </row>
    <row r="44" spans="1:13">
      <c r="A44" s="6" t="s">
        <v>39</v>
      </c>
      <c r="B44" s="26">
        <f>B42+B43</f>
        <v>37615.15625</v>
      </c>
      <c r="C44" s="26">
        <f t="shared" ref="C44:K44" si="15">C42+C43</f>
        <v>0</v>
      </c>
      <c r="D44" s="26">
        <f t="shared" si="15"/>
        <v>0</v>
      </c>
      <c r="E44" s="26">
        <f t="shared" si="15"/>
        <v>0</v>
      </c>
      <c r="F44" s="26">
        <f t="shared" si="15"/>
        <v>0</v>
      </c>
      <c r="G44" s="26">
        <f t="shared" si="15"/>
        <v>0</v>
      </c>
      <c r="H44" s="26">
        <f t="shared" si="15"/>
        <v>3341.25</v>
      </c>
      <c r="I44" s="26">
        <f t="shared" si="15"/>
        <v>0</v>
      </c>
      <c r="J44" s="26">
        <f t="shared" si="15"/>
        <v>0</v>
      </c>
      <c r="K44" s="26">
        <f t="shared" si="15"/>
        <v>0</v>
      </c>
      <c r="L44" s="26">
        <f>L42+L43</f>
        <v>0</v>
      </c>
      <c r="M44" s="377">
        <f t="shared" si="0"/>
        <v>40956.40625</v>
      </c>
    </row>
    <row r="45" spans="1:13">
      <c r="A45" s="6" t="s">
        <v>427</v>
      </c>
      <c r="B45" s="26">
        <f>B44*B10</f>
        <v>5642.2734375</v>
      </c>
      <c r="C45" s="26">
        <f t="shared" ref="C45:K45" si="16">C44*C10</f>
        <v>0</v>
      </c>
      <c r="D45" s="26">
        <f t="shared" si="16"/>
        <v>0</v>
      </c>
      <c r="E45" s="26">
        <f t="shared" si="16"/>
        <v>0</v>
      </c>
      <c r="F45" s="26">
        <f t="shared" si="16"/>
        <v>0</v>
      </c>
      <c r="G45" s="26">
        <f t="shared" si="16"/>
        <v>0</v>
      </c>
      <c r="H45" s="26">
        <f t="shared" si="16"/>
        <v>334.125</v>
      </c>
      <c r="I45" s="26">
        <f t="shared" si="16"/>
        <v>0</v>
      </c>
      <c r="J45" s="26">
        <f t="shared" si="16"/>
        <v>0</v>
      </c>
      <c r="K45" s="26">
        <f t="shared" si="16"/>
        <v>0</v>
      </c>
      <c r="L45" s="26">
        <f>L44*L10</f>
        <v>0</v>
      </c>
      <c r="M45" s="377">
        <f t="shared" si="0"/>
        <v>5976.3984375</v>
      </c>
    </row>
    <row r="46" spans="1:13">
      <c r="A46" s="375" t="s">
        <v>431</v>
      </c>
      <c r="B46" s="376">
        <f>B44-B45</f>
        <v>31972.8828125</v>
      </c>
      <c r="C46" s="376">
        <f t="shared" ref="C46:K46" si="17">C44-C45</f>
        <v>0</v>
      </c>
      <c r="D46" s="376">
        <f t="shared" si="17"/>
        <v>0</v>
      </c>
      <c r="E46" s="376">
        <f t="shared" si="17"/>
        <v>0</v>
      </c>
      <c r="F46" s="376">
        <f t="shared" si="17"/>
        <v>0</v>
      </c>
      <c r="G46" s="376">
        <f t="shared" si="17"/>
        <v>0</v>
      </c>
      <c r="H46" s="376">
        <f t="shared" si="17"/>
        <v>3007.125</v>
      </c>
      <c r="I46" s="376">
        <f t="shared" si="17"/>
        <v>0</v>
      </c>
      <c r="J46" s="376">
        <f t="shared" si="17"/>
        <v>0</v>
      </c>
      <c r="K46" s="376">
        <f t="shared" si="17"/>
        <v>0</v>
      </c>
      <c r="L46" s="376">
        <f>L44-L45</f>
        <v>0</v>
      </c>
      <c r="M46" s="377">
        <f t="shared" si="0"/>
        <v>34980.0078125</v>
      </c>
    </row>
    <row r="47" spans="1:13">
      <c r="A47" s="6"/>
      <c r="B47" s="140"/>
      <c r="C47" s="140"/>
      <c r="D47" s="140"/>
      <c r="E47" s="140"/>
      <c r="F47" s="140"/>
      <c r="G47" s="140"/>
      <c r="H47" s="140"/>
      <c r="I47" s="140"/>
      <c r="J47" s="140"/>
      <c r="K47" s="140"/>
      <c r="L47" s="140"/>
      <c r="M47" s="377"/>
    </row>
    <row r="48" spans="1:13">
      <c r="A48" s="59" t="str">
        <f>Assumptions!I83</f>
        <v>2029-30</v>
      </c>
      <c r="B48" s="140"/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377"/>
    </row>
    <row r="49" spans="1:13">
      <c r="A49" s="375" t="s">
        <v>527</v>
      </c>
      <c r="B49" s="376">
        <f>B46</f>
        <v>31972.8828125</v>
      </c>
      <c r="C49" s="376">
        <f t="shared" ref="C49:K49" si="18">C46</f>
        <v>0</v>
      </c>
      <c r="D49" s="376">
        <f t="shared" si="18"/>
        <v>0</v>
      </c>
      <c r="E49" s="376">
        <f t="shared" si="18"/>
        <v>0</v>
      </c>
      <c r="F49" s="376">
        <f t="shared" si="18"/>
        <v>0</v>
      </c>
      <c r="G49" s="376">
        <f t="shared" si="18"/>
        <v>0</v>
      </c>
      <c r="H49" s="376">
        <f t="shared" si="18"/>
        <v>3007.125</v>
      </c>
      <c r="I49" s="376">
        <f t="shared" si="18"/>
        <v>0</v>
      </c>
      <c r="J49" s="376">
        <f t="shared" si="18"/>
        <v>0</v>
      </c>
      <c r="K49" s="376">
        <f t="shared" si="18"/>
        <v>0</v>
      </c>
      <c r="L49" s="376">
        <f>L46</f>
        <v>0</v>
      </c>
      <c r="M49" s="377">
        <f t="shared" si="0"/>
        <v>34980.0078125</v>
      </c>
    </row>
    <row r="50" spans="1:13">
      <c r="A50" s="6" t="s">
        <v>428</v>
      </c>
      <c r="B50" s="26">
        <v>0</v>
      </c>
      <c r="C50" s="26">
        <v>0</v>
      </c>
      <c r="D50" s="26">
        <v>0</v>
      </c>
      <c r="E50" s="26">
        <v>0</v>
      </c>
      <c r="F50" s="26">
        <v>0</v>
      </c>
      <c r="G50" s="26">
        <v>0</v>
      </c>
      <c r="H50" s="26">
        <v>0</v>
      </c>
      <c r="I50" s="26">
        <v>0</v>
      </c>
      <c r="J50" s="26">
        <v>0</v>
      </c>
      <c r="K50" s="26">
        <v>0</v>
      </c>
      <c r="L50" s="26">
        <v>0</v>
      </c>
      <c r="M50" s="377">
        <f t="shared" si="0"/>
        <v>0</v>
      </c>
    </row>
    <row r="51" spans="1:13">
      <c r="A51" s="6" t="s">
        <v>39</v>
      </c>
      <c r="B51" s="26">
        <f>B49+B50</f>
        <v>31972.8828125</v>
      </c>
      <c r="C51" s="26">
        <f t="shared" ref="C51:K51" si="19">C49+C50</f>
        <v>0</v>
      </c>
      <c r="D51" s="26">
        <f t="shared" si="19"/>
        <v>0</v>
      </c>
      <c r="E51" s="26">
        <f t="shared" si="19"/>
        <v>0</v>
      </c>
      <c r="F51" s="26">
        <f t="shared" si="19"/>
        <v>0</v>
      </c>
      <c r="G51" s="26">
        <f t="shared" si="19"/>
        <v>0</v>
      </c>
      <c r="H51" s="26">
        <f t="shared" si="19"/>
        <v>3007.125</v>
      </c>
      <c r="I51" s="26">
        <f t="shared" si="19"/>
        <v>0</v>
      </c>
      <c r="J51" s="26">
        <f t="shared" si="19"/>
        <v>0</v>
      </c>
      <c r="K51" s="26">
        <f t="shared" si="19"/>
        <v>0</v>
      </c>
      <c r="L51" s="26">
        <f>L49+L50</f>
        <v>0</v>
      </c>
      <c r="M51" s="377">
        <f t="shared" si="0"/>
        <v>34980.0078125</v>
      </c>
    </row>
    <row r="52" spans="1:13">
      <c r="A52" s="6" t="s">
        <v>427</v>
      </c>
      <c r="B52" s="26">
        <f>B51*B10</f>
        <v>4795.9324218749998</v>
      </c>
      <c r="C52" s="26">
        <f t="shared" ref="C52:K52" si="20">C51*C10</f>
        <v>0</v>
      </c>
      <c r="D52" s="26">
        <f t="shared" si="20"/>
        <v>0</v>
      </c>
      <c r="E52" s="26">
        <f t="shared" si="20"/>
        <v>0</v>
      </c>
      <c r="F52" s="26">
        <f t="shared" si="20"/>
        <v>0</v>
      </c>
      <c r="G52" s="26">
        <f t="shared" si="20"/>
        <v>0</v>
      </c>
      <c r="H52" s="26">
        <f t="shared" si="20"/>
        <v>300.71250000000003</v>
      </c>
      <c r="I52" s="26">
        <f t="shared" si="20"/>
        <v>0</v>
      </c>
      <c r="J52" s="26">
        <f t="shared" si="20"/>
        <v>0</v>
      </c>
      <c r="K52" s="26">
        <f t="shared" si="20"/>
        <v>0</v>
      </c>
      <c r="L52" s="26">
        <f>L51*L10</f>
        <v>0</v>
      </c>
      <c r="M52" s="377">
        <f t="shared" si="0"/>
        <v>5096.6449218749995</v>
      </c>
    </row>
    <row r="53" spans="1:13">
      <c r="A53" s="375" t="s">
        <v>432</v>
      </c>
      <c r="B53" s="376">
        <f>B51-B52</f>
        <v>27176.950390624999</v>
      </c>
      <c r="C53" s="376">
        <f t="shared" ref="C53:K53" si="21">C51-C52</f>
        <v>0</v>
      </c>
      <c r="D53" s="376">
        <f t="shared" si="21"/>
        <v>0</v>
      </c>
      <c r="E53" s="376">
        <f t="shared" si="21"/>
        <v>0</v>
      </c>
      <c r="F53" s="376">
        <f t="shared" si="21"/>
        <v>0</v>
      </c>
      <c r="G53" s="376">
        <f t="shared" si="21"/>
        <v>0</v>
      </c>
      <c r="H53" s="376">
        <f t="shared" si="21"/>
        <v>2706.4124999999999</v>
      </c>
      <c r="I53" s="376">
        <f t="shared" si="21"/>
        <v>0</v>
      </c>
      <c r="J53" s="376">
        <f t="shared" si="21"/>
        <v>0</v>
      </c>
      <c r="K53" s="376">
        <f t="shared" si="21"/>
        <v>0</v>
      </c>
      <c r="L53" s="376">
        <f>L51-L52</f>
        <v>0</v>
      </c>
      <c r="M53" s="377">
        <f t="shared" si="0"/>
        <v>29883.362890624998</v>
      </c>
    </row>
    <row r="54" spans="1:13">
      <c r="A54" s="6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377"/>
    </row>
    <row r="55" spans="1:13">
      <c r="A55" s="59" t="str">
        <f>Assumptions!I84</f>
        <v>2030-31</v>
      </c>
      <c r="B55" s="140"/>
      <c r="C55" s="140"/>
      <c r="D55" s="140"/>
      <c r="E55" s="140"/>
      <c r="F55" s="140"/>
      <c r="G55" s="140"/>
      <c r="H55" s="140"/>
      <c r="I55" s="140"/>
      <c r="J55" s="140"/>
      <c r="K55" s="140"/>
      <c r="L55" s="140"/>
      <c r="M55" s="377"/>
    </row>
    <row r="56" spans="1:13">
      <c r="A56" s="375" t="s">
        <v>526</v>
      </c>
      <c r="B56" s="376">
        <f>B53</f>
        <v>27176.950390624999</v>
      </c>
      <c r="C56" s="376">
        <f t="shared" ref="C56:K56" si="22">C53</f>
        <v>0</v>
      </c>
      <c r="D56" s="376">
        <f t="shared" si="22"/>
        <v>0</v>
      </c>
      <c r="E56" s="376">
        <f t="shared" si="22"/>
        <v>0</v>
      </c>
      <c r="F56" s="376">
        <f t="shared" si="22"/>
        <v>0</v>
      </c>
      <c r="G56" s="376">
        <f t="shared" si="22"/>
        <v>0</v>
      </c>
      <c r="H56" s="376">
        <f t="shared" si="22"/>
        <v>2706.4124999999999</v>
      </c>
      <c r="I56" s="376">
        <f t="shared" si="22"/>
        <v>0</v>
      </c>
      <c r="J56" s="376">
        <f t="shared" si="22"/>
        <v>0</v>
      </c>
      <c r="K56" s="376">
        <f t="shared" si="22"/>
        <v>0</v>
      </c>
      <c r="L56" s="376">
        <f>L53</f>
        <v>0</v>
      </c>
      <c r="M56" s="377">
        <f t="shared" si="0"/>
        <v>29883.362890624998</v>
      </c>
    </row>
    <row r="57" spans="1:13">
      <c r="A57" s="6" t="s">
        <v>428</v>
      </c>
      <c r="B57" s="26">
        <v>0</v>
      </c>
      <c r="C57" s="26">
        <v>0</v>
      </c>
      <c r="D57" s="26">
        <v>0</v>
      </c>
      <c r="E57" s="26">
        <v>0</v>
      </c>
      <c r="F57" s="26">
        <v>0</v>
      </c>
      <c r="G57" s="26">
        <v>0</v>
      </c>
      <c r="H57" s="26">
        <v>0</v>
      </c>
      <c r="I57" s="26">
        <v>0</v>
      </c>
      <c r="J57" s="26">
        <v>0</v>
      </c>
      <c r="K57" s="26">
        <v>0</v>
      </c>
      <c r="L57" s="26">
        <v>0</v>
      </c>
      <c r="M57" s="377">
        <f t="shared" si="0"/>
        <v>0</v>
      </c>
    </row>
    <row r="58" spans="1:13">
      <c r="A58" s="6" t="s">
        <v>39</v>
      </c>
      <c r="B58" s="26">
        <f>B56+B57</f>
        <v>27176.950390624999</v>
      </c>
      <c r="C58" s="26">
        <f t="shared" ref="C58:K58" si="23">C56+C57</f>
        <v>0</v>
      </c>
      <c r="D58" s="26">
        <f t="shared" si="23"/>
        <v>0</v>
      </c>
      <c r="E58" s="26">
        <f t="shared" si="23"/>
        <v>0</v>
      </c>
      <c r="F58" s="26">
        <f t="shared" si="23"/>
        <v>0</v>
      </c>
      <c r="G58" s="26">
        <f t="shared" si="23"/>
        <v>0</v>
      </c>
      <c r="H58" s="26">
        <f t="shared" si="23"/>
        <v>2706.4124999999999</v>
      </c>
      <c r="I58" s="26">
        <f t="shared" si="23"/>
        <v>0</v>
      </c>
      <c r="J58" s="26">
        <f t="shared" si="23"/>
        <v>0</v>
      </c>
      <c r="K58" s="26">
        <f t="shared" si="23"/>
        <v>0</v>
      </c>
      <c r="L58" s="26">
        <f>L56+L57</f>
        <v>0</v>
      </c>
      <c r="M58" s="377">
        <f t="shared" si="0"/>
        <v>29883.362890624998</v>
      </c>
    </row>
    <row r="59" spans="1:13">
      <c r="A59" s="6" t="s">
        <v>427</v>
      </c>
      <c r="B59" s="26">
        <f>B58*B10</f>
        <v>4076.5425585937496</v>
      </c>
      <c r="C59" s="26">
        <f t="shared" ref="C59:K59" si="24">C58*C10</f>
        <v>0</v>
      </c>
      <c r="D59" s="26">
        <f t="shared" si="24"/>
        <v>0</v>
      </c>
      <c r="E59" s="26">
        <f t="shared" si="24"/>
        <v>0</v>
      </c>
      <c r="F59" s="26">
        <f t="shared" si="24"/>
        <v>0</v>
      </c>
      <c r="G59" s="26">
        <f t="shared" si="24"/>
        <v>0</v>
      </c>
      <c r="H59" s="26">
        <f t="shared" si="24"/>
        <v>270.64125000000001</v>
      </c>
      <c r="I59" s="26">
        <f t="shared" si="24"/>
        <v>0</v>
      </c>
      <c r="J59" s="26">
        <f t="shared" si="24"/>
        <v>0</v>
      </c>
      <c r="K59" s="26">
        <f t="shared" si="24"/>
        <v>0</v>
      </c>
      <c r="L59" s="26">
        <f>L58*L10</f>
        <v>0</v>
      </c>
      <c r="M59" s="377">
        <f t="shared" si="0"/>
        <v>4347.1838085937497</v>
      </c>
    </row>
    <row r="60" spans="1:13">
      <c r="A60" s="375" t="s">
        <v>433</v>
      </c>
      <c r="B60" s="376">
        <f>B58-B59</f>
        <v>23100.407832031251</v>
      </c>
      <c r="C60" s="376">
        <f t="shared" ref="C60:K60" si="25">C58-C59</f>
        <v>0</v>
      </c>
      <c r="D60" s="376">
        <f t="shared" si="25"/>
        <v>0</v>
      </c>
      <c r="E60" s="376">
        <f t="shared" si="25"/>
        <v>0</v>
      </c>
      <c r="F60" s="376">
        <f t="shared" si="25"/>
        <v>0</v>
      </c>
      <c r="G60" s="376">
        <f t="shared" si="25"/>
        <v>0</v>
      </c>
      <c r="H60" s="376">
        <f t="shared" si="25"/>
        <v>2435.7712499999998</v>
      </c>
      <c r="I60" s="376">
        <f t="shared" si="25"/>
        <v>0</v>
      </c>
      <c r="J60" s="376">
        <f t="shared" si="25"/>
        <v>0</v>
      </c>
      <c r="K60" s="376">
        <f t="shared" si="25"/>
        <v>0</v>
      </c>
      <c r="L60" s="376">
        <f>L58-L59</f>
        <v>0</v>
      </c>
      <c r="M60" s="377">
        <f t="shared" si="0"/>
        <v>25536.179082031253</v>
      </c>
    </row>
    <row r="61" spans="1:13">
      <c r="M61" s="377"/>
    </row>
    <row r="62" spans="1:13">
      <c r="A62" s="59" t="str">
        <f>Assumptions!I85</f>
        <v>2031-32</v>
      </c>
      <c r="B62" s="140"/>
      <c r="C62" s="140"/>
      <c r="D62" s="140"/>
      <c r="E62" s="140"/>
      <c r="F62" s="140"/>
      <c r="G62" s="140"/>
      <c r="H62" s="140"/>
      <c r="I62" s="140"/>
      <c r="J62" s="140"/>
      <c r="K62" s="140"/>
      <c r="L62" s="140"/>
      <c r="M62" s="377"/>
    </row>
    <row r="63" spans="1:13">
      <c r="A63" s="375" t="s">
        <v>525</v>
      </c>
      <c r="B63" s="376">
        <f>B60</f>
        <v>23100.407832031251</v>
      </c>
      <c r="C63" s="376">
        <f t="shared" ref="C63:K63" si="26">C60</f>
        <v>0</v>
      </c>
      <c r="D63" s="376">
        <f t="shared" si="26"/>
        <v>0</v>
      </c>
      <c r="E63" s="376">
        <f t="shared" si="26"/>
        <v>0</v>
      </c>
      <c r="F63" s="376">
        <f t="shared" si="26"/>
        <v>0</v>
      </c>
      <c r="G63" s="376">
        <f t="shared" si="26"/>
        <v>0</v>
      </c>
      <c r="H63" s="376">
        <f t="shared" si="26"/>
        <v>2435.7712499999998</v>
      </c>
      <c r="I63" s="376">
        <f t="shared" si="26"/>
        <v>0</v>
      </c>
      <c r="J63" s="376">
        <f t="shared" si="26"/>
        <v>0</v>
      </c>
      <c r="K63" s="376">
        <f t="shared" si="26"/>
        <v>0</v>
      </c>
      <c r="L63" s="376">
        <f>L60</f>
        <v>0</v>
      </c>
      <c r="M63" s="377">
        <f t="shared" si="0"/>
        <v>25536.179082031253</v>
      </c>
    </row>
    <row r="64" spans="1:13">
      <c r="A64" s="6" t="s">
        <v>428</v>
      </c>
      <c r="B64" s="26">
        <v>0</v>
      </c>
      <c r="C64" s="26">
        <v>0</v>
      </c>
      <c r="D64" s="26">
        <v>0</v>
      </c>
      <c r="E64" s="26">
        <v>0</v>
      </c>
      <c r="F64" s="26">
        <v>0</v>
      </c>
      <c r="G64" s="26">
        <v>0</v>
      </c>
      <c r="H64" s="26">
        <v>0</v>
      </c>
      <c r="I64" s="26">
        <v>0</v>
      </c>
      <c r="J64" s="26">
        <v>0</v>
      </c>
      <c r="K64" s="26">
        <v>0</v>
      </c>
      <c r="L64" s="26">
        <v>0</v>
      </c>
      <c r="M64" s="377">
        <f t="shared" si="0"/>
        <v>0</v>
      </c>
    </row>
    <row r="65" spans="1:13">
      <c r="A65" s="6" t="s">
        <v>39</v>
      </c>
      <c r="B65" s="26">
        <f>B63+B64</f>
        <v>23100.407832031251</v>
      </c>
      <c r="C65" s="26">
        <f t="shared" ref="C65:K65" si="27">C63+C64</f>
        <v>0</v>
      </c>
      <c r="D65" s="26">
        <f t="shared" si="27"/>
        <v>0</v>
      </c>
      <c r="E65" s="26">
        <f t="shared" si="27"/>
        <v>0</v>
      </c>
      <c r="F65" s="26">
        <f t="shared" si="27"/>
        <v>0</v>
      </c>
      <c r="G65" s="26">
        <f t="shared" si="27"/>
        <v>0</v>
      </c>
      <c r="H65" s="26">
        <f t="shared" si="27"/>
        <v>2435.7712499999998</v>
      </c>
      <c r="I65" s="26">
        <f t="shared" si="27"/>
        <v>0</v>
      </c>
      <c r="J65" s="26">
        <f t="shared" si="27"/>
        <v>0</v>
      </c>
      <c r="K65" s="26">
        <f t="shared" si="27"/>
        <v>0</v>
      </c>
      <c r="L65" s="26">
        <f>L63+L64</f>
        <v>0</v>
      </c>
      <c r="M65" s="377">
        <f t="shared" si="0"/>
        <v>25536.179082031253</v>
      </c>
    </row>
    <row r="66" spans="1:13">
      <c r="A66" s="6" t="s">
        <v>427</v>
      </c>
      <c r="B66" s="26">
        <f>B65*B10</f>
        <v>3465.0611748046877</v>
      </c>
      <c r="C66" s="26">
        <f t="shared" ref="C66:K66" si="28">C65*C10</f>
        <v>0</v>
      </c>
      <c r="D66" s="26">
        <f t="shared" si="28"/>
        <v>0</v>
      </c>
      <c r="E66" s="26">
        <f t="shared" si="28"/>
        <v>0</v>
      </c>
      <c r="F66" s="26">
        <f t="shared" si="28"/>
        <v>0</v>
      </c>
      <c r="G66" s="26">
        <f t="shared" si="28"/>
        <v>0</v>
      </c>
      <c r="H66" s="26">
        <f t="shared" si="28"/>
        <v>243.577125</v>
      </c>
      <c r="I66" s="26">
        <f t="shared" si="28"/>
        <v>0</v>
      </c>
      <c r="J66" s="26">
        <f t="shared" si="28"/>
        <v>0</v>
      </c>
      <c r="K66" s="26">
        <f t="shared" si="28"/>
        <v>0</v>
      </c>
      <c r="L66" s="26">
        <f>L65*L10</f>
        <v>0</v>
      </c>
      <c r="M66" s="377">
        <f t="shared" si="0"/>
        <v>3708.6382998046874</v>
      </c>
    </row>
    <row r="67" spans="1:13">
      <c r="A67" s="375" t="s">
        <v>434</v>
      </c>
      <c r="B67" s="376">
        <f>B65-B66</f>
        <v>19635.346657226564</v>
      </c>
      <c r="C67" s="376">
        <f t="shared" ref="C67:K67" si="29">C65-C66</f>
        <v>0</v>
      </c>
      <c r="D67" s="376">
        <f t="shared" si="29"/>
        <v>0</v>
      </c>
      <c r="E67" s="376">
        <f t="shared" si="29"/>
        <v>0</v>
      </c>
      <c r="F67" s="376">
        <f t="shared" si="29"/>
        <v>0</v>
      </c>
      <c r="G67" s="376">
        <f t="shared" si="29"/>
        <v>0</v>
      </c>
      <c r="H67" s="376">
        <f t="shared" si="29"/>
        <v>2192.194125</v>
      </c>
      <c r="I67" s="376">
        <f t="shared" si="29"/>
        <v>0</v>
      </c>
      <c r="J67" s="376">
        <f t="shared" si="29"/>
        <v>0</v>
      </c>
      <c r="K67" s="376">
        <f t="shared" si="29"/>
        <v>0</v>
      </c>
      <c r="L67" s="376">
        <f>L65-L66</f>
        <v>0</v>
      </c>
      <c r="M67" s="377">
        <f t="shared" si="0"/>
        <v>21827.540782226562</v>
      </c>
    </row>
    <row r="69" spans="1:13">
      <c r="A69" s="59"/>
      <c r="B69" s="140"/>
      <c r="C69" s="140"/>
      <c r="D69" s="140"/>
      <c r="E69" s="140"/>
      <c r="F69" s="140"/>
      <c r="G69" s="140"/>
      <c r="H69" s="140"/>
      <c r="I69" s="140"/>
      <c r="J69" s="140"/>
      <c r="K69" s="140"/>
      <c r="L69" s="140"/>
      <c r="M69" s="20"/>
    </row>
    <row r="70" spans="1:13">
      <c r="A70" s="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7"/>
    </row>
    <row r="71" spans="1:13">
      <c r="A71" s="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7"/>
    </row>
    <row r="72" spans="1:13">
      <c r="A72" s="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7"/>
    </row>
    <row r="73" spans="1:13">
      <c r="A73" s="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7"/>
    </row>
    <row r="74" spans="1:13">
      <c r="A74" s="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7"/>
    </row>
    <row r="76" spans="1:13">
      <c r="A76" s="59"/>
      <c r="B76" s="140"/>
      <c r="C76" s="140"/>
      <c r="D76" s="140"/>
      <c r="E76" s="140"/>
      <c r="F76" s="140"/>
      <c r="G76" s="140"/>
      <c r="H76" s="140"/>
      <c r="I76" s="140"/>
      <c r="J76" s="140"/>
      <c r="K76" s="140"/>
      <c r="L76" s="140"/>
      <c r="M76" s="20"/>
    </row>
    <row r="77" spans="1:13">
      <c r="A77" s="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7"/>
    </row>
    <row r="78" spans="1:13">
      <c r="A78" s="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7"/>
    </row>
    <row r="79" spans="1:13">
      <c r="A79" s="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7"/>
    </row>
    <row r="80" spans="1:13">
      <c r="A80" s="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7"/>
    </row>
    <row r="81" spans="1:13">
      <c r="A81" s="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7"/>
    </row>
    <row r="83" spans="1:13">
      <c r="A83" s="59"/>
      <c r="B83" s="140"/>
      <c r="C83" s="140"/>
      <c r="D83" s="140"/>
      <c r="E83" s="140"/>
      <c r="F83" s="140"/>
      <c r="G83" s="140"/>
      <c r="H83" s="140"/>
      <c r="I83" s="140"/>
      <c r="J83" s="140"/>
      <c r="K83" s="140"/>
      <c r="L83" s="140"/>
      <c r="M83" s="20"/>
    </row>
    <row r="84" spans="1:13">
      <c r="A84" s="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7"/>
    </row>
    <row r="85" spans="1:13">
      <c r="A85" s="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7"/>
    </row>
    <row r="86" spans="1:13">
      <c r="A86" s="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7"/>
    </row>
    <row r="87" spans="1:13">
      <c r="A87" s="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7"/>
    </row>
    <row r="88" spans="1:13">
      <c r="A88" s="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7"/>
    </row>
  </sheetData>
  <mergeCells count="9">
    <mergeCell ref="A6:M6"/>
    <mergeCell ref="A1:M1"/>
    <mergeCell ref="A2:M2"/>
    <mergeCell ref="I8:I9"/>
    <mergeCell ref="K8:K9"/>
    <mergeCell ref="B8:B9"/>
    <mergeCell ref="A3:M4"/>
    <mergeCell ref="D8:D9"/>
    <mergeCell ref="L8:L9"/>
  </mergeCells>
  <pageMargins left="0.66" right="0.17" top="0.74803149606299213" bottom="0.74803149606299213" header="0.31496062992125984" footer="0.31496062992125984"/>
  <pageSetup scale="97" orientation="portrait" r:id="rId1"/>
  <rowBreaks count="1" manualBreakCount="1">
    <brk id="47" max="5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26FE9-89F0-44EA-A32F-98CBDFDE659A}">
  <sheetPr codeName="Sheet16"/>
  <dimension ref="A1:M193"/>
  <sheetViews>
    <sheetView topLeftCell="A10" zoomScale="94" zoomScaleNormal="100" workbookViewId="0">
      <selection activeCell="I19" sqref="I19"/>
    </sheetView>
  </sheetViews>
  <sheetFormatPr defaultColWidth="9.21875" defaultRowHeight="14.4"/>
  <cols>
    <col min="1" max="1" width="1" style="60" customWidth="1"/>
    <col min="2" max="2" width="8.77734375" style="60" customWidth="1"/>
    <col min="3" max="3" width="12" style="60" customWidth="1"/>
    <col min="4" max="4" width="14.77734375" style="60" customWidth="1"/>
    <col min="5" max="5" width="20" style="60" customWidth="1"/>
    <col min="6" max="6" width="16" style="60" customWidth="1"/>
    <col min="7" max="7" width="21.77734375" style="60" customWidth="1"/>
    <col min="8" max="8" width="3.44140625" style="60" customWidth="1"/>
    <col min="9" max="9" width="8.21875" style="60" customWidth="1"/>
    <col min="10" max="10" width="11.21875" style="60" bestFit="1" customWidth="1"/>
    <col min="11" max="11" width="9.21875" style="60"/>
    <col min="12" max="12" width="11.77734375" style="60" customWidth="1"/>
    <col min="13" max="16384" width="9.21875" style="60"/>
  </cols>
  <sheetData>
    <row r="1" spans="1:12">
      <c r="A1" s="890" t="str">
        <f>Assumptions!I17</f>
        <v>Doe Textiles</v>
      </c>
      <c r="B1" s="890"/>
      <c r="C1" s="890"/>
      <c r="D1" s="890"/>
      <c r="E1" s="890"/>
      <c r="F1" s="890"/>
      <c r="G1" s="890"/>
    </row>
    <row r="2" spans="1:12">
      <c r="A2" s="890" t="str">
        <f>Assumptions!I8</f>
        <v>John Doe</v>
      </c>
      <c r="B2" s="890"/>
      <c r="C2" s="890"/>
      <c r="D2" s="890"/>
      <c r="E2" s="890"/>
      <c r="F2" s="890"/>
      <c r="G2" s="890"/>
    </row>
    <row r="3" spans="1:12">
      <c r="A3" s="902" t="str">
        <f>Assumptions!I16</f>
        <v>123 Industrial Area, City</v>
      </c>
      <c r="B3" s="902"/>
      <c r="C3" s="902"/>
      <c r="D3" s="902"/>
      <c r="E3" s="902"/>
      <c r="F3" s="902"/>
      <c r="G3" s="902"/>
    </row>
    <row r="4" spans="1:12">
      <c r="A4" s="902"/>
      <c r="B4" s="902"/>
      <c r="C4" s="902"/>
      <c r="D4" s="902"/>
      <c r="E4" s="902"/>
      <c r="F4" s="902"/>
      <c r="G4" s="902"/>
    </row>
    <row r="5" spans="1:12">
      <c r="B5" s="901" t="s">
        <v>153</v>
      </c>
      <c r="C5" s="901"/>
      <c r="D5" s="901"/>
      <c r="E5" s="901"/>
      <c r="F5" s="901"/>
      <c r="G5" s="901"/>
    </row>
    <row r="6" spans="1:12">
      <c r="B6" s="901"/>
      <c r="C6" s="901"/>
      <c r="D6" s="901"/>
      <c r="E6" s="901"/>
      <c r="F6" s="901"/>
      <c r="G6" s="901"/>
      <c r="H6" s="73"/>
      <c r="J6" s="894"/>
      <c r="K6" s="894"/>
      <c r="L6" s="894"/>
    </row>
    <row r="7" spans="1:12" ht="3.75" customHeight="1" thickBot="1">
      <c r="J7" s="62"/>
      <c r="K7" s="62"/>
      <c r="L7" s="62"/>
    </row>
    <row r="8" spans="1:12" ht="21.75" customHeight="1">
      <c r="B8" s="895" t="s">
        <v>154</v>
      </c>
      <c r="C8" s="896"/>
      <c r="D8" s="897"/>
      <c r="E8" s="74">
        <f>Assumptions!I43*100000</f>
        <v>6300000000</v>
      </c>
      <c r="G8" s="75"/>
      <c r="J8" s="903" t="s">
        <v>574</v>
      </c>
      <c r="K8" s="904"/>
      <c r="L8" s="905"/>
    </row>
    <row r="9" spans="1:12" ht="3.75" customHeight="1">
      <c r="B9" s="254"/>
      <c r="C9" s="254"/>
      <c r="D9" s="254"/>
      <c r="E9" s="76"/>
      <c r="G9" s="76"/>
      <c r="J9" s="906"/>
      <c r="K9" s="907"/>
      <c r="L9" s="908"/>
    </row>
    <row r="10" spans="1:12" ht="39" customHeight="1" thickBot="1">
      <c r="B10" s="898" t="s">
        <v>155</v>
      </c>
      <c r="C10" s="899"/>
      <c r="D10" s="900"/>
      <c r="E10" s="77">
        <f>Assumptions!I45</f>
        <v>0.105</v>
      </c>
      <c r="G10" s="78"/>
      <c r="J10" s="909"/>
      <c r="K10" s="910"/>
      <c r="L10" s="911"/>
    </row>
    <row r="11" spans="1:12" ht="2.25" customHeight="1" thickBot="1">
      <c r="B11" s="255"/>
      <c r="C11" s="255"/>
      <c r="D11" s="255"/>
      <c r="E11" s="79"/>
      <c r="G11" s="76"/>
    </row>
    <row r="12" spans="1:12" ht="37.5" customHeight="1" thickBot="1">
      <c r="B12" s="898" t="s">
        <v>156</v>
      </c>
      <c r="C12" s="899"/>
      <c r="D12" s="900"/>
      <c r="E12" s="80">
        <f>E10/12</f>
        <v>8.7499999999999991E-3</v>
      </c>
      <c r="G12" s="76"/>
      <c r="I12" s="437" t="s">
        <v>40</v>
      </c>
      <c r="J12" s="912">
        <f>-PMT(E12,E14,E8)</f>
        <v>146892018.21700293</v>
      </c>
      <c r="K12" s="913"/>
      <c r="L12" s="914"/>
    </row>
    <row r="13" spans="1:12" ht="3" customHeight="1">
      <c r="B13" s="255"/>
      <c r="C13" s="255"/>
      <c r="D13" s="255"/>
      <c r="E13" s="81"/>
      <c r="G13" s="76"/>
    </row>
    <row r="14" spans="1:12" ht="32.25" customHeight="1">
      <c r="B14" s="898" t="s">
        <v>599</v>
      </c>
      <c r="C14" s="899"/>
      <c r="D14" s="900"/>
      <c r="E14" s="283">
        <f>Assumptions!I47-Assumptions!I49</f>
        <v>54</v>
      </c>
      <c r="G14" s="78"/>
    </row>
    <row r="15" spans="1:12" ht="3" customHeight="1">
      <c r="B15" s="256"/>
      <c r="C15" s="256"/>
      <c r="D15" s="256"/>
      <c r="E15" s="76">
        <v>62</v>
      </c>
    </row>
    <row r="16" spans="1:12">
      <c r="B16" s="33"/>
      <c r="C16" s="33"/>
      <c r="D16" s="33"/>
      <c r="E16" s="83"/>
      <c r="F16" s="82"/>
    </row>
    <row r="17" spans="2:13">
      <c r="B17" s="33"/>
      <c r="C17" s="33"/>
      <c r="D17" s="33"/>
      <c r="E17" s="83"/>
      <c r="F17" s="82"/>
    </row>
    <row r="18" spans="2:13">
      <c r="B18" s="276" t="str">
        <f>Assumptions!I48</f>
        <v>1. EMI shared equally over loan Term period</v>
      </c>
      <c r="C18" s="276"/>
      <c r="D18" s="33"/>
      <c r="E18" s="83"/>
      <c r="F18" s="82"/>
    </row>
    <row r="19" spans="2:13">
      <c r="B19" s="33"/>
      <c r="C19" s="33"/>
      <c r="D19" s="33"/>
      <c r="E19" s="83"/>
      <c r="F19" s="82"/>
    </row>
    <row r="20" spans="2:13">
      <c r="B20" s="835" t="s">
        <v>157</v>
      </c>
      <c r="C20" s="835"/>
      <c r="D20" s="835"/>
      <c r="E20" s="835"/>
      <c r="F20" s="835"/>
      <c r="G20" s="835"/>
    </row>
    <row r="21" spans="2:13" ht="5.25" customHeight="1"/>
    <row r="22" spans="2:13" ht="29.4" thickBot="1">
      <c r="B22" s="374" t="s">
        <v>158</v>
      </c>
      <c r="C22" s="374" t="s">
        <v>532</v>
      </c>
      <c r="D22" s="363" t="s">
        <v>40</v>
      </c>
      <c r="E22" s="363" t="s">
        <v>159</v>
      </c>
      <c r="F22" s="363" t="s">
        <v>160</v>
      </c>
      <c r="G22" s="363" t="s">
        <v>190</v>
      </c>
      <c r="J22" s="84"/>
    </row>
    <row r="23" spans="2:13" ht="15" thickTop="1">
      <c r="B23" s="372">
        <f>Assumptions!I49</f>
        <v>6</v>
      </c>
      <c r="C23" s="372"/>
      <c r="D23" s="373"/>
      <c r="E23" s="651"/>
      <c r="F23" s="651"/>
      <c r="G23" s="652">
        <f>E8</f>
        <v>6300000000</v>
      </c>
    </row>
    <row r="24" spans="2:13">
      <c r="B24" s="85">
        <f>IF(ROW()-ROW($B$24)+1 &lt;= $E$14, ROW()-ROW($B$24)+1, "")</f>
        <v>1</v>
      </c>
      <c r="C24" s="537">
        <f>Assumptions!I58</f>
        <v>45383</v>
      </c>
      <c r="D24" s="86">
        <f>IF($B24&lt;&gt;"", E24+F24, "")</f>
        <v>171791666.66666666</v>
      </c>
      <c r="E24" s="653">
        <f>IF($B24&lt;&gt;"", G23*$E$12, "")</f>
        <v>55124999.999999993</v>
      </c>
      <c r="F24" s="653">
        <f>IF($B24&lt;&gt;"", $E$8/$E$14, "")</f>
        <v>116666666.66666667</v>
      </c>
      <c r="G24" s="653">
        <f>IF($B24&lt;&gt;"", G23-F24, "")</f>
        <v>6183333333.333333</v>
      </c>
    </row>
    <row r="25" spans="2:13">
      <c r="B25" s="85">
        <f t="shared" ref="B25:B88" si="0">IF(ROW()-ROW($B$24)+1 &lt;= $E$14, ROW()-ROW($B$24)+1, "")</f>
        <v>2</v>
      </c>
      <c r="C25" s="378">
        <f>IF($B25&lt;&gt;"", EDATE(C24,1), "")</f>
        <v>45413</v>
      </c>
      <c r="D25" s="86">
        <f t="shared" ref="D25:D88" si="1">IF($B25&lt;&gt;"", E25+F25, "")</f>
        <v>170770833.33333331</v>
      </c>
      <c r="E25" s="653">
        <f t="shared" ref="E25:E88" si="2">IF($B25&lt;&gt;"", G24*$E$12, "")</f>
        <v>54104166.666666657</v>
      </c>
      <c r="F25" s="653">
        <f t="shared" ref="F25:F88" si="3">IF($B25&lt;&gt;"", $E$8/$E$14, "")</f>
        <v>116666666.66666667</v>
      </c>
      <c r="G25" s="653">
        <f t="shared" ref="G25:G88" si="4">IF($B25&lt;&gt;"", G24-F25, "")</f>
        <v>6066666666.666666</v>
      </c>
      <c r="M25" s="537"/>
    </row>
    <row r="26" spans="2:13">
      <c r="B26" s="85">
        <f t="shared" si="0"/>
        <v>3</v>
      </c>
      <c r="C26" s="378">
        <f t="shared" ref="C26:C89" si="5">IF($B26&lt;&gt;"", EDATE(C25,1), "")</f>
        <v>45444</v>
      </c>
      <c r="D26" s="86">
        <f t="shared" si="1"/>
        <v>169750000</v>
      </c>
      <c r="E26" s="653">
        <f t="shared" si="2"/>
        <v>53083333.333333321</v>
      </c>
      <c r="F26" s="653">
        <f t="shared" si="3"/>
        <v>116666666.66666667</v>
      </c>
      <c r="G26" s="653">
        <f t="shared" si="4"/>
        <v>5949999999.999999</v>
      </c>
    </row>
    <row r="27" spans="2:13">
      <c r="B27" s="85">
        <f t="shared" si="0"/>
        <v>4</v>
      </c>
      <c r="C27" s="378">
        <f t="shared" si="5"/>
        <v>45474</v>
      </c>
      <c r="D27" s="86">
        <f t="shared" si="1"/>
        <v>168729166.66666666</v>
      </c>
      <c r="E27" s="653">
        <f t="shared" si="2"/>
        <v>52062499.999999985</v>
      </c>
      <c r="F27" s="653">
        <f t="shared" si="3"/>
        <v>116666666.66666667</v>
      </c>
      <c r="G27" s="653">
        <f t="shared" si="4"/>
        <v>5833333333.3333321</v>
      </c>
    </row>
    <row r="28" spans="2:13">
      <c r="B28" s="85">
        <f t="shared" si="0"/>
        <v>5</v>
      </c>
      <c r="C28" s="378">
        <f t="shared" si="5"/>
        <v>45505</v>
      </c>
      <c r="D28" s="86">
        <f t="shared" si="1"/>
        <v>167708333.33333331</v>
      </c>
      <c r="E28" s="653">
        <f t="shared" si="2"/>
        <v>51041666.666666649</v>
      </c>
      <c r="F28" s="653">
        <f t="shared" si="3"/>
        <v>116666666.66666667</v>
      </c>
      <c r="G28" s="653">
        <f t="shared" si="4"/>
        <v>5716666666.6666651</v>
      </c>
    </row>
    <row r="29" spans="2:13">
      <c r="B29" s="85">
        <f t="shared" si="0"/>
        <v>6</v>
      </c>
      <c r="C29" s="378">
        <f t="shared" si="5"/>
        <v>45536</v>
      </c>
      <c r="D29" s="86">
        <f t="shared" si="1"/>
        <v>166687500</v>
      </c>
      <c r="E29" s="653">
        <f t="shared" si="2"/>
        <v>50020833.333333313</v>
      </c>
      <c r="F29" s="653">
        <f t="shared" si="3"/>
        <v>116666666.66666667</v>
      </c>
      <c r="G29" s="653">
        <f t="shared" si="4"/>
        <v>5599999999.9999981</v>
      </c>
    </row>
    <row r="30" spans="2:13">
      <c r="B30" s="85">
        <f t="shared" si="0"/>
        <v>7</v>
      </c>
      <c r="C30" s="378">
        <f t="shared" si="5"/>
        <v>45566</v>
      </c>
      <c r="D30" s="86">
        <f t="shared" si="1"/>
        <v>165666666.66666666</v>
      </c>
      <c r="E30" s="653">
        <f t="shared" si="2"/>
        <v>48999999.999999978</v>
      </c>
      <c r="F30" s="653">
        <f t="shared" si="3"/>
        <v>116666666.66666667</v>
      </c>
      <c r="G30" s="653">
        <f t="shared" si="4"/>
        <v>5483333333.3333311</v>
      </c>
    </row>
    <row r="31" spans="2:13">
      <c r="B31" s="85">
        <f t="shared" si="0"/>
        <v>8</v>
      </c>
      <c r="C31" s="378">
        <f t="shared" si="5"/>
        <v>45597</v>
      </c>
      <c r="D31" s="86">
        <f t="shared" si="1"/>
        <v>164645833.33333331</v>
      </c>
      <c r="E31" s="653">
        <f t="shared" si="2"/>
        <v>47979166.666666642</v>
      </c>
      <c r="F31" s="653">
        <f t="shared" si="3"/>
        <v>116666666.66666667</v>
      </c>
      <c r="G31" s="653">
        <f t="shared" si="4"/>
        <v>5366666666.6666641</v>
      </c>
    </row>
    <row r="32" spans="2:13">
      <c r="B32" s="85">
        <f t="shared" si="0"/>
        <v>9</v>
      </c>
      <c r="C32" s="378">
        <f t="shared" si="5"/>
        <v>45627</v>
      </c>
      <c r="D32" s="86">
        <f t="shared" si="1"/>
        <v>163624999.99999997</v>
      </c>
      <c r="E32" s="653">
        <f t="shared" si="2"/>
        <v>46958333.333333306</v>
      </c>
      <c r="F32" s="653">
        <f t="shared" si="3"/>
        <v>116666666.66666667</v>
      </c>
      <c r="G32" s="653">
        <f t="shared" si="4"/>
        <v>5249999999.9999971</v>
      </c>
    </row>
    <row r="33" spans="2:7">
      <c r="B33" s="85">
        <f t="shared" si="0"/>
        <v>10</v>
      </c>
      <c r="C33" s="378">
        <f t="shared" si="5"/>
        <v>45658</v>
      </c>
      <c r="D33" s="86">
        <f t="shared" si="1"/>
        <v>162604166.66666663</v>
      </c>
      <c r="E33" s="653">
        <f t="shared" si="2"/>
        <v>45937499.99999997</v>
      </c>
      <c r="F33" s="653">
        <f t="shared" si="3"/>
        <v>116666666.66666667</v>
      </c>
      <c r="G33" s="653">
        <f t="shared" si="4"/>
        <v>5133333333.3333302</v>
      </c>
    </row>
    <row r="34" spans="2:7">
      <c r="B34" s="85">
        <f t="shared" si="0"/>
        <v>11</v>
      </c>
      <c r="C34" s="378">
        <f t="shared" si="5"/>
        <v>45689</v>
      </c>
      <c r="D34" s="86">
        <f t="shared" si="1"/>
        <v>161583333.33333331</v>
      </c>
      <c r="E34" s="653">
        <f t="shared" si="2"/>
        <v>44916666.666666634</v>
      </c>
      <c r="F34" s="653">
        <f t="shared" si="3"/>
        <v>116666666.66666667</v>
      </c>
      <c r="G34" s="653">
        <f t="shared" si="4"/>
        <v>5016666666.6666632</v>
      </c>
    </row>
    <row r="35" spans="2:7">
      <c r="B35" s="85">
        <f t="shared" si="0"/>
        <v>12</v>
      </c>
      <c r="C35" s="378">
        <f t="shared" si="5"/>
        <v>45717</v>
      </c>
      <c r="D35" s="86">
        <f t="shared" si="1"/>
        <v>160562499.99999997</v>
      </c>
      <c r="E35" s="653">
        <f t="shared" si="2"/>
        <v>43895833.333333299</v>
      </c>
      <c r="F35" s="653">
        <f t="shared" si="3"/>
        <v>116666666.66666667</v>
      </c>
      <c r="G35" s="653">
        <f t="shared" si="4"/>
        <v>4899999999.9999962</v>
      </c>
    </row>
    <row r="36" spans="2:7">
      <c r="B36" s="85">
        <f t="shared" si="0"/>
        <v>13</v>
      </c>
      <c r="C36" s="378">
        <f t="shared" si="5"/>
        <v>45748</v>
      </c>
      <c r="D36" s="86">
        <f t="shared" si="1"/>
        <v>159541666.66666663</v>
      </c>
      <c r="E36" s="653">
        <f t="shared" si="2"/>
        <v>42874999.999999963</v>
      </c>
      <c r="F36" s="653">
        <f t="shared" si="3"/>
        <v>116666666.66666667</v>
      </c>
      <c r="G36" s="653">
        <f t="shared" si="4"/>
        <v>4783333333.3333292</v>
      </c>
    </row>
    <row r="37" spans="2:7">
      <c r="B37" s="85">
        <f t="shared" si="0"/>
        <v>14</v>
      </c>
      <c r="C37" s="378">
        <f t="shared" si="5"/>
        <v>45778</v>
      </c>
      <c r="D37" s="86">
        <f t="shared" si="1"/>
        <v>158520833.33333331</v>
      </c>
      <c r="E37" s="653">
        <f t="shared" si="2"/>
        <v>41854166.666666627</v>
      </c>
      <c r="F37" s="653">
        <f t="shared" si="3"/>
        <v>116666666.66666667</v>
      </c>
      <c r="G37" s="653">
        <f t="shared" si="4"/>
        <v>4666666666.6666622</v>
      </c>
    </row>
    <row r="38" spans="2:7">
      <c r="B38" s="85">
        <f t="shared" si="0"/>
        <v>15</v>
      </c>
      <c r="C38" s="378">
        <f t="shared" si="5"/>
        <v>45809</v>
      </c>
      <c r="D38" s="86">
        <f t="shared" si="1"/>
        <v>157499999.99999997</v>
      </c>
      <c r="E38" s="653">
        <f t="shared" si="2"/>
        <v>40833333.333333291</v>
      </c>
      <c r="F38" s="653">
        <f t="shared" si="3"/>
        <v>116666666.66666667</v>
      </c>
      <c r="G38" s="653">
        <f t="shared" si="4"/>
        <v>4549999999.9999952</v>
      </c>
    </row>
    <row r="39" spans="2:7">
      <c r="B39" s="85">
        <f t="shared" si="0"/>
        <v>16</v>
      </c>
      <c r="C39" s="378">
        <f t="shared" si="5"/>
        <v>45839</v>
      </c>
      <c r="D39" s="86">
        <f t="shared" si="1"/>
        <v>156479166.66666663</v>
      </c>
      <c r="E39" s="653">
        <f t="shared" si="2"/>
        <v>39812499.999999955</v>
      </c>
      <c r="F39" s="653">
        <f t="shared" si="3"/>
        <v>116666666.66666667</v>
      </c>
      <c r="G39" s="653">
        <f t="shared" si="4"/>
        <v>4433333333.3333282</v>
      </c>
    </row>
    <row r="40" spans="2:7">
      <c r="B40" s="85">
        <f t="shared" si="0"/>
        <v>17</v>
      </c>
      <c r="C40" s="378">
        <f t="shared" si="5"/>
        <v>45870</v>
      </c>
      <c r="D40" s="86">
        <f t="shared" si="1"/>
        <v>155458333.33333328</v>
      </c>
      <c r="E40" s="653">
        <f t="shared" si="2"/>
        <v>38791666.666666619</v>
      </c>
      <c r="F40" s="653">
        <f t="shared" si="3"/>
        <v>116666666.66666667</v>
      </c>
      <c r="G40" s="653">
        <f t="shared" si="4"/>
        <v>4316666666.6666613</v>
      </c>
    </row>
    <row r="41" spans="2:7">
      <c r="B41" s="85">
        <f t="shared" si="0"/>
        <v>18</v>
      </c>
      <c r="C41" s="378">
        <f t="shared" si="5"/>
        <v>45901</v>
      </c>
      <c r="D41" s="86">
        <f t="shared" si="1"/>
        <v>154437499.99999994</v>
      </c>
      <c r="E41" s="653">
        <f t="shared" si="2"/>
        <v>37770833.333333284</v>
      </c>
      <c r="F41" s="653">
        <f t="shared" si="3"/>
        <v>116666666.66666667</v>
      </c>
      <c r="G41" s="653">
        <f t="shared" si="4"/>
        <v>4199999999.9999948</v>
      </c>
    </row>
    <row r="42" spans="2:7">
      <c r="B42" s="85">
        <f t="shared" si="0"/>
        <v>19</v>
      </c>
      <c r="C42" s="378">
        <f t="shared" si="5"/>
        <v>45931</v>
      </c>
      <c r="D42" s="86">
        <f t="shared" si="1"/>
        <v>153416666.66666663</v>
      </c>
      <c r="E42" s="653">
        <f t="shared" si="2"/>
        <v>36749999.999999948</v>
      </c>
      <c r="F42" s="653">
        <f t="shared" si="3"/>
        <v>116666666.66666667</v>
      </c>
      <c r="G42" s="653">
        <f t="shared" si="4"/>
        <v>4083333333.3333282</v>
      </c>
    </row>
    <row r="43" spans="2:7">
      <c r="B43" s="85">
        <f t="shared" si="0"/>
        <v>20</v>
      </c>
      <c r="C43" s="378">
        <f t="shared" si="5"/>
        <v>45962</v>
      </c>
      <c r="D43" s="86">
        <f t="shared" si="1"/>
        <v>152395833.33333328</v>
      </c>
      <c r="E43" s="653">
        <f t="shared" si="2"/>
        <v>35729166.666666619</v>
      </c>
      <c r="F43" s="653">
        <f t="shared" si="3"/>
        <v>116666666.66666667</v>
      </c>
      <c r="G43" s="653">
        <f t="shared" si="4"/>
        <v>3966666666.6666617</v>
      </c>
    </row>
    <row r="44" spans="2:7">
      <c r="B44" s="85">
        <f t="shared" si="0"/>
        <v>21</v>
      </c>
      <c r="C44" s="378">
        <f t="shared" si="5"/>
        <v>45992</v>
      </c>
      <c r="D44" s="86">
        <f t="shared" si="1"/>
        <v>151374999.99999994</v>
      </c>
      <c r="E44" s="653">
        <f t="shared" si="2"/>
        <v>34708333.333333284</v>
      </c>
      <c r="F44" s="653">
        <f t="shared" si="3"/>
        <v>116666666.66666667</v>
      </c>
      <c r="G44" s="653">
        <f t="shared" si="4"/>
        <v>3849999999.9999952</v>
      </c>
    </row>
    <row r="45" spans="2:7">
      <c r="B45" s="85">
        <f t="shared" si="0"/>
        <v>22</v>
      </c>
      <c r="C45" s="378">
        <f t="shared" si="5"/>
        <v>46023</v>
      </c>
      <c r="D45" s="86">
        <f t="shared" si="1"/>
        <v>150354166.66666663</v>
      </c>
      <c r="E45" s="653">
        <f t="shared" si="2"/>
        <v>33687499.999999955</v>
      </c>
      <c r="F45" s="653">
        <f t="shared" si="3"/>
        <v>116666666.66666667</v>
      </c>
      <c r="G45" s="653">
        <f t="shared" si="4"/>
        <v>3733333333.3333287</v>
      </c>
    </row>
    <row r="46" spans="2:7">
      <c r="B46" s="85">
        <f t="shared" si="0"/>
        <v>23</v>
      </c>
      <c r="C46" s="378">
        <f t="shared" si="5"/>
        <v>46054</v>
      </c>
      <c r="D46" s="86">
        <f t="shared" si="1"/>
        <v>149333333.33333328</v>
      </c>
      <c r="E46" s="653">
        <f t="shared" si="2"/>
        <v>32666666.666666623</v>
      </c>
      <c r="F46" s="653">
        <f t="shared" si="3"/>
        <v>116666666.66666667</v>
      </c>
      <c r="G46" s="653">
        <f t="shared" si="4"/>
        <v>3616666666.6666622</v>
      </c>
    </row>
    <row r="47" spans="2:7">
      <c r="B47" s="85">
        <f t="shared" si="0"/>
        <v>24</v>
      </c>
      <c r="C47" s="378">
        <f t="shared" si="5"/>
        <v>46082</v>
      </c>
      <c r="D47" s="86">
        <f t="shared" si="1"/>
        <v>148312499.99999997</v>
      </c>
      <c r="E47" s="653">
        <f t="shared" si="2"/>
        <v>31645833.333333291</v>
      </c>
      <c r="F47" s="653">
        <f t="shared" si="3"/>
        <v>116666666.66666667</v>
      </c>
      <c r="G47" s="653">
        <f t="shared" si="4"/>
        <v>3499999999.9999957</v>
      </c>
    </row>
    <row r="48" spans="2:7">
      <c r="B48" s="85">
        <f t="shared" si="0"/>
        <v>25</v>
      </c>
      <c r="C48" s="378">
        <f t="shared" si="5"/>
        <v>46113</v>
      </c>
      <c r="D48" s="86">
        <f t="shared" si="1"/>
        <v>147291666.66666663</v>
      </c>
      <c r="E48" s="653">
        <f t="shared" si="2"/>
        <v>30624999.999999959</v>
      </c>
      <c r="F48" s="653">
        <f t="shared" si="3"/>
        <v>116666666.66666667</v>
      </c>
      <c r="G48" s="653">
        <f t="shared" si="4"/>
        <v>3383333333.3333292</v>
      </c>
    </row>
    <row r="49" spans="2:7">
      <c r="B49" s="85">
        <f t="shared" si="0"/>
        <v>26</v>
      </c>
      <c r="C49" s="378">
        <f t="shared" si="5"/>
        <v>46143</v>
      </c>
      <c r="D49" s="86">
        <f t="shared" si="1"/>
        <v>146270833.33333331</v>
      </c>
      <c r="E49" s="653">
        <f t="shared" si="2"/>
        <v>29604166.666666627</v>
      </c>
      <c r="F49" s="653">
        <f t="shared" si="3"/>
        <v>116666666.66666667</v>
      </c>
      <c r="G49" s="653">
        <f t="shared" si="4"/>
        <v>3266666666.6666627</v>
      </c>
    </row>
    <row r="50" spans="2:7">
      <c r="B50" s="85">
        <f t="shared" si="0"/>
        <v>27</v>
      </c>
      <c r="C50" s="378">
        <f t="shared" si="5"/>
        <v>46174</v>
      </c>
      <c r="D50" s="86">
        <f t="shared" si="1"/>
        <v>145249999.99999997</v>
      </c>
      <c r="E50" s="653">
        <f t="shared" si="2"/>
        <v>28583333.333333295</v>
      </c>
      <c r="F50" s="653">
        <f t="shared" si="3"/>
        <v>116666666.66666667</v>
      </c>
      <c r="G50" s="653">
        <f t="shared" si="4"/>
        <v>3149999999.9999962</v>
      </c>
    </row>
    <row r="51" spans="2:7">
      <c r="B51" s="85">
        <f t="shared" si="0"/>
        <v>28</v>
      </c>
      <c r="C51" s="378">
        <f t="shared" si="5"/>
        <v>46204</v>
      </c>
      <c r="D51" s="86">
        <f t="shared" si="1"/>
        <v>144229166.66666663</v>
      </c>
      <c r="E51" s="653">
        <f t="shared" si="2"/>
        <v>27562499.999999963</v>
      </c>
      <c r="F51" s="653">
        <f t="shared" si="3"/>
        <v>116666666.66666667</v>
      </c>
      <c r="G51" s="653">
        <f t="shared" si="4"/>
        <v>3033333333.3333297</v>
      </c>
    </row>
    <row r="52" spans="2:7">
      <c r="B52" s="85">
        <f t="shared" si="0"/>
        <v>29</v>
      </c>
      <c r="C52" s="378">
        <f t="shared" si="5"/>
        <v>46235</v>
      </c>
      <c r="D52" s="86">
        <f t="shared" si="1"/>
        <v>143208333.33333331</v>
      </c>
      <c r="E52" s="653">
        <f t="shared" si="2"/>
        <v>26541666.666666631</v>
      </c>
      <c r="F52" s="653">
        <f t="shared" si="3"/>
        <v>116666666.66666667</v>
      </c>
      <c r="G52" s="653">
        <f t="shared" si="4"/>
        <v>2916666666.6666632</v>
      </c>
    </row>
    <row r="53" spans="2:7">
      <c r="B53" s="85">
        <f t="shared" si="0"/>
        <v>30</v>
      </c>
      <c r="C53" s="378">
        <f t="shared" si="5"/>
        <v>46266</v>
      </c>
      <c r="D53" s="86">
        <f t="shared" si="1"/>
        <v>142187499.99999997</v>
      </c>
      <c r="E53" s="653">
        <f t="shared" si="2"/>
        <v>25520833.333333299</v>
      </c>
      <c r="F53" s="653">
        <f t="shared" si="3"/>
        <v>116666666.66666667</v>
      </c>
      <c r="G53" s="653">
        <f t="shared" si="4"/>
        <v>2799999999.9999967</v>
      </c>
    </row>
    <row r="54" spans="2:7">
      <c r="B54" s="85">
        <f t="shared" si="0"/>
        <v>31</v>
      </c>
      <c r="C54" s="378">
        <f t="shared" si="5"/>
        <v>46296</v>
      </c>
      <c r="D54" s="86">
        <f t="shared" si="1"/>
        <v>141166666.66666663</v>
      </c>
      <c r="E54" s="653">
        <f t="shared" si="2"/>
        <v>24499999.999999966</v>
      </c>
      <c r="F54" s="653">
        <f t="shared" si="3"/>
        <v>116666666.66666667</v>
      </c>
      <c r="G54" s="653">
        <f t="shared" si="4"/>
        <v>2683333333.3333302</v>
      </c>
    </row>
    <row r="55" spans="2:7">
      <c r="B55" s="85">
        <f t="shared" si="0"/>
        <v>32</v>
      </c>
      <c r="C55" s="378">
        <f t="shared" si="5"/>
        <v>46327</v>
      </c>
      <c r="D55" s="86">
        <f t="shared" si="1"/>
        <v>140145833.33333331</v>
      </c>
      <c r="E55" s="653">
        <f t="shared" si="2"/>
        <v>23479166.666666638</v>
      </c>
      <c r="F55" s="653">
        <f t="shared" si="3"/>
        <v>116666666.66666667</v>
      </c>
      <c r="G55" s="653">
        <f t="shared" si="4"/>
        <v>2566666666.6666636</v>
      </c>
    </row>
    <row r="56" spans="2:7">
      <c r="B56" s="85">
        <f t="shared" si="0"/>
        <v>33</v>
      </c>
      <c r="C56" s="378">
        <f t="shared" si="5"/>
        <v>46357</v>
      </c>
      <c r="D56" s="86">
        <f t="shared" si="1"/>
        <v>139124999.99999997</v>
      </c>
      <c r="E56" s="653">
        <f t="shared" si="2"/>
        <v>22458333.333333306</v>
      </c>
      <c r="F56" s="653">
        <f t="shared" si="3"/>
        <v>116666666.66666667</v>
      </c>
      <c r="G56" s="653">
        <f t="shared" si="4"/>
        <v>2449999999.9999971</v>
      </c>
    </row>
    <row r="57" spans="2:7">
      <c r="B57" s="85">
        <f t="shared" si="0"/>
        <v>34</v>
      </c>
      <c r="C57" s="378">
        <f t="shared" si="5"/>
        <v>46388</v>
      </c>
      <c r="D57" s="86">
        <f t="shared" si="1"/>
        <v>138104166.66666666</v>
      </c>
      <c r="E57" s="653">
        <f t="shared" si="2"/>
        <v>21437499.999999974</v>
      </c>
      <c r="F57" s="653">
        <f t="shared" si="3"/>
        <v>116666666.66666667</v>
      </c>
      <c r="G57" s="653">
        <f t="shared" si="4"/>
        <v>2333333333.3333306</v>
      </c>
    </row>
    <row r="58" spans="2:7">
      <c r="B58" s="85">
        <f t="shared" si="0"/>
        <v>35</v>
      </c>
      <c r="C58" s="378">
        <f t="shared" si="5"/>
        <v>46419</v>
      </c>
      <c r="D58" s="86">
        <f t="shared" si="1"/>
        <v>137083333.33333331</v>
      </c>
      <c r="E58" s="653">
        <f t="shared" si="2"/>
        <v>20416666.666666642</v>
      </c>
      <c r="F58" s="653">
        <f t="shared" si="3"/>
        <v>116666666.66666667</v>
      </c>
      <c r="G58" s="653">
        <f t="shared" si="4"/>
        <v>2216666666.6666641</v>
      </c>
    </row>
    <row r="59" spans="2:7">
      <c r="B59" s="85">
        <f t="shared" si="0"/>
        <v>36</v>
      </c>
      <c r="C59" s="378">
        <f t="shared" si="5"/>
        <v>46447</v>
      </c>
      <c r="D59" s="86">
        <f t="shared" si="1"/>
        <v>136062499.99999997</v>
      </c>
      <c r="E59" s="653">
        <f t="shared" si="2"/>
        <v>19395833.33333331</v>
      </c>
      <c r="F59" s="653">
        <f t="shared" si="3"/>
        <v>116666666.66666667</v>
      </c>
      <c r="G59" s="653">
        <f t="shared" si="4"/>
        <v>2099999999.9999974</v>
      </c>
    </row>
    <row r="60" spans="2:7">
      <c r="B60" s="85">
        <f t="shared" si="0"/>
        <v>37</v>
      </c>
      <c r="C60" s="378">
        <f t="shared" si="5"/>
        <v>46478</v>
      </c>
      <c r="D60" s="86">
        <f t="shared" si="1"/>
        <v>135041666.66666666</v>
      </c>
      <c r="E60" s="653">
        <f t="shared" si="2"/>
        <v>18374999.999999974</v>
      </c>
      <c r="F60" s="653">
        <f t="shared" si="3"/>
        <v>116666666.66666667</v>
      </c>
      <c r="G60" s="653">
        <f t="shared" si="4"/>
        <v>1983333333.3333306</v>
      </c>
    </row>
    <row r="61" spans="2:7">
      <c r="B61" s="85">
        <f t="shared" si="0"/>
        <v>38</v>
      </c>
      <c r="C61" s="378">
        <f t="shared" si="5"/>
        <v>46508</v>
      </c>
      <c r="D61" s="86">
        <f t="shared" si="1"/>
        <v>134020833.33333331</v>
      </c>
      <c r="E61" s="653">
        <f t="shared" si="2"/>
        <v>17354166.666666642</v>
      </c>
      <c r="F61" s="653">
        <f t="shared" si="3"/>
        <v>116666666.66666667</v>
      </c>
      <c r="G61" s="653">
        <f t="shared" si="4"/>
        <v>1866666666.6666639</v>
      </c>
    </row>
    <row r="62" spans="2:7">
      <c r="B62" s="85">
        <f t="shared" si="0"/>
        <v>39</v>
      </c>
      <c r="C62" s="378">
        <f t="shared" si="5"/>
        <v>46539</v>
      </c>
      <c r="D62" s="86">
        <f t="shared" si="1"/>
        <v>132999999.99999999</v>
      </c>
      <c r="E62" s="653">
        <f t="shared" si="2"/>
        <v>16333333.333333308</v>
      </c>
      <c r="F62" s="653">
        <f t="shared" si="3"/>
        <v>116666666.66666667</v>
      </c>
      <c r="G62" s="653">
        <f t="shared" si="4"/>
        <v>1749999999.9999971</v>
      </c>
    </row>
    <row r="63" spans="2:7">
      <c r="B63" s="85">
        <f t="shared" si="0"/>
        <v>40</v>
      </c>
      <c r="C63" s="378">
        <f t="shared" si="5"/>
        <v>46569</v>
      </c>
      <c r="D63" s="86">
        <f t="shared" si="1"/>
        <v>131979166.66666664</v>
      </c>
      <c r="E63" s="653">
        <f t="shared" si="2"/>
        <v>15312499.999999974</v>
      </c>
      <c r="F63" s="653">
        <f t="shared" si="3"/>
        <v>116666666.66666667</v>
      </c>
      <c r="G63" s="653">
        <f t="shared" si="4"/>
        <v>1633333333.3333304</v>
      </c>
    </row>
    <row r="64" spans="2:7">
      <c r="B64" s="85">
        <f t="shared" si="0"/>
        <v>41</v>
      </c>
      <c r="C64" s="378">
        <f t="shared" si="5"/>
        <v>46600</v>
      </c>
      <c r="D64" s="86">
        <f t="shared" si="1"/>
        <v>130958333.33333331</v>
      </c>
      <c r="E64" s="653">
        <f t="shared" si="2"/>
        <v>14291666.66666664</v>
      </c>
      <c r="F64" s="653">
        <f t="shared" si="3"/>
        <v>116666666.66666667</v>
      </c>
      <c r="G64" s="653">
        <f t="shared" si="4"/>
        <v>1516666666.6666636</v>
      </c>
    </row>
    <row r="65" spans="2:7">
      <c r="B65" s="85">
        <f t="shared" si="0"/>
        <v>42</v>
      </c>
      <c r="C65" s="378">
        <f t="shared" si="5"/>
        <v>46631</v>
      </c>
      <c r="D65" s="86">
        <f t="shared" si="1"/>
        <v>129937499.99999997</v>
      </c>
      <c r="E65" s="653">
        <f t="shared" si="2"/>
        <v>13270833.333333306</v>
      </c>
      <c r="F65" s="653">
        <f t="shared" si="3"/>
        <v>116666666.66666667</v>
      </c>
      <c r="G65" s="653">
        <f t="shared" si="4"/>
        <v>1399999999.9999969</v>
      </c>
    </row>
    <row r="66" spans="2:7">
      <c r="B66" s="85">
        <f t="shared" si="0"/>
        <v>43</v>
      </c>
      <c r="C66" s="378">
        <f t="shared" si="5"/>
        <v>46661</v>
      </c>
      <c r="D66" s="86">
        <f t="shared" si="1"/>
        <v>128916666.66666664</v>
      </c>
      <c r="E66" s="653">
        <f t="shared" si="2"/>
        <v>12249999.999999972</v>
      </c>
      <c r="F66" s="653">
        <f t="shared" si="3"/>
        <v>116666666.66666667</v>
      </c>
      <c r="G66" s="653">
        <f t="shared" si="4"/>
        <v>1283333333.3333302</v>
      </c>
    </row>
    <row r="67" spans="2:7">
      <c r="B67" s="85">
        <f t="shared" si="0"/>
        <v>44</v>
      </c>
      <c r="C67" s="378">
        <f t="shared" si="5"/>
        <v>46692</v>
      </c>
      <c r="D67" s="86">
        <f t="shared" si="1"/>
        <v>127895833.33333331</v>
      </c>
      <c r="E67" s="653">
        <f t="shared" si="2"/>
        <v>11229166.666666638</v>
      </c>
      <c r="F67" s="653">
        <f t="shared" si="3"/>
        <v>116666666.66666667</v>
      </c>
      <c r="G67" s="653">
        <f t="shared" si="4"/>
        <v>1166666666.6666634</v>
      </c>
    </row>
    <row r="68" spans="2:7">
      <c r="B68" s="85">
        <f t="shared" si="0"/>
        <v>45</v>
      </c>
      <c r="C68" s="378">
        <f t="shared" si="5"/>
        <v>46722</v>
      </c>
      <c r="D68" s="86">
        <f t="shared" si="1"/>
        <v>126874999.99999997</v>
      </c>
      <c r="E68" s="653">
        <f t="shared" si="2"/>
        <v>10208333.333333304</v>
      </c>
      <c r="F68" s="653">
        <f t="shared" si="3"/>
        <v>116666666.66666667</v>
      </c>
      <c r="G68" s="653">
        <f t="shared" si="4"/>
        <v>1049999999.9999968</v>
      </c>
    </row>
    <row r="69" spans="2:7">
      <c r="B69" s="85">
        <f t="shared" si="0"/>
        <v>46</v>
      </c>
      <c r="C69" s="378">
        <f t="shared" si="5"/>
        <v>46753</v>
      </c>
      <c r="D69" s="86">
        <f t="shared" si="1"/>
        <v>125854166.66666664</v>
      </c>
      <c r="E69" s="653">
        <f t="shared" si="2"/>
        <v>9187499.9999999702</v>
      </c>
      <c r="F69" s="653">
        <f t="shared" si="3"/>
        <v>116666666.66666667</v>
      </c>
      <c r="G69" s="653">
        <f t="shared" si="4"/>
        <v>933333333.33333015</v>
      </c>
    </row>
    <row r="70" spans="2:7">
      <c r="B70" s="85">
        <f t="shared" si="0"/>
        <v>47</v>
      </c>
      <c r="C70" s="378">
        <f t="shared" si="5"/>
        <v>46784</v>
      </c>
      <c r="D70" s="86">
        <f t="shared" si="1"/>
        <v>124833333.33333331</v>
      </c>
      <c r="E70" s="653">
        <f t="shared" si="2"/>
        <v>8166666.6666666381</v>
      </c>
      <c r="F70" s="653">
        <f t="shared" si="3"/>
        <v>116666666.66666667</v>
      </c>
      <c r="G70" s="653">
        <f t="shared" si="4"/>
        <v>816666666.66666353</v>
      </c>
    </row>
    <row r="71" spans="2:7">
      <c r="B71" s="85">
        <f t="shared" si="0"/>
        <v>48</v>
      </c>
      <c r="C71" s="378">
        <f t="shared" si="5"/>
        <v>46813</v>
      </c>
      <c r="D71" s="86">
        <f t="shared" si="1"/>
        <v>123812499.99999997</v>
      </c>
      <c r="E71" s="653">
        <f t="shared" si="2"/>
        <v>7145833.3333333051</v>
      </c>
      <c r="F71" s="653">
        <f t="shared" si="3"/>
        <v>116666666.66666667</v>
      </c>
      <c r="G71" s="653">
        <f t="shared" si="4"/>
        <v>699999999.9999969</v>
      </c>
    </row>
    <row r="72" spans="2:7">
      <c r="B72" s="85">
        <f t="shared" si="0"/>
        <v>49</v>
      </c>
      <c r="C72" s="378">
        <f t="shared" si="5"/>
        <v>46844</v>
      </c>
      <c r="D72" s="86">
        <f t="shared" si="1"/>
        <v>122791666.66666664</v>
      </c>
      <c r="E72" s="653">
        <f t="shared" si="2"/>
        <v>6124999.9999999721</v>
      </c>
      <c r="F72" s="653">
        <f t="shared" si="3"/>
        <v>116666666.66666667</v>
      </c>
      <c r="G72" s="653">
        <f t="shared" si="4"/>
        <v>583333333.33333027</v>
      </c>
    </row>
    <row r="73" spans="2:7">
      <c r="B73" s="85">
        <f t="shared" si="0"/>
        <v>50</v>
      </c>
      <c r="C73" s="378">
        <f t="shared" si="5"/>
        <v>46874</v>
      </c>
      <c r="D73" s="86">
        <f t="shared" si="1"/>
        <v>121770833.33333331</v>
      </c>
      <c r="E73" s="653">
        <f t="shared" si="2"/>
        <v>5104166.666666639</v>
      </c>
      <c r="F73" s="653">
        <f t="shared" si="3"/>
        <v>116666666.66666667</v>
      </c>
      <c r="G73" s="653">
        <f t="shared" si="4"/>
        <v>466666666.66666359</v>
      </c>
    </row>
    <row r="74" spans="2:7">
      <c r="B74" s="85">
        <f t="shared" si="0"/>
        <v>51</v>
      </c>
      <c r="C74" s="378">
        <f t="shared" si="5"/>
        <v>46905</v>
      </c>
      <c r="D74" s="86">
        <f t="shared" si="1"/>
        <v>120749999.99999997</v>
      </c>
      <c r="E74" s="653">
        <f t="shared" si="2"/>
        <v>4083333.333333306</v>
      </c>
      <c r="F74" s="653">
        <f t="shared" si="3"/>
        <v>116666666.66666667</v>
      </c>
      <c r="G74" s="653">
        <f t="shared" si="4"/>
        <v>349999999.9999969</v>
      </c>
    </row>
    <row r="75" spans="2:7">
      <c r="B75" s="85">
        <f t="shared" si="0"/>
        <v>52</v>
      </c>
      <c r="C75" s="378">
        <f t="shared" si="5"/>
        <v>46935</v>
      </c>
      <c r="D75" s="86">
        <f t="shared" si="1"/>
        <v>119729166.66666664</v>
      </c>
      <c r="E75" s="653">
        <f t="shared" si="2"/>
        <v>3062499.9999999725</v>
      </c>
      <c r="F75" s="653">
        <f t="shared" si="3"/>
        <v>116666666.66666667</v>
      </c>
      <c r="G75" s="653">
        <f t="shared" si="4"/>
        <v>233333333.33333021</v>
      </c>
    </row>
    <row r="76" spans="2:7">
      <c r="B76" s="85">
        <f t="shared" si="0"/>
        <v>53</v>
      </c>
      <c r="C76" s="378">
        <f t="shared" si="5"/>
        <v>46966</v>
      </c>
      <c r="D76" s="86">
        <f t="shared" si="1"/>
        <v>118708333.33333331</v>
      </c>
      <c r="E76" s="653">
        <f t="shared" si="2"/>
        <v>2041666.6666666393</v>
      </c>
      <c r="F76" s="653">
        <f t="shared" si="3"/>
        <v>116666666.66666667</v>
      </c>
      <c r="G76" s="653">
        <f t="shared" si="4"/>
        <v>116666666.66666354</v>
      </c>
    </row>
    <row r="77" spans="2:7">
      <c r="B77" s="85">
        <f t="shared" si="0"/>
        <v>54</v>
      </c>
      <c r="C77" s="378">
        <f t="shared" si="5"/>
        <v>46997</v>
      </c>
      <c r="D77" s="86">
        <f t="shared" si="1"/>
        <v>117687499.99999997</v>
      </c>
      <c r="E77" s="653">
        <f t="shared" si="2"/>
        <v>1020833.3333333059</v>
      </c>
      <c r="F77" s="653">
        <f t="shared" si="3"/>
        <v>116666666.66666667</v>
      </c>
      <c r="G77" s="653">
        <f t="shared" si="4"/>
        <v>-3.1292438507080078E-6</v>
      </c>
    </row>
    <row r="78" spans="2:7">
      <c r="B78" s="85" t="str">
        <f t="shared" si="0"/>
        <v/>
      </c>
      <c r="C78" s="378" t="str">
        <f t="shared" si="5"/>
        <v/>
      </c>
      <c r="D78" s="86" t="str">
        <f t="shared" si="1"/>
        <v/>
      </c>
      <c r="E78" s="653" t="str">
        <f t="shared" si="2"/>
        <v/>
      </c>
      <c r="F78" s="653" t="str">
        <f t="shared" si="3"/>
        <v/>
      </c>
      <c r="G78" s="653" t="str">
        <f t="shared" si="4"/>
        <v/>
      </c>
    </row>
    <row r="79" spans="2:7">
      <c r="B79" s="85" t="str">
        <f t="shared" si="0"/>
        <v/>
      </c>
      <c r="C79" s="378" t="str">
        <f t="shared" si="5"/>
        <v/>
      </c>
      <c r="D79" s="86" t="str">
        <f t="shared" si="1"/>
        <v/>
      </c>
      <c r="E79" s="653" t="str">
        <f t="shared" si="2"/>
        <v/>
      </c>
      <c r="F79" s="653" t="str">
        <f t="shared" si="3"/>
        <v/>
      </c>
      <c r="G79" s="653" t="str">
        <f t="shared" si="4"/>
        <v/>
      </c>
    </row>
    <row r="80" spans="2:7">
      <c r="B80" s="85" t="str">
        <f t="shared" si="0"/>
        <v/>
      </c>
      <c r="C80" s="378" t="str">
        <f t="shared" si="5"/>
        <v/>
      </c>
      <c r="D80" s="86" t="str">
        <f t="shared" si="1"/>
        <v/>
      </c>
      <c r="E80" s="653" t="str">
        <f t="shared" si="2"/>
        <v/>
      </c>
      <c r="F80" s="653" t="str">
        <f t="shared" si="3"/>
        <v/>
      </c>
      <c r="G80" s="653" t="str">
        <f t="shared" si="4"/>
        <v/>
      </c>
    </row>
    <row r="81" spans="2:7">
      <c r="B81" s="85" t="str">
        <f t="shared" si="0"/>
        <v/>
      </c>
      <c r="C81" s="378" t="str">
        <f t="shared" si="5"/>
        <v/>
      </c>
      <c r="D81" s="86" t="str">
        <f t="shared" si="1"/>
        <v/>
      </c>
      <c r="E81" s="653" t="str">
        <f t="shared" si="2"/>
        <v/>
      </c>
      <c r="F81" s="653" t="str">
        <f t="shared" si="3"/>
        <v/>
      </c>
      <c r="G81" s="653" t="str">
        <f t="shared" si="4"/>
        <v/>
      </c>
    </row>
    <row r="82" spans="2:7">
      <c r="B82" s="85" t="str">
        <f t="shared" si="0"/>
        <v/>
      </c>
      <c r="C82" s="378" t="str">
        <f t="shared" si="5"/>
        <v/>
      </c>
      <c r="D82" s="86" t="str">
        <f t="shared" si="1"/>
        <v/>
      </c>
      <c r="E82" s="653" t="str">
        <f t="shared" si="2"/>
        <v/>
      </c>
      <c r="F82" s="653" t="str">
        <f t="shared" si="3"/>
        <v/>
      </c>
      <c r="G82" s="653" t="str">
        <f t="shared" si="4"/>
        <v/>
      </c>
    </row>
    <row r="83" spans="2:7">
      <c r="B83" s="85" t="str">
        <f t="shared" si="0"/>
        <v/>
      </c>
      <c r="C83" s="378" t="str">
        <f t="shared" si="5"/>
        <v/>
      </c>
      <c r="D83" s="86" t="str">
        <f t="shared" si="1"/>
        <v/>
      </c>
      <c r="E83" s="653" t="str">
        <f t="shared" si="2"/>
        <v/>
      </c>
      <c r="F83" s="653" t="str">
        <f t="shared" si="3"/>
        <v/>
      </c>
      <c r="G83" s="653" t="str">
        <f t="shared" si="4"/>
        <v/>
      </c>
    </row>
    <row r="84" spans="2:7">
      <c r="B84" s="85" t="str">
        <f t="shared" si="0"/>
        <v/>
      </c>
      <c r="C84" s="378" t="str">
        <f t="shared" si="5"/>
        <v/>
      </c>
      <c r="D84" s="86" t="str">
        <f t="shared" si="1"/>
        <v/>
      </c>
      <c r="E84" s="653" t="str">
        <f t="shared" si="2"/>
        <v/>
      </c>
      <c r="F84" s="653" t="str">
        <f t="shared" si="3"/>
        <v/>
      </c>
      <c r="G84" s="653" t="str">
        <f t="shared" si="4"/>
        <v/>
      </c>
    </row>
    <row r="85" spans="2:7">
      <c r="B85" s="85" t="str">
        <f t="shared" si="0"/>
        <v/>
      </c>
      <c r="C85" s="378" t="str">
        <f t="shared" si="5"/>
        <v/>
      </c>
      <c r="D85" s="86" t="str">
        <f t="shared" si="1"/>
        <v/>
      </c>
      <c r="E85" s="653" t="str">
        <f t="shared" si="2"/>
        <v/>
      </c>
      <c r="F85" s="653" t="str">
        <f t="shared" si="3"/>
        <v/>
      </c>
      <c r="G85" s="653" t="str">
        <f t="shared" si="4"/>
        <v/>
      </c>
    </row>
    <row r="86" spans="2:7">
      <c r="B86" s="85" t="str">
        <f t="shared" si="0"/>
        <v/>
      </c>
      <c r="C86" s="378" t="str">
        <f t="shared" si="5"/>
        <v/>
      </c>
      <c r="D86" s="86" t="str">
        <f t="shared" si="1"/>
        <v/>
      </c>
      <c r="E86" s="653" t="str">
        <f t="shared" si="2"/>
        <v/>
      </c>
      <c r="F86" s="653" t="str">
        <f t="shared" si="3"/>
        <v/>
      </c>
      <c r="G86" s="653" t="str">
        <f t="shared" si="4"/>
        <v/>
      </c>
    </row>
    <row r="87" spans="2:7">
      <c r="B87" s="85" t="str">
        <f t="shared" si="0"/>
        <v/>
      </c>
      <c r="C87" s="378" t="str">
        <f t="shared" si="5"/>
        <v/>
      </c>
      <c r="D87" s="86" t="str">
        <f t="shared" si="1"/>
        <v/>
      </c>
      <c r="E87" s="653" t="str">
        <f t="shared" si="2"/>
        <v/>
      </c>
      <c r="F87" s="653" t="str">
        <f t="shared" si="3"/>
        <v/>
      </c>
      <c r="G87" s="653" t="str">
        <f t="shared" si="4"/>
        <v/>
      </c>
    </row>
    <row r="88" spans="2:7">
      <c r="B88" s="85" t="str">
        <f t="shared" si="0"/>
        <v/>
      </c>
      <c r="C88" s="378" t="str">
        <f t="shared" si="5"/>
        <v/>
      </c>
      <c r="D88" s="86" t="str">
        <f t="shared" si="1"/>
        <v/>
      </c>
      <c r="E88" s="653" t="str">
        <f t="shared" si="2"/>
        <v/>
      </c>
      <c r="F88" s="653" t="str">
        <f t="shared" si="3"/>
        <v/>
      </c>
      <c r="G88" s="653" t="str">
        <f t="shared" si="4"/>
        <v/>
      </c>
    </row>
    <row r="89" spans="2:7">
      <c r="B89" s="85" t="str">
        <f t="shared" ref="B89:B107" si="6">IF(ROW()-ROW($B$24)+1 &lt;= $E$14, ROW()-ROW($B$24)+1, "")</f>
        <v/>
      </c>
      <c r="C89" s="378" t="str">
        <f t="shared" si="5"/>
        <v/>
      </c>
      <c r="D89" s="86" t="str">
        <f t="shared" ref="D89:D107" si="7">IF($B89&lt;&gt;"", E89+F89, "")</f>
        <v/>
      </c>
      <c r="E89" s="653" t="str">
        <f t="shared" ref="E89:E107" si="8">IF($B89&lt;&gt;"", G88*$E$12, "")</f>
        <v/>
      </c>
      <c r="F89" s="653" t="str">
        <f t="shared" ref="F89:F107" si="9">IF($B89&lt;&gt;"", $E$8/$E$14, "")</f>
        <v/>
      </c>
      <c r="G89" s="653" t="str">
        <f t="shared" ref="G89:G107" si="10">IF($B89&lt;&gt;"", G88-F89, "")</f>
        <v/>
      </c>
    </row>
    <row r="90" spans="2:7">
      <c r="B90" s="85" t="str">
        <f t="shared" si="6"/>
        <v/>
      </c>
      <c r="C90" s="378" t="str">
        <f t="shared" ref="C90:C107" si="11">IF($B90&lt;&gt;"", EDATE(C89,1), "")</f>
        <v/>
      </c>
      <c r="D90" s="86" t="str">
        <f t="shared" si="7"/>
        <v/>
      </c>
      <c r="E90" s="653" t="str">
        <f t="shared" si="8"/>
        <v/>
      </c>
      <c r="F90" s="653" t="str">
        <f t="shared" si="9"/>
        <v/>
      </c>
      <c r="G90" s="653" t="str">
        <f t="shared" si="10"/>
        <v/>
      </c>
    </row>
    <row r="91" spans="2:7">
      <c r="B91" s="85" t="str">
        <f t="shared" si="6"/>
        <v/>
      </c>
      <c r="C91" s="378" t="str">
        <f t="shared" si="11"/>
        <v/>
      </c>
      <c r="D91" s="86" t="str">
        <f t="shared" si="7"/>
        <v/>
      </c>
      <c r="E91" s="653" t="str">
        <f t="shared" si="8"/>
        <v/>
      </c>
      <c r="F91" s="653" t="str">
        <f t="shared" si="9"/>
        <v/>
      </c>
      <c r="G91" s="653" t="str">
        <f t="shared" si="10"/>
        <v/>
      </c>
    </row>
    <row r="92" spans="2:7">
      <c r="B92" s="85" t="str">
        <f t="shared" si="6"/>
        <v/>
      </c>
      <c r="C92" s="378" t="str">
        <f t="shared" si="11"/>
        <v/>
      </c>
      <c r="D92" s="86" t="str">
        <f t="shared" si="7"/>
        <v/>
      </c>
      <c r="E92" s="653" t="str">
        <f t="shared" si="8"/>
        <v/>
      </c>
      <c r="F92" s="653" t="str">
        <f t="shared" si="9"/>
        <v/>
      </c>
      <c r="G92" s="653" t="str">
        <f t="shared" si="10"/>
        <v/>
      </c>
    </row>
    <row r="93" spans="2:7">
      <c r="B93" s="85" t="str">
        <f t="shared" si="6"/>
        <v/>
      </c>
      <c r="C93" s="378" t="str">
        <f t="shared" si="11"/>
        <v/>
      </c>
      <c r="D93" s="86" t="str">
        <f t="shared" si="7"/>
        <v/>
      </c>
      <c r="E93" s="653" t="str">
        <f t="shared" si="8"/>
        <v/>
      </c>
      <c r="F93" s="653" t="str">
        <f t="shared" si="9"/>
        <v/>
      </c>
      <c r="G93" s="653" t="str">
        <f t="shared" si="10"/>
        <v/>
      </c>
    </row>
    <row r="94" spans="2:7">
      <c r="B94" s="85" t="str">
        <f t="shared" si="6"/>
        <v/>
      </c>
      <c r="C94" s="378" t="str">
        <f t="shared" si="11"/>
        <v/>
      </c>
      <c r="D94" s="86" t="str">
        <f t="shared" si="7"/>
        <v/>
      </c>
      <c r="E94" s="653" t="str">
        <f t="shared" si="8"/>
        <v/>
      </c>
      <c r="F94" s="653" t="str">
        <f t="shared" si="9"/>
        <v/>
      </c>
      <c r="G94" s="653" t="str">
        <f t="shared" si="10"/>
        <v/>
      </c>
    </row>
    <row r="95" spans="2:7">
      <c r="B95" s="85" t="str">
        <f t="shared" si="6"/>
        <v/>
      </c>
      <c r="C95" s="378" t="str">
        <f t="shared" si="11"/>
        <v/>
      </c>
      <c r="D95" s="86" t="str">
        <f t="shared" si="7"/>
        <v/>
      </c>
      <c r="E95" s="653" t="str">
        <f t="shared" si="8"/>
        <v/>
      </c>
      <c r="F95" s="653" t="str">
        <f t="shared" si="9"/>
        <v/>
      </c>
      <c r="G95" s="653" t="str">
        <f t="shared" si="10"/>
        <v/>
      </c>
    </row>
    <row r="96" spans="2:7">
      <c r="B96" s="85" t="str">
        <f t="shared" si="6"/>
        <v/>
      </c>
      <c r="C96" s="378" t="str">
        <f t="shared" si="11"/>
        <v/>
      </c>
      <c r="D96" s="86" t="str">
        <f t="shared" si="7"/>
        <v/>
      </c>
      <c r="E96" s="653" t="str">
        <f t="shared" si="8"/>
        <v/>
      </c>
      <c r="F96" s="653" t="str">
        <f t="shared" si="9"/>
        <v/>
      </c>
      <c r="G96" s="653" t="str">
        <f t="shared" si="10"/>
        <v/>
      </c>
    </row>
    <row r="97" spans="2:7">
      <c r="B97" s="85" t="str">
        <f t="shared" si="6"/>
        <v/>
      </c>
      <c r="C97" s="378" t="str">
        <f t="shared" si="11"/>
        <v/>
      </c>
      <c r="D97" s="86" t="str">
        <f t="shared" si="7"/>
        <v/>
      </c>
      <c r="E97" s="653" t="str">
        <f t="shared" si="8"/>
        <v/>
      </c>
      <c r="F97" s="653" t="str">
        <f t="shared" si="9"/>
        <v/>
      </c>
      <c r="G97" s="653" t="str">
        <f t="shared" si="10"/>
        <v/>
      </c>
    </row>
    <row r="98" spans="2:7">
      <c r="B98" s="85" t="str">
        <f t="shared" si="6"/>
        <v/>
      </c>
      <c r="C98" s="378" t="str">
        <f t="shared" si="11"/>
        <v/>
      </c>
      <c r="D98" s="86" t="str">
        <f t="shared" si="7"/>
        <v/>
      </c>
      <c r="E98" s="653" t="str">
        <f t="shared" si="8"/>
        <v/>
      </c>
      <c r="F98" s="653" t="str">
        <f t="shared" si="9"/>
        <v/>
      </c>
      <c r="G98" s="653" t="str">
        <f t="shared" si="10"/>
        <v/>
      </c>
    </row>
    <row r="99" spans="2:7">
      <c r="B99" s="85" t="str">
        <f t="shared" si="6"/>
        <v/>
      </c>
      <c r="C99" s="378" t="str">
        <f t="shared" si="11"/>
        <v/>
      </c>
      <c r="D99" s="86" t="str">
        <f t="shared" si="7"/>
        <v/>
      </c>
      <c r="E99" s="653" t="str">
        <f t="shared" si="8"/>
        <v/>
      </c>
      <c r="F99" s="653" t="str">
        <f t="shared" si="9"/>
        <v/>
      </c>
      <c r="G99" s="653" t="str">
        <f t="shared" si="10"/>
        <v/>
      </c>
    </row>
    <row r="100" spans="2:7">
      <c r="B100" s="85" t="str">
        <f t="shared" si="6"/>
        <v/>
      </c>
      <c r="C100" s="378" t="str">
        <f t="shared" si="11"/>
        <v/>
      </c>
      <c r="D100" s="86" t="str">
        <f t="shared" si="7"/>
        <v/>
      </c>
      <c r="E100" s="653" t="str">
        <f t="shared" si="8"/>
        <v/>
      </c>
      <c r="F100" s="653" t="str">
        <f t="shared" si="9"/>
        <v/>
      </c>
      <c r="G100" s="653" t="str">
        <f t="shared" si="10"/>
        <v/>
      </c>
    </row>
    <row r="101" spans="2:7">
      <c r="B101" s="85" t="str">
        <f t="shared" si="6"/>
        <v/>
      </c>
      <c r="C101" s="378" t="str">
        <f t="shared" si="11"/>
        <v/>
      </c>
      <c r="D101" s="86" t="str">
        <f t="shared" si="7"/>
        <v/>
      </c>
      <c r="E101" s="653" t="str">
        <f t="shared" si="8"/>
        <v/>
      </c>
      <c r="F101" s="653" t="str">
        <f t="shared" si="9"/>
        <v/>
      </c>
      <c r="G101" s="653" t="str">
        <f t="shared" si="10"/>
        <v/>
      </c>
    </row>
    <row r="102" spans="2:7">
      <c r="B102" s="85" t="str">
        <f t="shared" si="6"/>
        <v/>
      </c>
      <c r="C102" s="378" t="str">
        <f t="shared" si="11"/>
        <v/>
      </c>
      <c r="D102" s="86" t="str">
        <f t="shared" si="7"/>
        <v/>
      </c>
      <c r="E102" s="653" t="str">
        <f t="shared" si="8"/>
        <v/>
      </c>
      <c r="F102" s="653" t="str">
        <f t="shared" si="9"/>
        <v/>
      </c>
      <c r="G102" s="653" t="str">
        <f t="shared" si="10"/>
        <v/>
      </c>
    </row>
    <row r="103" spans="2:7">
      <c r="B103" s="85" t="str">
        <f t="shared" si="6"/>
        <v/>
      </c>
      <c r="C103" s="378" t="str">
        <f t="shared" si="11"/>
        <v/>
      </c>
      <c r="D103" s="86" t="str">
        <f t="shared" si="7"/>
        <v/>
      </c>
      <c r="E103" s="653" t="str">
        <f t="shared" si="8"/>
        <v/>
      </c>
      <c r="F103" s="653" t="str">
        <f t="shared" si="9"/>
        <v/>
      </c>
      <c r="G103" s="653" t="str">
        <f t="shared" si="10"/>
        <v/>
      </c>
    </row>
    <row r="104" spans="2:7">
      <c r="B104" s="85" t="str">
        <f t="shared" si="6"/>
        <v/>
      </c>
      <c r="C104" s="378" t="str">
        <f t="shared" si="11"/>
        <v/>
      </c>
      <c r="D104" s="86" t="str">
        <f t="shared" si="7"/>
        <v/>
      </c>
      <c r="E104" s="653" t="str">
        <f t="shared" si="8"/>
        <v/>
      </c>
      <c r="F104" s="653" t="str">
        <f t="shared" si="9"/>
        <v/>
      </c>
      <c r="G104" s="653" t="str">
        <f t="shared" si="10"/>
        <v/>
      </c>
    </row>
    <row r="105" spans="2:7">
      <c r="B105" s="85" t="str">
        <f t="shared" si="6"/>
        <v/>
      </c>
      <c r="C105" s="378" t="str">
        <f t="shared" si="11"/>
        <v/>
      </c>
      <c r="D105" s="86" t="str">
        <f t="shared" si="7"/>
        <v/>
      </c>
      <c r="E105" s="653" t="str">
        <f t="shared" si="8"/>
        <v/>
      </c>
      <c r="F105" s="653" t="str">
        <f t="shared" si="9"/>
        <v/>
      </c>
      <c r="G105" s="653" t="str">
        <f t="shared" si="10"/>
        <v/>
      </c>
    </row>
    <row r="106" spans="2:7">
      <c r="B106" s="85" t="str">
        <f t="shared" si="6"/>
        <v/>
      </c>
      <c r="C106" s="378" t="str">
        <f t="shared" si="11"/>
        <v/>
      </c>
      <c r="D106" s="86" t="str">
        <f t="shared" si="7"/>
        <v/>
      </c>
      <c r="E106" s="653" t="str">
        <f t="shared" si="8"/>
        <v/>
      </c>
      <c r="F106" s="653" t="str">
        <f t="shared" si="9"/>
        <v/>
      </c>
      <c r="G106" s="653" t="str">
        <f t="shared" si="10"/>
        <v/>
      </c>
    </row>
    <row r="107" spans="2:7">
      <c r="B107" s="85" t="str">
        <f t="shared" si="6"/>
        <v/>
      </c>
      <c r="C107" s="378" t="str">
        <f t="shared" si="11"/>
        <v/>
      </c>
      <c r="D107" s="86" t="str">
        <f t="shared" si="7"/>
        <v/>
      </c>
      <c r="E107" s="653" t="str">
        <f t="shared" si="8"/>
        <v/>
      </c>
      <c r="F107" s="653" t="str">
        <f t="shared" si="9"/>
        <v/>
      </c>
      <c r="G107" s="653" t="str">
        <f t="shared" si="10"/>
        <v/>
      </c>
    </row>
    <row r="155" spans="2:5">
      <c r="B155" s="891" t="s">
        <v>161</v>
      </c>
      <c r="C155" s="892"/>
      <c r="D155" s="892"/>
      <c r="E155" s="893"/>
    </row>
    <row r="156" spans="2:5" ht="2.25" customHeight="1"/>
    <row r="157" spans="2:5">
      <c r="B157" s="60">
        <v>100</v>
      </c>
      <c r="D157" s="87">
        <f>100+100*E12</f>
        <v>100.875</v>
      </c>
      <c r="E157" s="88">
        <f>B157/D157</f>
        <v>0.99132589838909546</v>
      </c>
    </row>
    <row r="158" spans="2:5">
      <c r="B158" s="60">
        <v>100</v>
      </c>
      <c r="D158" s="87">
        <f>D157+D157*E12</f>
        <v>101.75765625</v>
      </c>
      <c r="E158" s="88">
        <f t="shared" ref="E158:E192" si="12">B158/D158</f>
        <v>0.98272703681694717</v>
      </c>
    </row>
    <row r="159" spans="2:5">
      <c r="B159" s="60">
        <v>100</v>
      </c>
      <c r="D159" s="87">
        <f>D158+D158*E12</f>
        <v>102.6480357421875</v>
      </c>
      <c r="E159" s="88">
        <f t="shared" si="12"/>
        <v>0.97420276264381378</v>
      </c>
    </row>
    <row r="160" spans="2:5">
      <c r="B160" s="60">
        <v>100</v>
      </c>
      <c r="D160" s="87">
        <f>D159+D159*E12</f>
        <v>103.54620605493164</v>
      </c>
      <c r="E160" s="88">
        <f t="shared" si="12"/>
        <v>0.96575242889101731</v>
      </c>
    </row>
    <row r="161" spans="2:5">
      <c r="B161" s="60">
        <v>100</v>
      </c>
      <c r="D161" s="87">
        <f>D160+D160*E12</f>
        <v>104.4522353579123</v>
      </c>
      <c r="E161" s="88">
        <f t="shared" si="12"/>
        <v>0.9573753941918387</v>
      </c>
    </row>
    <row r="162" spans="2:5">
      <c r="B162" s="60">
        <v>100</v>
      </c>
      <c r="D162" s="87">
        <f>D161+D161*E12</f>
        <v>105.36619241729403</v>
      </c>
      <c r="E162" s="88">
        <f t="shared" si="12"/>
        <v>0.94907102274283883</v>
      </c>
    </row>
    <row r="163" spans="2:5">
      <c r="B163" s="60">
        <v>100</v>
      </c>
      <c r="D163" s="87">
        <f>D162+D162*E12</f>
        <v>106.28814660094535</v>
      </c>
      <c r="E163" s="88">
        <f t="shared" si="12"/>
        <v>0.94083868425560235</v>
      </c>
    </row>
    <row r="164" spans="2:5">
      <c r="B164" s="60">
        <v>100</v>
      </c>
      <c r="D164" s="87">
        <f>D163+D163*E12</f>
        <v>107.21816788370363</v>
      </c>
      <c r="E164" s="88">
        <f t="shared" si="12"/>
        <v>0.93267775390889951</v>
      </c>
    </row>
    <row r="165" spans="2:5">
      <c r="B165" s="60">
        <v>100</v>
      </c>
      <c r="D165" s="87">
        <f>D164+D164*E12</f>
        <v>108.15632685268604</v>
      </c>
      <c r="E165" s="88">
        <f t="shared" si="12"/>
        <v>0.92458761230126341</v>
      </c>
    </row>
    <row r="166" spans="2:5">
      <c r="B166" s="60">
        <v>100</v>
      </c>
      <c r="D166" s="87">
        <f>D165+D165*E12</f>
        <v>109.10269471264704</v>
      </c>
      <c r="E166" s="88">
        <f t="shared" si="12"/>
        <v>0.91656764540397861</v>
      </c>
    </row>
    <row r="167" spans="2:5">
      <c r="B167" s="60">
        <v>100</v>
      </c>
      <c r="D167" s="87">
        <f>D166+D166*E12</f>
        <v>110.05734329138269</v>
      </c>
      <c r="E167" s="88">
        <f t="shared" si="12"/>
        <v>0.90861724451447701</v>
      </c>
    </row>
    <row r="168" spans="2:5">
      <c r="B168" s="60">
        <v>100</v>
      </c>
      <c r="D168" s="87">
        <f>D167+D167*E12</f>
        <v>111.0203450451823</v>
      </c>
      <c r="E168" s="88">
        <f t="shared" si="12"/>
        <v>0.90073580621013827</v>
      </c>
    </row>
    <row r="169" spans="2:5">
      <c r="B169" s="60">
        <v>100</v>
      </c>
      <c r="D169" s="87">
        <f>D168+D168*E12</f>
        <v>111.99177306432765</v>
      </c>
      <c r="E169" s="88">
        <f t="shared" si="12"/>
        <v>0.89292273230249142</v>
      </c>
    </row>
    <row r="170" spans="2:5">
      <c r="B170" s="60">
        <v>100</v>
      </c>
      <c r="D170" s="87">
        <f>D169+D169*E12</f>
        <v>112.97170107864051</v>
      </c>
      <c r="E170" s="88">
        <f t="shared" si="12"/>
        <v>0.88517742979181302</v>
      </c>
    </row>
    <row r="171" spans="2:5">
      <c r="B171" s="60">
        <v>100</v>
      </c>
      <c r="D171" s="87">
        <f>D170+D170*E12</f>
        <v>113.96020346307861</v>
      </c>
      <c r="E171" s="88">
        <f t="shared" si="12"/>
        <v>0.87749931082211952</v>
      </c>
    </row>
    <row r="172" spans="2:5">
      <c r="B172" s="60">
        <v>100</v>
      </c>
      <c r="D172" s="87">
        <f>D171+D171*E12</f>
        <v>114.95735524338055</v>
      </c>
      <c r="E172" s="88">
        <f t="shared" si="12"/>
        <v>0.86988779263654969</v>
      </c>
    </row>
    <row r="173" spans="2:5">
      <c r="B173" s="60">
        <v>100</v>
      </c>
      <c r="D173" s="87">
        <f>D172+D172*E12</f>
        <v>115.96323210176013</v>
      </c>
      <c r="E173" s="88">
        <f t="shared" si="12"/>
        <v>0.86234229753313485</v>
      </c>
    </row>
    <row r="174" spans="2:5">
      <c r="B174" s="60">
        <v>100</v>
      </c>
      <c r="D174" s="87">
        <f>D173+D173*E12</f>
        <v>116.97791038265053</v>
      </c>
      <c r="E174" s="88">
        <f t="shared" si="12"/>
        <v>0.85486225282095141</v>
      </c>
    </row>
    <row r="175" spans="2:5">
      <c r="B175" s="60">
        <v>100</v>
      </c>
      <c r="D175" s="87">
        <f>D174+D174*E12</f>
        <v>118.00146709849872</v>
      </c>
      <c r="E175" s="88">
        <f t="shared" si="12"/>
        <v>0.8474470907766557</v>
      </c>
    </row>
    <row r="176" spans="2:5">
      <c r="B176" s="60">
        <v>100</v>
      </c>
      <c r="D176" s="87">
        <f>D175+D175*E12</f>
        <v>119.03397993561059</v>
      </c>
      <c r="E176" s="88">
        <f t="shared" si="12"/>
        <v>0.84009624860139354</v>
      </c>
    </row>
    <row r="177" spans="2:5">
      <c r="B177" s="60">
        <v>100</v>
      </c>
      <c r="D177" s="87">
        <f>D176+D176*E12</f>
        <v>120.07552726004718</v>
      </c>
      <c r="E177" s="88">
        <f t="shared" si="12"/>
        <v>0.83280916837808527</v>
      </c>
    </row>
    <row r="178" spans="2:5">
      <c r="B178" s="60">
        <v>100</v>
      </c>
      <c r="D178" s="87">
        <f>D177+D177*E12</f>
        <v>121.12618812357259</v>
      </c>
      <c r="E178" s="88">
        <f t="shared" si="12"/>
        <v>0.82558529702908079</v>
      </c>
    </row>
    <row r="179" spans="2:5">
      <c r="B179" s="60">
        <v>100</v>
      </c>
      <c r="D179" s="87">
        <f>D178+D178*E12</f>
        <v>122.18604226965385</v>
      </c>
      <c r="E179" s="88">
        <f t="shared" si="12"/>
        <v>0.81842408627418173</v>
      </c>
    </row>
    <row r="180" spans="2:5">
      <c r="B180" s="60">
        <v>100</v>
      </c>
      <c r="D180" s="87">
        <f>D179+D179*E12</f>
        <v>123.25517013951333</v>
      </c>
      <c r="E180" s="88">
        <f t="shared" si="12"/>
        <v>0.81132499258902768</v>
      </c>
    </row>
    <row r="181" spans="2:5">
      <c r="B181" s="60">
        <v>100</v>
      </c>
      <c r="D181" s="87">
        <f>D180+D180*E12</f>
        <v>124.33365287823406</v>
      </c>
      <c r="E181" s="88">
        <f t="shared" si="12"/>
        <v>0.80428747716384408</v>
      </c>
    </row>
    <row r="182" spans="2:5">
      <c r="B182" s="60">
        <v>100</v>
      </c>
      <c r="D182" s="87">
        <f>D181+D181*E12</f>
        <v>125.42157234091862</v>
      </c>
      <c r="E182" s="88">
        <f t="shared" si="12"/>
        <v>0.79731100586254677</v>
      </c>
    </row>
    <row r="183" spans="2:5">
      <c r="B183" s="60">
        <v>100</v>
      </c>
      <c r="D183" s="87">
        <f>D182+D182*E12</f>
        <v>126.51901109890166</v>
      </c>
      <c r="E183" s="88">
        <f t="shared" si="12"/>
        <v>0.79039504918220249</v>
      </c>
    </row>
    <row r="184" spans="2:5">
      <c r="B184" s="60">
        <v>100</v>
      </c>
      <c r="D184" s="87">
        <f>D183+D183*E12</f>
        <v>127.62605244601704</v>
      </c>
      <c r="E184" s="88">
        <f t="shared" si="12"/>
        <v>0.78353908221284019</v>
      </c>
    </row>
    <row r="185" spans="2:5">
      <c r="B185" s="60">
        <v>100</v>
      </c>
      <c r="D185" s="87">
        <f>D184+D184*E12</f>
        <v>128.7427804049197</v>
      </c>
      <c r="E185" s="88">
        <f t="shared" si="12"/>
        <v>0.77674258459761103</v>
      </c>
    </row>
    <row r="186" spans="2:5">
      <c r="B186" s="60">
        <v>100</v>
      </c>
      <c r="D186" s="87">
        <f>D185+D185*E12</f>
        <v>129.86927973346275</v>
      </c>
      <c r="E186" s="88">
        <f t="shared" si="12"/>
        <v>0.77000504049329466</v>
      </c>
    </row>
    <row r="187" spans="2:5">
      <c r="B187" s="60">
        <v>100</v>
      </c>
      <c r="D187" s="87">
        <f>D186+D186*E12</f>
        <v>131.00563593113054</v>
      </c>
      <c r="E187" s="88">
        <f t="shared" si="12"/>
        <v>0.76332593853114716</v>
      </c>
    </row>
    <row r="188" spans="2:5">
      <c r="B188" s="60">
        <v>100</v>
      </c>
      <c r="D188" s="87">
        <f>D187+D187*E12</f>
        <v>132.15193524552794</v>
      </c>
      <c r="E188" s="88">
        <f t="shared" si="12"/>
        <v>0.75670477177808892</v>
      </c>
    </row>
    <row r="189" spans="2:5">
      <c r="B189" s="60">
        <v>100</v>
      </c>
      <c r="D189" s="87">
        <f>D188+D188*E12</f>
        <v>133.30826467892632</v>
      </c>
      <c r="E189" s="88">
        <f t="shared" si="12"/>
        <v>0.75014103769822926</v>
      </c>
    </row>
    <row r="190" spans="2:5">
      <c r="B190" s="60">
        <v>100</v>
      </c>
      <c r="D190" s="87">
        <f>D189+D189*E12</f>
        <v>134.47471199486694</v>
      </c>
      <c r="E190" s="88">
        <f t="shared" si="12"/>
        <v>0.7436342381147254</v>
      </c>
    </row>
    <row r="191" spans="2:5">
      <c r="B191" s="60">
        <v>100</v>
      </c>
      <c r="D191" s="87">
        <f>D190+D190*E12</f>
        <v>135.65136572482203</v>
      </c>
      <c r="E191" s="88">
        <f t="shared" si="12"/>
        <v>0.73718387917197059</v>
      </c>
    </row>
    <row r="192" spans="2:5">
      <c r="B192" s="60">
        <v>100</v>
      </c>
      <c r="D192" s="87">
        <f>D191+D191*E12</f>
        <v>136.83831517491421</v>
      </c>
      <c r="E192" s="88">
        <f t="shared" si="12"/>
        <v>0.73078947129811223</v>
      </c>
    </row>
    <row r="193" spans="2:5">
      <c r="B193" s="890" t="s">
        <v>162</v>
      </c>
      <c r="C193" s="890"/>
      <c r="D193" s="890"/>
      <c r="E193" s="88">
        <f>SUM(E157:E192)</f>
        <v>30.766917565930004</v>
      </c>
    </row>
  </sheetData>
  <mergeCells count="14">
    <mergeCell ref="A1:G1"/>
    <mergeCell ref="A2:G2"/>
    <mergeCell ref="B5:G6"/>
    <mergeCell ref="A3:G4"/>
    <mergeCell ref="J8:L10"/>
    <mergeCell ref="J12:L12"/>
    <mergeCell ref="B20:G20"/>
    <mergeCell ref="B193:D193"/>
    <mergeCell ref="B155:E155"/>
    <mergeCell ref="J6:L6"/>
    <mergeCell ref="B8:D8"/>
    <mergeCell ref="B10:D10"/>
    <mergeCell ref="B14:D14"/>
    <mergeCell ref="B12:D12"/>
  </mergeCells>
  <dataValidations count="2">
    <dataValidation errorStyle="warning" allowBlank="1" showInputMessage="1" showErrorMessage="1" errorTitle="ONLY %" promptTitle="INTEREST % PER ANNUM" sqref="E10" xr:uid="{97C7411E-41A6-44EB-AC94-D4EFDB98CDC2}"/>
    <dataValidation type="textLength" allowBlank="1" showInputMessage="1" showErrorMessage="1" sqref="E12" xr:uid="{D7BAE275-C702-4CE7-A089-2967C501326E}">
      <formula1>0</formula1>
      <formula2>0</formula2>
    </dataValidation>
  </dataValidations>
  <pageMargins left="0.55000000000000004" right="0.42" top="0.42" bottom="0.42" header="0.31496062992125984" footer="0.31496062992125984"/>
  <pageSetup scale="99" orientation="portrait" r:id="rId1"/>
  <rowBreaks count="2" manualBreakCount="2">
    <brk id="48" max="7" man="1"/>
    <brk id="98" max="7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47EC1-960A-4677-8FD5-A952D0E16754}">
  <sheetPr codeName="Sheet17"/>
  <dimension ref="A1:I50"/>
  <sheetViews>
    <sheetView view="pageBreakPreview" zoomScale="60" zoomScaleNormal="100" workbookViewId="0">
      <selection activeCell="N10" sqref="N10"/>
    </sheetView>
  </sheetViews>
  <sheetFormatPr defaultColWidth="9.21875" defaultRowHeight="14.4"/>
  <cols>
    <col min="1" max="1" width="17.21875" style="22" customWidth="1"/>
    <col min="2" max="2" width="14.44140625" style="22" customWidth="1"/>
    <col min="3" max="3" width="14.5546875" style="22" customWidth="1"/>
    <col min="4" max="5" width="14.77734375" style="22" customWidth="1"/>
    <col min="6" max="6" width="14" style="22" customWidth="1"/>
    <col min="7" max="7" width="14.21875" style="22" customWidth="1"/>
    <col min="8" max="8" width="13.77734375" style="22" customWidth="1"/>
    <col min="9" max="9" width="13.5546875" style="22" customWidth="1"/>
    <col min="10" max="10" width="3.44140625" style="22" customWidth="1"/>
    <col min="11" max="16384" width="9.21875" style="22"/>
  </cols>
  <sheetData>
    <row r="1" spans="1:9">
      <c r="A1" s="915" t="str">
        <f>Assumptions!I17</f>
        <v>Doe Textiles</v>
      </c>
      <c r="B1" s="915"/>
      <c r="C1" s="915"/>
      <c r="D1" s="915"/>
      <c r="E1" s="915"/>
      <c r="F1" s="915"/>
      <c r="G1" s="915"/>
      <c r="H1" s="915"/>
      <c r="I1" s="915"/>
    </row>
    <row r="2" spans="1:9">
      <c r="A2" s="915" t="str">
        <f>Assumptions!I8</f>
        <v>John Doe</v>
      </c>
      <c r="B2" s="915"/>
      <c r="C2" s="915"/>
      <c r="D2" s="915"/>
      <c r="E2" s="915"/>
      <c r="F2" s="915"/>
      <c r="G2" s="915"/>
      <c r="H2" s="915"/>
      <c r="I2" s="915"/>
    </row>
    <row r="3" spans="1:9">
      <c r="A3" s="917" t="str">
        <f>Assumptions!I16</f>
        <v>123 Industrial Area, City</v>
      </c>
      <c r="B3" s="917"/>
      <c r="C3" s="917"/>
      <c r="D3" s="917"/>
      <c r="E3" s="917"/>
      <c r="F3" s="917"/>
      <c r="G3" s="917"/>
      <c r="H3" s="917"/>
      <c r="I3" s="917"/>
    </row>
    <row r="4" spans="1:9">
      <c r="A4" s="917"/>
      <c r="B4" s="917"/>
      <c r="C4" s="917"/>
      <c r="D4" s="917"/>
      <c r="E4" s="917"/>
      <c r="F4" s="917"/>
      <c r="G4" s="917"/>
      <c r="H4" s="917"/>
      <c r="I4" s="917"/>
    </row>
    <row r="6" spans="1:9">
      <c r="A6" s="916" t="s">
        <v>189</v>
      </c>
      <c r="B6" s="916"/>
      <c r="C6" s="916"/>
      <c r="D6" s="916"/>
      <c r="E6" s="916"/>
      <c r="F6" s="916"/>
      <c r="G6" s="916"/>
      <c r="H6" s="916"/>
      <c r="I6" s="916"/>
    </row>
    <row r="7" spans="1:9">
      <c r="A7" s="29"/>
    </row>
    <row r="8" spans="1:9" s="32" customFormat="1" ht="52.5" customHeight="1" thickBot="1">
      <c r="A8" s="369" t="s">
        <v>14</v>
      </c>
      <c r="B8" s="370" t="str">
        <f>Assumptions!I78</f>
        <v>2024-25</v>
      </c>
      <c r="C8" s="371" t="str">
        <f>Assumptions!I79</f>
        <v>2025-26</v>
      </c>
      <c r="D8" s="371" t="str">
        <f>Assumptions!I80</f>
        <v>2026-27</v>
      </c>
      <c r="E8" s="371" t="str">
        <f>Assumptions!I81</f>
        <v>2027-28</v>
      </c>
      <c r="F8" s="371" t="str">
        <f>Assumptions!I82</f>
        <v>2028-29</v>
      </c>
      <c r="G8" s="371" t="str">
        <f>Assumptions!I83</f>
        <v>2029-30</v>
      </c>
      <c r="H8" s="371" t="str">
        <f>Assumptions!I84</f>
        <v>2030-31</v>
      </c>
      <c r="I8" s="371" t="str">
        <f>Assumptions!I85</f>
        <v>2031-32</v>
      </c>
    </row>
    <row r="9" spans="1:9" ht="33.75" customHeight="1" thickTop="1">
      <c r="A9" s="680" t="s">
        <v>27</v>
      </c>
      <c r="B9" s="682">
        <f>'Loan sch'!F24</f>
        <v>116666666.66666667</v>
      </c>
      <c r="C9" s="682">
        <f>'Loan sch'!F36</f>
        <v>116666666.66666667</v>
      </c>
      <c r="D9" s="682">
        <f>'Loan sch'!F48</f>
        <v>116666666.66666667</v>
      </c>
      <c r="E9" s="682">
        <f>'Loan sch'!F60</f>
        <v>116666666.66666667</v>
      </c>
      <c r="F9" s="682">
        <f>'Loan sch'!F72</f>
        <v>116666666.66666667</v>
      </c>
      <c r="G9" s="682" t="str">
        <f>'Loan sch'!F84</f>
        <v/>
      </c>
      <c r="H9" s="682" t="str">
        <f>'Loan sch'!F96</f>
        <v/>
      </c>
      <c r="I9" s="682">
        <f>'Loan sch'!F108</f>
        <v>0</v>
      </c>
    </row>
    <row r="10" spans="1:9" ht="33.75" customHeight="1">
      <c r="A10" s="288" t="s">
        <v>28</v>
      </c>
      <c r="B10" s="682">
        <f>'Loan sch'!F25</f>
        <v>116666666.66666667</v>
      </c>
      <c r="C10" s="682">
        <f>'Loan sch'!F37</f>
        <v>116666666.66666667</v>
      </c>
      <c r="D10" s="682">
        <f>'Loan sch'!F49</f>
        <v>116666666.66666667</v>
      </c>
      <c r="E10" s="682">
        <f>'Loan sch'!F61</f>
        <v>116666666.66666667</v>
      </c>
      <c r="F10" s="682">
        <f>'Loan sch'!F73</f>
        <v>116666666.66666667</v>
      </c>
      <c r="G10" s="682" t="str">
        <f>'Loan sch'!F85</f>
        <v/>
      </c>
      <c r="H10" s="682" t="str">
        <f>'Loan sch'!F97</f>
        <v/>
      </c>
      <c r="I10" s="682">
        <f>'Loan sch'!F109</f>
        <v>0</v>
      </c>
    </row>
    <row r="11" spans="1:9" ht="31.5" customHeight="1">
      <c r="A11" s="288" t="s">
        <v>29</v>
      </c>
      <c r="B11" s="682">
        <f>'Loan sch'!F26</f>
        <v>116666666.66666667</v>
      </c>
      <c r="C11" s="682">
        <f>'Loan sch'!F38</f>
        <v>116666666.66666667</v>
      </c>
      <c r="D11" s="682">
        <f>'Loan sch'!F50</f>
        <v>116666666.66666667</v>
      </c>
      <c r="E11" s="682">
        <f>'Loan sch'!F62</f>
        <v>116666666.66666667</v>
      </c>
      <c r="F11" s="682">
        <f>'Loan sch'!F74</f>
        <v>116666666.66666667</v>
      </c>
      <c r="G11" s="682" t="str">
        <f>'Loan sch'!F86</f>
        <v/>
      </c>
      <c r="H11" s="682" t="str">
        <f>'Loan sch'!F98</f>
        <v/>
      </c>
      <c r="I11" s="682">
        <f>'Loan sch'!F110</f>
        <v>0</v>
      </c>
    </row>
    <row r="12" spans="1:9" ht="34.5" customHeight="1">
      <c r="A12" s="288" t="s">
        <v>30</v>
      </c>
      <c r="B12" s="682">
        <f>'Loan sch'!F27</f>
        <v>116666666.66666667</v>
      </c>
      <c r="C12" s="682">
        <f>'Loan sch'!F39</f>
        <v>116666666.66666667</v>
      </c>
      <c r="D12" s="682">
        <f>'Loan sch'!F51</f>
        <v>116666666.66666667</v>
      </c>
      <c r="E12" s="682">
        <f>'Loan sch'!F63</f>
        <v>116666666.66666667</v>
      </c>
      <c r="F12" s="682">
        <f>'Loan sch'!F75</f>
        <v>116666666.66666667</v>
      </c>
      <c r="G12" s="682" t="str">
        <f>'Loan sch'!F87</f>
        <v/>
      </c>
      <c r="H12" s="682" t="str">
        <f>'Loan sch'!F99</f>
        <v/>
      </c>
      <c r="I12" s="682">
        <f>'Loan sch'!F111</f>
        <v>0</v>
      </c>
    </row>
    <row r="13" spans="1:9" ht="33.75" customHeight="1">
      <c r="A13" s="288" t="s">
        <v>31</v>
      </c>
      <c r="B13" s="682">
        <f>'Loan sch'!F28</f>
        <v>116666666.66666667</v>
      </c>
      <c r="C13" s="682">
        <f>'Loan sch'!F40</f>
        <v>116666666.66666667</v>
      </c>
      <c r="D13" s="682">
        <f>'Loan sch'!F52</f>
        <v>116666666.66666667</v>
      </c>
      <c r="E13" s="682">
        <f>'Loan sch'!F64</f>
        <v>116666666.66666667</v>
      </c>
      <c r="F13" s="682">
        <f>'Loan sch'!F76</f>
        <v>116666666.66666667</v>
      </c>
      <c r="G13" s="682" t="str">
        <f>'Loan sch'!F88</f>
        <v/>
      </c>
      <c r="H13" s="682" t="str">
        <f>'Loan sch'!F100</f>
        <v/>
      </c>
      <c r="I13" s="682">
        <f>'Loan sch'!F112</f>
        <v>0</v>
      </c>
    </row>
    <row r="14" spans="1:9" ht="33.75" customHeight="1">
      <c r="A14" s="288" t="s">
        <v>32</v>
      </c>
      <c r="B14" s="682">
        <f>'Loan sch'!F29</f>
        <v>116666666.66666667</v>
      </c>
      <c r="C14" s="682">
        <f>'Loan sch'!F41</f>
        <v>116666666.66666667</v>
      </c>
      <c r="D14" s="682">
        <f>'Loan sch'!F53</f>
        <v>116666666.66666667</v>
      </c>
      <c r="E14" s="682">
        <f>'Loan sch'!F65</f>
        <v>116666666.66666667</v>
      </c>
      <c r="F14" s="682">
        <f>'Loan sch'!F77</f>
        <v>116666666.66666667</v>
      </c>
      <c r="G14" s="682" t="str">
        <f>'Loan sch'!F89</f>
        <v/>
      </c>
      <c r="H14" s="682" t="str">
        <f>'Loan sch'!F101</f>
        <v/>
      </c>
      <c r="I14" s="682">
        <f>'Loan sch'!F113</f>
        <v>0</v>
      </c>
    </row>
    <row r="15" spans="1:9" ht="33" customHeight="1">
      <c r="A15" s="288" t="s">
        <v>33</v>
      </c>
      <c r="B15" s="682">
        <f>'Loan sch'!F30</f>
        <v>116666666.66666667</v>
      </c>
      <c r="C15" s="682">
        <f>'Loan sch'!F42</f>
        <v>116666666.66666667</v>
      </c>
      <c r="D15" s="682">
        <f>'Loan sch'!F54</f>
        <v>116666666.66666667</v>
      </c>
      <c r="E15" s="682">
        <f>'Loan sch'!F66</f>
        <v>116666666.66666667</v>
      </c>
      <c r="F15" s="682" t="str">
        <f>'Loan sch'!F78</f>
        <v/>
      </c>
      <c r="G15" s="682" t="str">
        <f>'Loan sch'!F90</f>
        <v/>
      </c>
      <c r="H15" s="682" t="str">
        <f>'Loan sch'!F102</f>
        <v/>
      </c>
      <c r="I15" s="682">
        <f>'Loan sch'!F114</f>
        <v>0</v>
      </c>
    </row>
    <row r="16" spans="1:9" ht="32.25" customHeight="1">
      <c r="A16" s="288" t="s">
        <v>34</v>
      </c>
      <c r="B16" s="682">
        <f>'Loan sch'!F31</f>
        <v>116666666.66666667</v>
      </c>
      <c r="C16" s="682">
        <f>'Loan sch'!F43</f>
        <v>116666666.66666667</v>
      </c>
      <c r="D16" s="682">
        <f>'Loan sch'!F55</f>
        <v>116666666.66666667</v>
      </c>
      <c r="E16" s="682">
        <f>'Loan sch'!F67</f>
        <v>116666666.66666667</v>
      </c>
      <c r="F16" s="682" t="str">
        <f>'Loan sch'!F79</f>
        <v/>
      </c>
      <c r="G16" s="682" t="str">
        <f>'Loan sch'!F91</f>
        <v/>
      </c>
      <c r="H16" s="682" t="str">
        <f>'Loan sch'!F103</f>
        <v/>
      </c>
      <c r="I16" s="682">
        <f>'Loan sch'!F115</f>
        <v>0</v>
      </c>
    </row>
    <row r="17" spans="1:9" ht="34.5" customHeight="1">
      <c r="A17" s="288" t="s">
        <v>35</v>
      </c>
      <c r="B17" s="682">
        <f>'Loan sch'!F32</f>
        <v>116666666.66666667</v>
      </c>
      <c r="C17" s="682">
        <f>'Loan sch'!F44</f>
        <v>116666666.66666667</v>
      </c>
      <c r="D17" s="682">
        <f>'Loan sch'!F56</f>
        <v>116666666.66666667</v>
      </c>
      <c r="E17" s="682">
        <f>'Loan sch'!F68</f>
        <v>116666666.66666667</v>
      </c>
      <c r="F17" s="682" t="str">
        <f>'Loan sch'!F80</f>
        <v/>
      </c>
      <c r="G17" s="682" t="str">
        <f>'Loan sch'!F92</f>
        <v/>
      </c>
      <c r="H17" s="682" t="str">
        <f>'Loan sch'!F104</f>
        <v/>
      </c>
      <c r="I17" s="682">
        <f>'Loan sch'!F116</f>
        <v>0</v>
      </c>
    </row>
    <row r="18" spans="1:9" ht="31.5" customHeight="1">
      <c r="A18" s="288" t="s">
        <v>36</v>
      </c>
      <c r="B18" s="682">
        <f>'Loan sch'!F33</f>
        <v>116666666.66666667</v>
      </c>
      <c r="C18" s="682">
        <f>'Loan sch'!F45</f>
        <v>116666666.66666667</v>
      </c>
      <c r="D18" s="682">
        <f>'Loan sch'!F57</f>
        <v>116666666.66666667</v>
      </c>
      <c r="E18" s="682">
        <f>'Loan sch'!F69</f>
        <v>116666666.66666667</v>
      </c>
      <c r="F18" s="682" t="str">
        <f>'Loan sch'!F81</f>
        <v/>
      </c>
      <c r="G18" s="682" t="str">
        <f>'Loan sch'!F93</f>
        <v/>
      </c>
      <c r="H18" s="682" t="str">
        <f>'Loan sch'!F105</f>
        <v/>
      </c>
      <c r="I18" s="682">
        <f>'Loan sch'!F117</f>
        <v>0</v>
      </c>
    </row>
    <row r="19" spans="1:9" ht="34.5" customHeight="1">
      <c r="A19" s="288" t="s">
        <v>37</v>
      </c>
      <c r="B19" s="682">
        <f>'Loan sch'!F34</f>
        <v>116666666.66666667</v>
      </c>
      <c r="C19" s="682">
        <f>'Loan sch'!F46</f>
        <v>116666666.66666667</v>
      </c>
      <c r="D19" s="682">
        <f>'Loan sch'!F58</f>
        <v>116666666.66666667</v>
      </c>
      <c r="E19" s="682">
        <f>'Loan sch'!F70</f>
        <v>116666666.66666667</v>
      </c>
      <c r="F19" s="682" t="str">
        <f>'Loan sch'!F82</f>
        <v/>
      </c>
      <c r="G19" s="682" t="str">
        <f>'Loan sch'!F94</f>
        <v/>
      </c>
      <c r="H19" s="682" t="str">
        <f>'Loan sch'!F106</f>
        <v/>
      </c>
      <c r="I19" s="682">
        <f>'Loan sch'!F118</f>
        <v>0</v>
      </c>
    </row>
    <row r="20" spans="1:9" ht="36.75" customHeight="1" thickBot="1">
      <c r="A20" s="681" t="s">
        <v>38</v>
      </c>
      <c r="B20" s="682">
        <f>'Loan sch'!F35</f>
        <v>116666666.66666667</v>
      </c>
      <c r="C20" s="682">
        <f>'Loan sch'!F47</f>
        <v>116666666.66666667</v>
      </c>
      <c r="D20" s="682">
        <f>'Loan sch'!F59</f>
        <v>116666666.66666667</v>
      </c>
      <c r="E20" s="682">
        <f>'Loan sch'!F71</f>
        <v>116666666.66666667</v>
      </c>
      <c r="F20" s="682" t="str">
        <f>'Loan sch'!F83</f>
        <v/>
      </c>
      <c r="G20" s="682" t="str">
        <f>'Loan sch'!F95</f>
        <v/>
      </c>
      <c r="H20" s="682" t="str">
        <f>'Loan sch'!F107</f>
        <v/>
      </c>
      <c r="I20" s="682">
        <f>'Loan sch'!F119</f>
        <v>0</v>
      </c>
    </row>
    <row r="21" spans="1:9" ht="30" thickBot="1">
      <c r="A21" s="359" t="s">
        <v>435</v>
      </c>
      <c r="B21" s="683">
        <f t="shared" ref="B21:I21" si="0">SUM(B9:B20)</f>
        <v>1400000000</v>
      </c>
      <c r="C21" s="683">
        <f t="shared" si="0"/>
        <v>1400000000</v>
      </c>
      <c r="D21" s="683">
        <f t="shared" si="0"/>
        <v>1400000000</v>
      </c>
      <c r="E21" s="683">
        <f t="shared" si="0"/>
        <v>1400000000</v>
      </c>
      <c r="F21" s="683">
        <f t="shared" si="0"/>
        <v>700000000</v>
      </c>
      <c r="G21" s="683">
        <f t="shared" si="0"/>
        <v>0</v>
      </c>
      <c r="H21" s="683">
        <f t="shared" si="0"/>
        <v>0</v>
      </c>
      <c r="I21" s="684">
        <f t="shared" si="0"/>
        <v>0</v>
      </c>
    </row>
    <row r="22" spans="1:9" ht="30" thickBot="1">
      <c r="A22" s="359" t="s">
        <v>436</v>
      </c>
      <c r="B22" s="683">
        <f t="shared" ref="B22:H22" si="1">C21</f>
        <v>1400000000</v>
      </c>
      <c r="C22" s="683">
        <f t="shared" si="1"/>
        <v>1400000000</v>
      </c>
      <c r="D22" s="683">
        <f t="shared" si="1"/>
        <v>1400000000</v>
      </c>
      <c r="E22" s="683">
        <f t="shared" si="1"/>
        <v>700000000</v>
      </c>
      <c r="F22" s="683">
        <f t="shared" si="1"/>
        <v>0</v>
      </c>
      <c r="G22" s="683">
        <f t="shared" si="1"/>
        <v>0</v>
      </c>
      <c r="H22" s="683">
        <f t="shared" si="1"/>
        <v>0</v>
      </c>
      <c r="I22" s="684">
        <v>0</v>
      </c>
    </row>
    <row r="25" spans="1:9" hidden="1"/>
    <row r="26" spans="1:9" hidden="1"/>
    <row r="27" spans="1:9" hidden="1">
      <c r="A27" s="52" t="s">
        <v>163</v>
      </c>
    </row>
    <row r="28" spans="1:9" hidden="1">
      <c r="A28" s="29"/>
    </row>
    <row r="29" spans="1:9" s="32" customFormat="1" ht="32.25" hidden="1" customHeight="1">
      <c r="A29" s="53" t="s">
        <v>14</v>
      </c>
      <c r="B29" s="58" t="e">
        <f>'Workings for PL BS 1'!#REF!</f>
        <v>#REF!</v>
      </c>
      <c r="C29" s="58">
        <f>'Workings for PL BS 1'!C4</f>
        <v>0</v>
      </c>
    </row>
    <row r="30" spans="1:9" hidden="1">
      <c r="A30" s="54" t="s">
        <v>27</v>
      </c>
      <c r="B30" s="55"/>
      <c r="C30" s="55"/>
    </row>
    <row r="31" spans="1:9" hidden="1">
      <c r="A31" s="54" t="s">
        <v>28</v>
      </c>
      <c r="B31" s="55"/>
      <c r="C31" s="55"/>
    </row>
    <row r="32" spans="1:9" hidden="1">
      <c r="A32" s="54" t="s">
        <v>29</v>
      </c>
      <c r="B32" s="55"/>
      <c r="C32" s="55"/>
    </row>
    <row r="33" spans="1:3" hidden="1">
      <c r="A33" s="54" t="s">
        <v>30</v>
      </c>
      <c r="B33" s="55"/>
      <c r="C33" s="55"/>
    </row>
    <row r="34" spans="1:3" hidden="1">
      <c r="A34" s="54" t="s">
        <v>31</v>
      </c>
      <c r="B34" s="55"/>
      <c r="C34" s="55"/>
    </row>
    <row r="35" spans="1:3" hidden="1">
      <c r="A35" s="54" t="s">
        <v>32</v>
      </c>
      <c r="B35" s="55"/>
      <c r="C35" s="55"/>
    </row>
    <row r="36" spans="1:3" hidden="1">
      <c r="A36" s="54" t="s">
        <v>33</v>
      </c>
      <c r="B36" s="55"/>
      <c r="C36" s="55"/>
    </row>
    <row r="37" spans="1:3" hidden="1">
      <c r="A37" s="54" t="s">
        <v>34</v>
      </c>
      <c r="B37" s="55"/>
      <c r="C37" s="55"/>
    </row>
    <row r="38" spans="1:3" hidden="1">
      <c r="A38" s="54" t="s">
        <v>35</v>
      </c>
      <c r="B38" s="55"/>
      <c r="C38" s="55"/>
    </row>
    <row r="39" spans="1:3" hidden="1">
      <c r="A39" s="54" t="s">
        <v>36</v>
      </c>
      <c r="B39" s="55"/>
      <c r="C39" s="55"/>
    </row>
    <row r="40" spans="1:3" hidden="1">
      <c r="A40" s="54" t="s">
        <v>37</v>
      </c>
      <c r="B40" s="55"/>
      <c r="C40" s="55"/>
    </row>
    <row r="41" spans="1:3" hidden="1">
      <c r="A41" s="54" t="s">
        <v>38</v>
      </c>
      <c r="B41" s="55"/>
      <c r="C41" s="55"/>
    </row>
    <row r="42" spans="1:3" ht="18.75" hidden="1" customHeight="1">
      <c r="A42" s="56" t="s">
        <v>39</v>
      </c>
      <c r="B42" s="57">
        <f>SUM(B30:B41)</f>
        <v>0</v>
      </c>
      <c r="C42" s="57">
        <f>SUM(C30:C41)</f>
        <v>0</v>
      </c>
    </row>
    <row r="43" spans="1:3" hidden="1"/>
    <row r="44" spans="1:3" hidden="1"/>
    <row r="45" spans="1:3" hidden="1"/>
    <row r="46" spans="1:3" hidden="1">
      <c r="A46" s="22" t="s">
        <v>164</v>
      </c>
    </row>
    <row r="47" spans="1:3" hidden="1">
      <c r="A47" s="22" t="s">
        <v>165</v>
      </c>
    </row>
    <row r="48" spans="1:3" hidden="1">
      <c r="A48" s="22" t="s">
        <v>166</v>
      </c>
    </row>
    <row r="49" spans="1:1" hidden="1">
      <c r="A49" s="22" t="s">
        <v>167</v>
      </c>
    </row>
    <row r="50" spans="1:1" hidden="1"/>
  </sheetData>
  <mergeCells count="4">
    <mergeCell ref="A1:I1"/>
    <mergeCell ref="A2:I2"/>
    <mergeCell ref="A6:I6"/>
    <mergeCell ref="A3:I4"/>
  </mergeCells>
  <pageMargins left="0.17" right="0.17" top="0.74803149606299213" bottom="0.74803149606299213" header="0.31496062992125984" footer="0.31496062992125984"/>
  <pageSetup scale="77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7F58D-2097-41AA-A22D-71B91A076A5F}">
  <sheetPr codeName="Sheet18"/>
  <dimension ref="A1:J52"/>
  <sheetViews>
    <sheetView topLeftCell="A31" zoomScaleNormal="100" workbookViewId="0">
      <selection activeCell="Q9" sqref="Q9"/>
    </sheetView>
  </sheetViews>
  <sheetFormatPr defaultColWidth="9.21875" defaultRowHeight="14.4"/>
  <cols>
    <col min="1" max="1" width="36" style="22" customWidth="1"/>
    <col min="2" max="2" width="15.77734375" style="22" customWidth="1"/>
    <col min="3" max="3" width="16" style="22" customWidth="1"/>
    <col min="4" max="4" width="16.77734375" style="22" customWidth="1"/>
    <col min="5" max="5" width="15.77734375" style="22" customWidth="1"/>
    <col min="6" max="9" width="16.77734375" style="22" customWidth="1"/>
    <col min="10" max="10" width="3.77734375" style="22" customWidth="1"/>
    <col min="11" max="16384" width="9.21875" style="22"/>
  </cols>
  <sheetData>
    <row r="1" spans="1:9">
      <c r="A1" s="257"/>
      <c r="B1" s="257"/>
      <c r="C1" s="257"/>
      <c r="D1" s="257"/>
      <c r="E1" s="257"/>
      <c r="F1" s="257"/>
      <c r="G1" s="257"/>
      <c r="H1" s="257"/>
    </row>
    <row r="3" spans="1:9" ht="22.2">
      <c r="A3" s="918" t="s">
        <v>227</v>
      </c>
      <c r="B3" s="918"/>
      <c r="C3" s="918"/>
      <c r="D3" s="918"/>
      <c r="E3" s="918"/>
      <c r="F3" s="918"/>
      <c r="G3" s="918"/>
      <c r="H3" s="918"/>
      <c r="I3" s="918"/>
    </row>
    <row r="4" spans="1:9">
      <c r="A4" s="30"/>
      <c r="B4" s="150"/>
      <c r="C4" s="150"/>
      <c r="D4" s="150"/>
      <c r="E4" s="151"/>
      <c r="F4" s="150"/>
    </row>
    <row r="5" spans="1:9" s="32" customFormat="1" ht="54" customHeight="1" thickBot="1">
      <c r="A5" s="235" t="s">
        <v>14</v>
      </c>
      <c r="B5" s="236" t="str">
        <f>'Workings for PL BS 1'!D4</f>
        <v>2024-25</v>
      </c>
      <c r="C5" s="236" t="str">
        <f>'Workings for PL BS 1'!E4</f>
        <v>2025-26</v>
      </c>
      <c r="D5" s="236" t="str">
        <f>'Workings for PL BS 1'!F4</f>
        <v>2026-27</v>
      </c>
      <c r="E5" s="236" t="str">
        <f>'Workings for PL BS 1'!G4</f>
        <v>2027-28</v>
      </c>
      <c r="F5" s="236" t="str">
        <f>'Workings for PL BS 1'!H4</f>
        <v>2028-29</v>
      </c>
      <c r="G5" s="236" t="str">
        <f>'Workings for PL BS 1'!I4</f>
        <v>2029-30</v>
      </c>
      <c r="H5" s="236" t="str">
        <f>'Workings for PL BS 1'!J4</f>
        <v>2030-31</v>
      </c>
      <c r="I5" s="236" t="str">
        <f>'Workings for PL BS 1'!K4</f>
        <v>2031-32</v>
      </c>
    </row>
    <row r="6" spans="1:9" s="154" customFormat="1" ht="18.75" customHeight="1" thickTop="1">
      <c r="A6" s="152"/>
      <c r="B6" s="153"/>
      <c r="C6" s="153"/>
      <c r="D6" s="153"/>
      <c r="E6" s="153"/>
      <c r="F6" s="153"/>
    </row>
    <row r="7" spans="1:9" ht="18">
      <c r="A7" s="155" t="s">
        <v>228</v>
      </c>
      <c r="B7" s="156"/>
      <c r="C7" s="156"/>
      <c r="D7" s="156"/>
      <c r="E7" s="156"/>
      <c r="F7" s="156"/>
    </row>
    <row r="8" spans="1:9" ht="18">
      <c r="A8" s="155"/>
      <c r="B8" s="156"/>
      <c r="C8" s="156"/>
      <c r="D8" s="156"/>
      <c r="E8" s="156"/>
      <c r="F8" s="156"/>
    </row>
    <row r="9" spans="1:9" ht="29.4">
      <c r="A9" s="685" t="s">
        <v>238</v>
      </c>
      <c r="B9" s="688">
        <f>'PL BS'!D37</f>
        <v>10448053333.333334</v>
      </c>
      <c r="C9" s="688">
        <f>'PL BS'!E37</f>
        <v>13583676666.666666</v>
      </c>
      <c r="D9" s="688">
        <f>'PL BS'!F37</f>
        <v>14453472500</v>
      </c>
      <c r="E9" s="688">
        <f>'PL BS'!G37</f>
        <v>15302148125</v>
      </c>
      <c r="F9" s="688">
        <f>'PL BS'!H37</f>
        <v>16132850156.25</v>
      </c>
      <c r="G9" s="688">
        <f>'PL BS'!I37</f>
        <v>16948225507.8125</v>
      </c>
      <c r="H9" s="688">
        <f>'PL BS'!J37</f>
        <v>17750601619.140625</v>
      </c>
      <c r="I9" s="688">
        <f>'PL BS'!K37</f>
        <v>18541856170.019531</v>
      </c>
    </row>
    <row r="10" spans="1:9" ht="15">
      <c r="A10" s="685"/>
      <c r="B10" s="688"/>
      <c r="C10" s="688"/>
      <c r="D10" s="688"/>
      <c r="E10" s="688"/>
      <c r="F10" s="688"/>
      <c r="G10" s="688"/>
      <c r="H10" s="688"/>
      <c r="I10" s="688"/>
    </row>
    <row r="11" spans="1:9" ht="15">
      <c r="A11" s="152" t="s">
        <v>229</v>
      </c>
      <c r="B11" s="688">
        <f>'CF workings'!B9</f>
        <v>916666666.66666663</v>
      </c>
      <c r="C11" s="688">
        <f>'CF workings'!C9</f>
        <v>964583333.33333337</v>
      </c>
      <c r="D11" s="688">
        <f>'CF workings'!D9</f>
        <v>822187500</v>
      </c>
      <c r="E11" s="688">
        <f>'CF workings'!E9</f>
        <v>700921875</v>
      </c>
      <c r="F11" s="688">
        <f>'CF workings'!F9</f>
        <v>597639843.75</v>
      </c>
      <c r="G11" s="688">
        <f>'CF workings'!G9</f>
        <v>509664492.18749994</v>
      </c>
      <c r="H11" s="688">
        <f>'CF workings'!H9</f>
        <v>434718380.859375</v>
      </c>
      <c r="I11" s="688">
        <f>'CF workings'!I9</f>
        <v>370863829.98046875</v>
      </c>
    </row>
    <row r="12" spans="1:9" ht="15">
      <c r="A12" s="152"/>
      <c r="B12" s="688"/>
      <c r="C12" s="688"/>
      <c r="D12" s="688"/>
      <c r="E12" s="688"/>
      <c r="F12" s="688"/>
      <c r="G12" s="688"/>
      <c r="H12" s="688"/>
      <c r="I12" s="688"/>
    </row>
    <row r="13" spans="1:9" ht="15">
      <c r="A13" s="152" t="s">
        <v>230</v>
      </c>
      <c r="B13" s="688">
        <f>'CF workings'!B10</f>
        <v>6300000000</v>
      </c>
      <c r="C13" s="688">
        <v>0</v>
      </c>
      <c r="D13" s="688">
        <v>0</v>
      </c>
      <c r="E13" s="688">
        <v>0</v>
      </c>
      <c r="F13" s="688">
        <v>0</v>
      </c>
      <c r="G13" s="688">
        <v>0</v>
      </c>
      <c r="H13" s="688">
        <v>0</v>
      </c>
      <c r="I13" s="688">
        <v>0</v>
      </c>
    </row>
    <row r="14" spans="1:9" ht="15">
      <c r="A14" s="152"/>
      <c r="B14" s="688"/>
      <c r="C14" s="688"/>
      <c r="D14" s="688"/>
      <c r="E14" s="688"/>
      <c r="F14" s="688"/>
      <c r="G14" s="688"/>
      <c r="H14" s="688"/>
      <c r="I14" s="688"/>
    </row>
    <row r="15" spans="1:9" ht="15">
      <c r="A15" s="152" t="str">
        <f>'CF workings'!A11</f>
        <v>Increase in working capital loan</v>
      </c>
      <c r="B15" s="688">
        <f>'CF workings'!B11</f>
        <v>6241360000</v>
      </c>
      <c r="C15" s="688">
        <f>'CF workings'!C11</f>
        <v>37204960000</v>
      </c>
      <c r="D15" s="688">
        <f>'CF workings'!D11</f>
        <v>1553680000</v>
      </c>
      <c r="E15" s="688">
        <f>'CF workings'!E11</f>
        <v>0</v>
      </c>
      <c r="F15" s="688">
        <f>'CF workings'!F11</f>
        <v>0</v>
      </c>
      <c r="G15" s="688">
        <f>'CF workings'!G11</f>
        <v>0</v>
      </c>
      <c r="H15" s="688">
        <f>'CF workings'!H11</f>
        <v>0</v>
      </c>
      <c r="I15" s="688">
        <f>'CF workings'!I11</f>
        <v>0</v>
      </c>
    </row>
    <row r="16" spans="1:9" ht="15">
      <c r="A16" s="152"/>
      <c r="B16" s="688"/>
      <c r="C16" s="688"/>
      <c r="D16" s="688"/>
      <c r="E16" s="688"/>
      <c r="F16" s="688"/>
      <c r="G16" s="688"/>
      <c r="H16" s="688"/>
      <c r="I16" s="688"/>
    </row>
    <row r="17" spans="1:10" ht="15">
      <c r="A17" s="152" t="s">
        <v>231</v>
      </c>
      <c r="B17" s="688">
        <f>'CF workings'!B12</f>
        <v>6200000000</v>
      </c>
      <c r="C17" s="688">
        <v>0</v>
      </c>
      <c r="D17" s="688">
        <v>0</v>
      </c>
      <c r="E17" s="688">
        <v>0</v>
      </c>
      <c r="F17" s="688">
        <v>0</v>
      </c>
      <c r="G17" s="482">
        <v>0</v>
      </c>
      <c r="H17" s="482">
        <v>0</v>
      </c>
      <c r="I17" s="482">
        <v>0</v>
      </c>
    </row>
    <row r="18" spans="1:10" ht="15">
      <c r="A18" s="152"/>
      <c r="B18" s="688"/>
      <c r="C18" s="688"/>
      <c r="D18" s="688"/>
      <c r="E18" s="688"/>
      <c r="F18" s="688"/>
      <c r="G18" s="482"/>
      <c r="H18" s="482"/>
      <c r="I18" s="482"/>
    </row>
    <row r="19" spans="1:10" ht="15">
      <c r="A19" s="152" t="s">
        <v>346</v>
      </c>
      <c r="B19" s="688">
        <f>'CF workings'!B36</f>
        <v>0</v>
      </c>
      <c r="C19" s="688">
        <f>'CF workings'!C36</f>
        <v>0</v>
      </c>
      <c r="D19" s="688">
        <f>'CF workings'!D36</f>
        <v>12507155000</v>
      </c>
      <c r="E19" s="688">
        <f>'CF workings'!E36</f>
        <v>0</v>
      </c>
      <c r="F19" s="688">
        <f>'CF workings'!F36</f>
        <v>0</v>
      </c>
      <c r="G19" s="688">
        <f>'CF workings'!G36</f>
        <v>0</v>
      </c>
      <c r="H19" s="688">
        <f>'CF workings'!H36</f>
        <v>0</v>
      </c>
      <c r="I19" s="688">
        <f>'CF workings'!I36</f>
        <v>0</v>
      </c>
    </row>
    <row r="20" spans="1:10" ht="15">
      <c r="A20" s="152"/>
      <c r="B20" s="688"/>
      <c r="C20" s="688"/>
      <c r="D20" s="688"/>
      <c r="E20" s="688"/>
      <c r="F20" s="688"/>
      <c r="G20" s="688"/>
      <c r="H20" s="688"/>
      <c r="I20" s="688"/>
    </row>
    <row r="21" spans="1:10" ht="15">
      <c r="A21" s="157"/>
      <c r="B21" s="688"/>
      <c r="C21" s="688"/>
      <c r="D21" s="688"/>
      <c r="E21" s="688"/>
      <c r="F21" s="688"/>
      <c r="G21" s="688"/>
      <c r="H21" s="688"/>
      <c r="I21" s="688"/>
    </row>
    <row r="22" spans="1:10" ht="15.6" thickBot="1">
      <c r="A22" s="31"/>
      <c r="B22" s="689">
        <f t="shared" ref="B22:H22" si="0">SUM(B9:B21)</f>
        <v>30106080000</v>
      </c>
      <c r="C22" s="689">
        <f t="shared" si="0"/>
        <v>51753220000</v>
      </c>
      <c r="D22" s="689">
        <f t="shared" si="0"/>
        <v>29336495000</v>
      </c>
      <c r="E22" s="689">
        <f t="shared" si="0"/>
        <v>16003070000</v>
      </c>
      <c r="F22" s="689">
        <f t="shared" si="0"/>
        <v>16730490000</v>
      </c>
      <c r="G22" s="689">
        <f t="shared" si="0"/>
        <v>17457890000</v>
      </c>
      <c r="H22" s="689">
        <f t="shared" si="0"/>
        <v>18185320000</v>
      </c>
      <c r="I22" s="689">
        <f>SUM(I9:I21)</f>
        <v>18912720000</v>
      </c>
    </row>
    <row r="23" spans="1:10" ht="15">
      <c r="A23" s="31"/>
      <c r="B23" s="688"/>
      <c r="C23" s="688"/>
      <c r="D23" s="688"/>
      <c r="E23" s="688"/>
      <c r="F23" s="688"/>
      <c r="G23" s="482"/>
      <c r="H23" s="482"/>
      <c r="I23" s="482"/>
    </row>
    <row r="24" spans="1:10" ht="18">
      <c r="A24" s="158" t="s">
        <v>232</v>
      </c>
      <c r="B24" s="688"/>
      <c r="C24" s="688"/>
      <c r="D24" s="688"/>
      <c r="E24" s="688"/>
      <c r="F24" s="688"/>
      <c r="G24" s="482"/>
      <c r="H24" s="482"/>
      <c r="I24" s="482"/>
    </row>
    <row r="25" spans="1:10" ht="15">
      <c r="A25" s="31"/>
      <c r="B25" s="688"/>
      <c r="C25" s="688"/>
      <c r="D25" s="688"/>
      <c r="E25" s="688"/>
      <c r="F25" s="688"/>
      <c r="G25" s="482"/>
      <c r="H25" s="482"/>
      <c r="I25" s="482"/>
    </row>
    <row r="26" spans="1:10" ht="15">
      <c r="A26" s="685" t="s">
        <v>233</v>
      </c>
      <c r="B26" s="688">
        <f>'CF workings'!B19</f>
        <v>7500000000</v>
      </c>
      <c r="C26" s="688">
        <f>'CF workings'!C19</f>
        <v>0</v>
      </c>
      <c r="D26" s="688">
        <f>'CF workings'!D19</f>
        <v>0</v>
      </c>
      <c r="E26" s="688">
        <f>'CF workings'!E19</f>
        <v>0</v>
      </c>
      <c r="F26" s="688">
        <f>'CF workings'!F19</f>
        <v>0</v>
      </c>
      <c r="G26" s="688">
        <f>'CF workings'!G19</f>
        <v>0</v>
      </c>
      <c r="H26" s="688">
        <f>'CF workings'!H19</f>
        <v>0</v>
      </c>
      <c r="I26" s="688">
        <f>'CF workings'!I19</f>
        <v>0</v>
      </c>
    </row>
    <row r="27" spans="1:10" ht="15">
      <c r="A27" s="685"/>
      <c r="B27" s="688"/>
      <c r="C27" s="688"/>
      <c r="D27" s="688"/>
      <c r="E27" s="688"/>
      <c r="F27" s="688"/>
      <c r="G27" s="688"/>
      <c r="H27" s="688"/>
      <c r="I27" s="688"/>
    </row>
    <row r="28" spans="1:10" ht="15">
      <c r="A28" s="685" t="s">
        <v>234</v>
      </c>
      <c r="B28" s="688">
        <f>'CF workings'!B20</f>
        <v>594124999.99999964</v>
      </c>
      <c r="C28" s="688">
        <f>'CF workings'!C20</f>
        <v>447124999.99999952</v>
      </c>
      <c r="D28" s="688">
        <f>'CF workings'!D20</f>
        <v>300124999.99999958</v>
      </c>
      <c r="E28" s="688">
        <f>'CF workings'!E20</f>
        <v>153124999.99999967</v>
      </c>
      <c r="F28" s="688">
        <f>'CF workings'!F20</f>
        <v>21437499.999999836</v>
      </c>
      <c r="G28" s="688">
        <f>'CF workings'!G20</f>
        <v>0</v>
      </c>
      <c r="H28" s="688">
        <f>'CF workings'!H20</f>
        <v>0</v>
      </c>
      <c r="I28" s="688">
        <f>'CF workings'!I20</f>
        <v>0</v>
      </c>
    </row>
    <row r="29" spans="1:10" ht="15">
      <c r="A29" s="685"/>
      <c r="B29" s="688"/>
      <c r="C29" s="688"/>
      <c r="D29" s="688"/>
      <c r="E29" s="688"/>
      <c r="F29" s="688"/>
      <c r="G29" s="688"/>
      <c r="H29" s="688"/>
      <c r="I29" s="688"/>
    </row>
    <row r="30" spans="1:10" ht="15">
      <c r="A30" s="685" t="str">
        <f>'CF workings'!A21</f>
        <v xml:space="preserve">Increase in CC Loan interest </v>
      </c>
      <c r="B30" s="688">
        <f>'CF workings'!B21</f>
        <v>4500000000</v>
      </c>
      <c r="C30" s="688">
        <f>'CF workings'!C21</f>
        <v>5426999999.999999</v>
      </c>
      <c r="D30" s="688">
        <f>'CF workings'!D21</f>
        <v>5426999999.999999</v>
      </c>
      <c r="E30" s="688">
        <f>'CF workings'!E21</f>
        <v>5454134999.9999981</v>
      </c>
      <c r="F30" s="688">
        <f>'CF workings'!F21</f>
        <v>5481405674.9999971</v>
      </c>
      <c r="G30" s="688">
        <f>'CF workings'!G21</f>
        <v>5508812703.3749962</v>
      </c>
      <c r="H30" s="688">
        <f>'CF workings'!H21</f>
        <v>5536356766.8918705</v>
      </c>
      <c r="I30" s="688">
        <f>'CF workings'!I21</f>
        <v>5564038550.7263288</v>
      </c>
      <c r="J30" s="287"/>
    </row>
    <row r="31" spans="1:10" ht="15">
      <c r="A31" s="685"/>
      <c r="B31" s="688"/>
      <c r="C31" s="688"/>
      <c r="D31" s="688"/>
      <c r="E31" s="688"/>
      <c r="F31" s="688"/>
      <c r="G31" s="688"/>
      <c r="H31" s="688"/>
      <c r="I31" s="688"/>
      <c r="J31" s="287"/>
    </row>
    <row r="32" spans="1:10" ht="15">
      <c r="A32" s="686" t="s">
        <v>235</v>
      </c>
      <c r="B32" s="688">
        <f>'CF workings'!B22</f>
        <v>1400000000</v>
      </c>
      <c r="C32" s="688">
        <f>'CF workings'!C22</f>
        <v>1400000000</v>
      </c>
      <c r="D32" s="688">
        <f>'CF workings'!D22</f>
        <v>1400000000</v>
      </c>
      <c r="E32" s="688">
        <f>'CF workings'!E22</f>
        <v>1400000000</v>
      </c>
      <c r="F32" s="688">
        <f>'CF workings'!F22</f>
        <v>700000000</v>
      </c>
      <c r="G32" s="688">
        <f>'CF workings'!G22</f>
        <v>0</v>
      </c>
      <c r="H32" s="688">
        <f>'CF workings'!H22</f>
        <v>0</v>
      </c>
      <c r="I32" s="688">
        <f>'CF workings'!I22</f>
        <v>0</v>
      </c>
    </row>
    <row r="33" spans="1:9" ht="15">
      <c r="A33" s="686"/>
      <c r="B33" s="688"/>
      <c r="C33" s="688"/>
      <c r="D33" s="688"/>
      <c r="E33" s="688"/>
      <c r="F33" s="688"/>
      <c r="G33" s="688"/>
      <c r="H33" s="688"/>
      <c r="I33" s="688"/>
    </row>
    <row r="34" spans="1:9" ht="15">
      <c r="A34" s="686" t="s">
        <v>335</v>
      </c>
      <c r="B34" s="688">
        <f>'CF workings'!B23</f>
        <v>2478070000</v>
      </c>
      <c r="C34" s="688">
        <f>'CF workings'!C23</f>
        <v>-3335430000</v>
      </c>
      <c r="D34" s="688">
        <f>'CF workings'!D23</f>
        <v>5779880000</v>
      </c>
      <c r="E34" s="688">
        <f>'CF workings'!E23</f>
        <v>696200000</v>
      </c>
      <c r="F34" s="688">
        <f>'CF workings'!F23</f>
        <v>737670000</v>
      </c>
      <c r="G34" s="688">
        <f>'CF workings'!G23</f>
        <v>779120000</v>
      </c>
      <c r="H34" s="688">
        <f>'CF workings'!H23</f>
        <v>820560000</v>
      </c>
      <c r="I34" s="688">
        <f>'CF workings'!I23</f>
        <v>862000000</v>
      </c>
    </row>
    <row r="35" spans="1:9" ht="15">
      <c r="A35" s="686"/>
      <c r="B35" s="688"/>
      <c r="C35" s="688"/>
      <c r="D35" s="688"/>
      <c r="E35" s="688"/>
      <c r="F35" s="688"/>
      <c r="G35" s="688"/>
      <c r="H35" s="688"/>
      <c r="I35" s="688"/>
    </row>
    <row r="36" spans="1:9" ht="15">
      <c r="A36" s="687" t="str">
        <f>'CF workings'!A24</f>
        <v>Increase in Stock</v>
      </c>
      <c r="B36" s="688">
        <f>'CF workings'!B24</f>
        <v>6669760000</v>
      </c>
      <c r="C36" s="688">
        <f>'CF workings'!C24</f>
        <v>51830240000</v>
      </c>
      <c r="D36" s="688">
        <f>'CF workings'!D24</f>
        <v>585000000</v>
      </c>
      <c r="E36" s="688">
        <f>'CF workings'!E24</f>
        <v>590850000</v>
      </c>
      <c r="F36" s="688">
        <f>'CF workings'!F24</f>
        <v>596760000</v>
      </c>
      <c r="G36" s="688">
        <f>'CF workings'!G24</f>
        <v>602720000</v>
      </c>
      <c r="H36" s="688">
        <f>'CF workings'!H24</f>
        <v>608760000</v>
      </c>
      <c r="I36" s="688">
        <f>'CF workings'!I24</f>
        <v>614840000</v>
      </c>
    </row>
    <row r="37" spans="1:9" ht="15">
      <c r="A37" s="32"/>
      <c r="B37" s="482"/>
      <c r="C37" s="482"/>
      <c r="D37" s="482"/>
      <c r="E37" s="482"/>
      <c r="F37" s="482"/>
      <c r="G37" s="482"/>
      <c r="H37" s="482"/>
      <c r="I37" s="482"/>
    </row>
    <row r="38" spans="1:9" ht="19.5" customHeight="1">
      <c r="A38" s="687" t="s">
        <v>239</v>
      </c>
      <c r="B38" s="690">
        <f>'CF workings'!B37</f>
        <v>2283315000</v>
      </c>
      <c r="C38" s="690">
        <f>'CF workings'!C37</f>
        <v>2637025000</v>
      </c>
      <c r="D38" s="690" t="str">
        <f>'CF workings'!D37</f>
        <v>0</v>
      </c>
      <c r="E38" s="690">
        <f>'CF workings'!E37</f>
        <v>3788710000</v>
      </c>
      <c r="F38" s="690">
        <f>'CF workings'!F37</f>
        <v>4982936825.0000038</v>
      </c>
      <c r="G38" s="690">
        <f>'CF workings'!G37</f>
        <v>5557137296.6250038</v>
      </c>
      <c r="H38" s="690">
        <f>'CF workings'!H37</f>
        <v>5877953233.1081314</v>
      </c>
      <c r="I38" s="690">
        <f>'CF workings'!I37</f>
        <v>6749711449.2736664</v>
      </c>
    </row>
    <row r="39" spans="1:9" ht="15">
      <c r="A39" s="32"/>
      <c r="B39" s="482"/>
      <c r="C39" s="482"/>
      <c r="D39" s="482"/>
      <c r="E39" s="482"/>
      <c r="F39" s="482"/>
      <c r="G39" s="482"/>
      <c r="H39" s="482"/>
      <c r="I39" s="482"/>
    </row>
    <row r="40" spans="1:9" ht="15">
      <c r="A40" s="32"/>
      <c r="B40" s="482"/>
      <c r="C40" s="482"/>
      <c r="D40" s="482"/>
      <c r="E40" s="482"/>
      <c r="F40" s="482"/>
      <c r="G40" s="482"/>
      <c r="H40" s="482"/>
      <c r="I40" s="482"/>
    </row>
    <row r="41" spans="1:9" ht="15.6" thickBot="1">
      <c r="A41" s="152"/>
      <c r="B41" s="689">
        <f>SUM(B26:B39)</f>
        <v>25425270000</v>
      </c>
      <c r="C41" s="689">
        <f t="shared" ref="C41:I41" si="1">SUM(C26:C39)</f>
        <v>58405960000</v>
      </c>
      <c r="D41" s="689">
        <f t="shared" si="1"/>
        <v>13492005000</v>
      </c>
      <c r="E41" s="689">
        <f t="shared" si="1"/>
        <v>12083019999.999998</v>
      </c>
      <c r="F41" s="689">
        <f t="shared" si="1"/>
        <v>12520210000</v>
      </c>
      <c r="G41" s="689">
        <f t="shared" si="1"/>
        <v>12447790000</v>
      </c>
      <c r="H41" s="689">
        <f t="shared" si="1"/>
        <v>12843630000.000002</v>
      </c>
      <c r="I41" s="689">
        <f t="shared" si="1"/>
        <v>13790589999.999996</v>
      </c>
    </row>
    <row r="42" spans="1:9" ht="15">
      <c r="A42" s="152"/>
      <c r="B42" s="688"/>
      <c r="C42" s="688"/>
      <c r="D42" s="688"/>
      <c r="E42" s="688"/>
      <c r="F42" s="688"/>
      <c r="G42" s="482"/>
      <c r="H42" s="482"/>
      <c r="I42" s="482"/>
    </row>
    <row r="43" spans="1:9" ht="24.75" customHeight="1">
      <c r="A43" s="152" t="s">
        <v>236</v>
      </c>
      <c r="B43" s="688">
        <f>Assumptions!F124</f>
        <v>0</v>
      </c>
      <c r="C43" s="688">
        <f t="shared" ref="C43:I43" si="2">+B47</f>
        <v>4680810000</v>
      </c>
      <c r="D43" s="688">
        <f t="shared" si="2"/>
        <v>-1971930000</v>
      </c>
      <c r="E43" s="688">
        <f t="shared" si="2"/>
        <v>13872560000</v>
      </c>
      <c r="F43" s="688">
        <f t="shared" si="2"/>
        <v>17792610000</v>
      </c>
      <c r="G43" s="688">
        <f t="shared" si="2"/>
        <v>22002890000</v>
      </c>
      <c r="H43" s="688">
        <f t="shared" si="2"/>
        <v>27012990000</v>
      </c>
      <c r="I43" s="688">
        <f t="shared" si="2"/>
        <v>32354680000</v>
      </c>
    </row>
    <row r="44" spans="1:9" ht="24.75" customHeight="1">
      <c r="A44" s="152"/>
      <c r="B44" s="688"/>
      <c r="C44" s="688"/>
      <c r="D44" s="688"/>
      <c r="E44" s="688"/>
      <c r="F44" s="688"/>
      <c r="G44" s="688"/>
      <c r="H44" s="688"/>
      <c r="I44" s="688"/>
    </row>
    <row r="45" spans="1:9" ht="22.5" customHeight="1">
      <c r="A45" s="161" t="s">
        <v>242</v>
      </c>
      <c r="B45" s="691">
        <f>B22-B41</f>
        <v>4680810000</v>
      </c>
      <c r="C45" s="691">
        <f t="shared" ref="C45:I45" si="3">C22-C41</f>
        <v>-6652740000</v>
      </c>
      <c r="D45" s="691">
        <f t="shared" si="3"/>
        <v>15844490000</v>
      </c>
      <c r="E45" s="691">
        <f t="shared" si="3"/>
        <v>3920050000.0000019</v>
      </c>
      <c r="F45" s="691">
        <f t="shared" si="3"/>
        <v>4210280000</v>
      </c>
      <c r="G45" s="691">
        <f t="shared" si="3"/>
        <v>5010100000</v>
      </c>
      <c r="H45" s="691">
        <f t="shared" si="3"/>
        <v>5341689999.9999981</v>
      </c>
      <c r="I45" s="691">
        <f t="shared" si="3"/>
        <v>5122130000.0000038</v>
      </c>
    </row>
    <row r="46" spans="1:9" ht="22.5" customHeight="1">
      <c r="A46" s="152"/>
      <c r="B46" s="688"/>
      <c r="C46" s="688"/>
      <c r="D46" s="688"/>
      <c r="E46" s="688"/>
      <c r="F46" s="688"/>
      <c r="G46" s="688"/>
      <c r="H46" s="688"/>
      <c r="I46" s="688"/>
    </row>
    <row r="47" spans="1:9" ht="24.75" customHeight="1">
      <c r="A47" s="152" t="s">
        <v>237</v>
      </c>
      <c r="B47" s="688">
        <f>'Final workings'!B18</f>
        <v>4680810000</v>
      </c>
      <c r="C47" s="688">
        <f>'Final workings'!C18</f>
        <v>-1971930000</v>
      </c>
      <c r="D47" s="688">
        <f>'Final workings'!D18</f>
        <v>13872560000</v>
      </c>
      <c r="E47" s="688">
        <f>'Final workings'!E18</f>
        <v>17792610000</v>
      </c>
      <c r="F47" s="688">
        <f>'Final workings'!F18</f>
        <v>22002890000</v>
      </c>
      <c r="G47" s="688">
        <f>'Final workings'!G18</f>
        <v>27012990000</v>
      </c>
      <c r="H47" s="688">
        <f>'Final workings'!H18</f>
        <v>32354680000</v>
      </c>
      <c r="I47" s="688">
        <f>'Final workings'!I18</f>
        <v>37476810000</v>
      </c>
    </row>
    <row r="48" spans="1:9" ht="24.75" customHeight="1" thickBot="1">
      <c r="A48" s="455"/>
      <c r="B48" s="456"/>
      <c r="C48" s="456"/>
      <c r="D48" s="456"/>
      <c r="E48" s="456"/>
      <c r="F48" s="456"/>
      <c r="G48" s="456"/>
      <c r="H48" s="456"/>
      <c r="I48" s="456"/>
    </row>
    <row r="49" spans="1:9" ht="24.75" customHeight="1">
      <c r="A49" s="152"/>
      <c r="B49" s="162"/>
      <c r="C49" s="162"/>
      <c r="D49" s="162"/>
      <c r="E49" s="162"/>
      <c r="F49" s="162"/>
      <c r="G49" s="162"/>
      <c r="H49" s="162"/>
      <c r="I49" s="162"/>
    </row>
    <row r="50" spans="1:9" ht="25.8">
      <c r="A50" s="340" t="s">
        <v>347</v>
      </c>
      <c r="B50" s="341"/>
      <c r="C50" s="341"/>
      <c r="D50" s="341"/>
      <c r="E50" s="341"/>
      <c r="F50" s="341"/>
      <c r="G50" s="341"/>
      <c r="H50" s="342"/>
      <c r="I50" s="342"/>
    </row>
    <row r="51" spans="1:9">
      <c r="A51" s="342"/>
      <c r="B51" s="294">
        <f t="shared" ref="B51:G51" si="4">B43+B45</f>
        <v>4680810000</v>
      </c>
      <c r="C51" s="294">
        <f t="shared" si="4"/>
        <v>-1971930000</v>
      </c>
      <c r="D51" s="294">
        <f t="shared" si="4"/>
        <v>13872560000</v>
      </c>
      <c r="E51" s="294">
        <f t="shared" si="4"/>
        <v>17792610000</v>
      </c>
      <c r="F51" s="294">
        <f t="shared" si="4"/>
        <v>22002890000</v>
      </c>
      <c r="G51" s="294">
        <f t="shared" si="4"/>
        <v>27012990000</v>
      </c>
      <c r="H51" s="294">
        <f>H43+H45</f>
        <v>32354680000</v>
      </c>
      <c r="I51" s="294">
        <f>I43+I45</f>
        <v>37476810000</v>
      </c>
    </row>
    <row r="52" spans="1:9">
      <c r="A52" s="342"/>
      <c r="B52" s="294">
        <f t="shared" ref="B52:G52" si="5">B51-B47</f>
        <v>0</v>
      </c>
      <c r="C52" s="294">
        <f t="shared" si="5"/>
        <v>0</v>
      </c>
      <c r="D52" s="294">
        <f t="shared" si="5"/>
        <v>0</v>
      </c>
      <c r="E52" s="294">
        <f t="shared" si="5"/>
        <v>0</v>
      </c>
      <c r="F52" s="294">
        <f t="shared" si="5"/>
        <v>0</v>
      </c>
      <c r="G52" s="294">
        <f t="shared" si="5"/>
        <v>0</v>
      </c>
      <c r="H52" s="294">
        <f>H51-H47</f>
        <v>0</v>
      </c>
      <c r="I52" s="294">
        <f>I51-I47</f>
        <v>0</v>
      </c>
    </row>
  </sheetData>
  <mergeCells count="1">
    <mergeCell ref="A3:I3"/>
  </mergeCells>
  <pageMargins left="0.23622047244094491" right="0.15748031496062992" top="0.49" bottom="0.44" header="0.31496062992125984" footer="0.31496062992125984"/>
  <pageSetup scale="61" orientation="portrait" horizontalDpi="0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AD2CB-81F2-4D7C-9FD7-5B2D370B51BC}">
  <sheetPr codeName="Sheet19"/>
  <dimension ref="B2:J164"/>
  <sheetViews>
    <sheetView topLeftCell="A151" zoomScaleNormal="100" workbookViewId="0">
      <selection activeCell="I153" sqref="I153"/>
    </sheetView>
  </sheetViews>
  <sheetFormatPr defaultColWidth="9.21875" defaultRowHeight="14.4"/>
  <cols>
    <col min="1" max="1" width="4.21875" style="2" customWidth="1"/>
    <col min="2" max="2" width="51" style="2" customWidth="1"/>
    <col min="3" max="3" width="18.77734375" style="2" customWidth="1"/>
    <col min="4" max="4" width="18.21875" style="2" customWidth="1"/>
    <col min="5" max="5" width="17.77734375" style="2" customWidth="1"/>
    <col min="6" max="6" width="3.44140625" style="2" customWidth="1"/>
    <col min="7" max="16384" width="9.21875" style="2"/>
  </cols>
  <sheetData>
    <row r="2" spans="2:5" ht="16.2">
      <c r="B2" s="882" t="s">
        <v>508</v>
      </c>
      <c r="C2" s="882"/>
      <c r="D2" s="882"/>
      <c r="E2" s="882"/>
    </row>
    <row r="4" spans="2:5" ht="15">
      <c r="B4" s="920" t="s">
        <v>509</v>
      </c>
      <c r="C4" s="920"/>
      <c r="D4" s="920"/>
      <c r="E4" s="920"/>
    </row>
    <row r="6" spans="2:5" ht="45.75" customHeight="1" thickBot="1">
      <c r="B6" s="360" t="s">
        <v>0</v>
      </c>
      <c r="C6" s="361" t="str">
        <f>Assumptions!I78</f>
        <v>2024-25</v>
      </c>
      <c r="D6" s="362" t="str">
        <f>Assumptions!I79</f>
        <v>2025-26</v>
      </c>
      <c r="E6" s="363" t="s">
        <v>510</v>
      </c>
    </row>
    <row r="7" spans="2:5" ht="15" thickTop="1">
      <c r="E7" s="364"/>
    </row>
    <row r="8" spans="2:5">
      <c r="B8" s="214" t="s">
        <v>575</v>
      </c>
      <c r="E8" s="364"/>
    </row>
    <row r="9" spans="2:5">
      <c r="E9" s="364"/>
    </row>
    <row r="10" spans="2:5">
      <c r="B10" s="2" t="str">
        <f>'PL BS'!A76</f>
        <v>Closing stock / WIP</v>
      </c>
      <c r="C10" s="482">
        <f>'PL BS'!D76</f>
        <v>6669760000</v>
      </c>
      <c r="D10" s="482">
        <f>'PL BS'!E76</f>
        <v>58500000000</v>
      </c>
      <c r="E10" s="692">
        <f>D10-C10</f>
        <v>51830240000</v>
      </c>
    </row>
    <row r="11" spans="2:5">
      <c r="B11" s="2" t="str">
        <f>'PL BS'!A78</f>
        <v>Recievables / Debtors</v>
      </c>
      <c r="C11" s="482">
        <f>'PL BS'!D78</f>
        <v>2478070000</v>
      </c>
      <c r="D11" s="482">
        <f>'PL BS'!E78</f>
        <v>-857360000</v>
      </c>
      <c r="E11" s="692">
        <f>D11-C11</f>
        <v>-3335430000</v>
      </c>
    </row>
    <row r="12" spans="2:5">
      <c r="B12" s="2" t="str">
        <f>'PL BS'!A80</f>
        <v>Cash and Cash Equivalents</v>
      </c>
      <c r="C12" s="482">
        <f>'PL BS'!D80</f>
        <v>4680810000</v>
      </c>
      <c r="D12" s="482">
        <f>'PL BS'!E80</f>
        <v>-1971930000</v>
      </c>
      <c r="E12" s="692">
        <f>D12-C12</f>
        <v>-6652740000</v>
      </c>
    </row>
    <row r="13" spans="2:5">
      <c r="C13" s="482"/>
      <c r="D13" s="482"/>
      <c r="E13" s="692">
        <f>D13-C13</f>
        <v>0</v>
      </c>
    </row>
    <row r="14" spans="2:5">
      <c r="B14" s="19" t="s">
        <v>577</v>
      </c>
      <c r="C14" s="693">
        <f>SUM(C10:C13)</f>
        <v>13828640000</v>
      </c>
      <c r="D14" s="693">
        <f>SUM(D10:D13)</f>
        <v>55670710000</v>
      </c>
      <c r="E14" s="694">
        <f>SUM(E10:E13)</f>
        <v>41842070000</v>
      </c>
    </row>
    <row r="15" spans="2:5">
      <c r="C15" s="482"/>
      <c r="D15" s="482"/>
      <c r="E15" s="692"/>
    </row>
    <row r="16" spans="2:5">
      <c r="B16" s="214" t="s">
        <v>576</v>
      </c>
      <c r="C16" s="482"/>
      <c r="D16" s="482"/>
      <c r="E16" s="692"/>
    </row>
    <row r="17" spans="2:6">
      <c r="B17" s="19"/>
      <c r="C17" s="482"/>
      <c r="D17" s="482"/>
      <c r="E17" s="692"/>
    </row>
    <row r="18" spans="2:6">
      <c r="B18" s="2" t="str">
        <f>'PL BS'!A62</f>
        <v>Working capital Loan</v>
      </c>
      <c r="C18" s="482">
        <f>'PL BS'!D62</f>
        <v>6241360000</v>
      </c>
      <c r="D18" s="482">
        <f>'PL BS'!E62</f>
        <v>43446320000</v>
      </c>
      <c r="E18" s="692">
        <f>C19-D19</f>
        <v>0</v>
      </c>
    </row>
    <row r="19" spans="2:6">
      <c r="B19" s="2" t="str">
        <f>'PL BS'!A64</f>
        <v xml:space="preserve">Short Term Loan </v>
      </c>
      <c r="C19" s="482">
        <f>'PL BS'!D64</f>
        <v>1400000000</v>
      </c>
      <c r="D19" s="482">
        <f>'PL BS'!E64</f>
        <v>1400000000</v>
      </c>
      <c r="E19" s="692">
        <f>C20-D20</f>
        <v>0</v>
      </c>
    </row>
    <row r="20" spans="2:6">
      <c r="C20" s="482"/>
      <c r="D20" s="482"/>
      <c r="E20" s="692"/>
    </row>
    <row r="21" spans="2:6">
      <c r="B21" s="19" t="s">
        <v>511</v>
      </c>
      <c r="C21" s="693">
        <f>SUM(C17:C20)</f>
        <v>7641360000</v>
      </c>
      <c r="D21" s="693">
        <f>SUM(D17:D20)</f>
        <v>44846320000</v>
      </c>
      <c r="E21" s="694">
        <f>SUM(E18:E20)</f>
        <v>0</v>
      </c>
    </row>
    <row r="22" spans="2:6">
      <c r="C22" s="482"/>
      <c r="D22" s="482"/>
      <c r="E22" s="692"/>
    </row>
    <row r="23" spans="2:6">
      <c r="B23" s="19" t="s">
        <v>512</v>
      </c>
      <c r="C23" s="693">
        <f>C14-C21</f>
        <v>6187280000</v>
      </c>
      <c r="D23" s="693">
        <f>D14-D21</f>
        <v>10824390000</v>
      </c>
      <c r="E23" s="692"/>
    </row>
    <row r="24" spans="2:6" ht="15" thickBot="1">
      <c r="C24" s="482"/>
      <c r="D24" s="482"/>
      <c r="E24" s="692"/>
    </row>
    <row r="25" spans="2:6" ht="28.5" customHeight="1" thickBot="1">
      <c r="B25" s="365" t="s">
        <v>513</v>
      </c>
      <c r="C25" s="919">
        <f>D23-C23</f>
        <v>4637110000</v>
      </c>
      <c r="D25" s="919"/>
      <c r="E25" s="684">
        <f>E14+E21</f>
        <v>41842070000</v>
      </c>
      <c r="F25" s="60"/>
    </row>
    <row r="28" spans="2:6" ht="42.75" customHeight="1" thickBot="1">
      <c r="B28" s="360" t="s">
        <v>0</v>
      </c>
      <c r="C28" s="362" t="str">
        <f>Assumptions!I79</f>
        <v>2025-26</v>
      </c>
      <c r="D28" s="362" t="str">
        <f>Assumptions!I80</f>
        <v>2026-27</v>
      </c>
      <c r="E28" s="363" t="s">
        <v>510</v>
      </c>
    </row>
    <row r="29" spans="2:6" ht="15" thickTop="1">
      <c r="E29" s="364"/>
    </row>
    <row r="30" spans="2:6">
      <c r="B30" s="214" t="str">
        <f>B8</f>
        <v>CURRENT ASSETS:</v>
      </c>
      <c r="E30" s="364"/>
    </row>
    <row r="31" spans="2:6">
      <c r="E31" s="364"/>
    </row>
    <row r="32" spans="2:6">
      <c r="B32" s="2" t="str">
        <f>B10</f>
        <v>Closing stock / WIP</v>
      </c>
      <c r="C32" s="482">
        <f>'PL BS'!E76</f>
        <v>58500000000</v>
      </c>
      <c r="D32" s="482">
        <f>'PL BS'!F76</f>
        <v>59085000000</v>
      </c>
      <c r="E32" s="692">
        <f>D32-C32</f>
        <v>585000000</v>
      </c>
    </row>
    <row r="33" spans="2:7">
      <c r="B33" s="2" t="str">
        <f>B11</f>
        <v>Recievables / Debtors</v>
      </c>
      <c r="C33" s="482">
        <f>'PL BS'!E78</f>
        <v>-857360000</v>
      </c>
      <c r="D33" s="482">
        <f>'PL BS'!F78</f>
        <v>4922520000</v>
      </c>
      <c r="E33" s="692">
        <f>D33-C33</f>
        <v>5779880000</v>
      </c>
    </row>
    <row r="34" spans="2:7">
      <c r="B34" s="2" t="str">
        <f>B12</f>
        <v>Cash and Cash Equivalents</v>
      </c>
      <c r="C34" s="482">
        <f>'PL BS'!E80</f>
        <v>-1971930000</v>
      </c>
      <c r="D34" s="482">
        <f>'PL BS'!F80</f>
        <v>13872560000</v>
      </c>
      <c r="E34" s="692">
        <f>D34-C34</f>
        <v>15844490000</v>
      </c>
    </row>
    <row r="35" spans="2:7">
      <c r="C35" s="482"/>
      <c r="D35" s="482"/>
      <c r="E35" s="692">
        <f>D35-C35</f>
        <v>0</v>
      </c>
    </row>
    <row r="36" spans="2:7">
      <c r="B36" s="19" t="s">
        <v>577</v>
      </c>
      <c r="C36" s="693">
        <f>SUM(C32:C35)</f>
        <v>55670710000</v>
      </c>
      <c r="D36" s="693">
        <f>SUM(D32:D35)</f>
        <v>77880080000</v>
      </c>
      <c r="E36" s="694">
        <f>SUM(E32:E35)</f>
        <v>22209370000</v>
      </c>
    </row>
    <row r="37" spans="2:7">
      <c r="C37" s="482"/>
      <c r="D37" s="482"/>
      <c r="E37" s="692"/>
    </row>
    <row r="38" spans="2:7">
      <c r="B38" s="214" t="str">
        <f>B16</f>
        <v>CURRENT LIABILITIES:</v>
      </c>
      <c r="C38" s="482"/>
      <c r="D38" s="482"/>
      <c r="E38" s="692"/>
    </row>
    <row r="39" spans="2:7">
      <c r="B39" s="19"/>
      <c r="C39" s="482"/>
      <c r="D39" s="482"/>
      <c r="E39" s="692"/>
    </row>
    <row r="40" spans="2:7">
      <c r="B40" s="2" t="str">
        <f>'PL BS'!A62</f>
        <v>Working capital Loan</v>
      </c>
      <c r="C40" s="482">
        <f>'PL BS'!E62</f>
        <v>43446320000</v>
      </c>
      <c r="D40" s="482">
        <f>'PL BS'!F62</f>
        <v>45000000000</v>
      </c>
      <c r="E40" s="692">
        <f>C40-D40</f>
        <v>-1553680000</v>
      </c>
    </row>
    <row r="41" spans="2:7">
      <c r="B41" s="2" t="str">
        <f>'PL BS'!A64</f>
        <v xml:space="preserve">Short Term Loan </v>
      </c>
      <c r="C41" s="482">
        <f>'PL BS'!E64</f>
        <v>1400000000</v>
      </c>
      <c r="D41" s="482">
        <f>'PL BS'!F64</f>
        <v>1400000000</v>
      </c>
      <c r="E41" s="692">
        <f>C41-D41</f>
        <v>0</v>
      </c>
    </row>
    <row r="42" spans="2:7">
      <c r="C42" s="482"/>
      <c r="D42" s="482"/>
      <c r="E42" s="692"/>
    </row>
    <row r="43" spans="2:7">
      <c r="B43" s="19" t="s">
        <v>511</v>
      </c>
      <c r="C43" s="693">
        <f>SUM(C39:C42)</f>
        <v>44846320000</v>
      </c>
      <c r="D43" s="693">
        <f>SUM(D39:D42)</f>
        <v>46400000000</v>
      </c>
      <c r="E43" s="694">
        <f>SUM(E40:E42)</f>
        <v>-1553680000</v>
      </c>
    </row>
    <row r="44" spans="2:7">
      <c r="C44" s="693"/>
      <c r="D44" s="693"/>
      <c r="E44" s="694"/>
    </row>
    <row r="45" spans="2:7">
      <c r="B45" s="19" t="s">
        <v>512</v>
      </c>
      <c r="C45" s="482">
        <f>C36-C43</f>
        <v>10824390000</v>
      </c>
      <c r="D45" s="482">
        <f>D36-D43</f>
        <v>31480080000</v>
      </c>
      <c r="E45" s="692"/>
    </row>
    <row r="46" spans="2:7" ht="15" thickBot="1">
      <c r="C46" s="482"/>
      <c r="D46" s="482"/>
      <c r="E46" s="692"/>
    </row>
    <row r="47" spans="2:7" ht="30.75" customHeight="1" thickBot="1">
      <c r="B47" s="365" t="s">
        <v>513</v>
      </c>
      <c r="C47" s="919">
        <f>D45-C45</f>
        <v>20655690000</v>
      </c>
      <c r="D47" s="919"/>
      <c r="E47" s="683">
        <f>E36+E43</f>
        <v>20655690000</v>
      </c>
      <c r="F47" s="60"/>
      <c r="G47" s="60"/>
    </row>
    <row r="50" spans="2:5" ht="42" customHeight="1" thickBot="1">
      <c r="B50" s="360" t="s">
        <v>0</v>
      </c>
      <c r="C50" s="362" t="str">
        <f>Assumptions!I80</f>
        <v>2026-27</v>
      </c>
      <c r="D50" s="362" t="str">
        <f>Assumptions!I81</f>
        <v>2027-28</v>
      </c>
      <c r="E50" s="363" t="s">
        <v>510</v>
      </c>
    </row>
    <row r="51" spans="2:5" ht="15" thickTop="1">
      <c r="E51" s="364"/>
    </row>
    <row r="52" spans="2:5">
      <c r="B52" s="214" t="str">
        <f>B30</f>
        <v>CURRENT ASSETS:</v>
      </c>
      <c r="E52" s="364"/>
    </row>
    <row r="53" spans="2:5">
      <c r="B53" s="19"/>
      <c r="E53" s="364"/>
    </row>
    <row r="54" spans="2:5">
      <c r="B54" s="2" t="str">
        <f>B32</f>
        <v>Closing stock / WIP</v>
      </c>
      <c r="C54" s="482">
        <f>'PL BS'!F76</f>
        <v>59085000000</v>
      </c>
      <c r="D54" s="482">
        <f>'PL BS'!G76</f>
        <v>59675850000</v>
      </c>
      <c r="E54" s="692">
        <f>D54-C54</f>
        <v>590850000</v>
      </c>
    </row>
    <row r="55" spans="2:5">
      <c r="B55" s="2" t="str">
        <f>B33</f>
        <v>Recievables / Debtors</v>
      </c>
      <c r="C55" s="482">
        <f>'PL BS'!F78</f>
        <v>4922520000</v>
      </c>
      <c r="D55" s="482">
        <f>'PL BS'!G78</f>
        <v>5618720000</v>
      </c>
      <c r="E55" s="692">
        <f>D55-C55</f>
        <v>696200000</v>
      </c>
    </row>
    <row r="56" spans="2:5">
      <c r="B56" s="2" t="str">
        <f>B34</f>
        <v>Cash and Cash Equivalents</v>
      </c>
      <c r="C56" s="482">
        <f>'PL BS'!F80</f>
        <v>13872560000</v>
      </c>
      <c r="D56" s="482">
        <f>'PL BS'!G80</f>
        <v>17792610000</v>
      </c>
      <c r="E56" s="692">
        <f>D56-C56</f>
        <v>3920050000</v>
      </c>
    </row>
    <row r="57" spans="2:5">
      <c r="C57" s="482"/>
      <c r="D57" s="482"/>
      <c r="E57" s="692">
        <f>D57-C57</f>
        <v>0</v>
      </c>
    </row>
    <row r="58" spans="2:5">
      <c r="B58" s="19" t="str">
        <f>B36</f>
        <v>Total Current Assets (A)</v>
      </c>
      <c r="C58" s="693">
        <f>SUM(C54:C57)</f>
        <v>77880080000</v>
      </c>
      <c r="D58" s="693">
        <f>SUM(D54:D57)</f>
        <v>83087180000</v>
      </c>
      <c r="E58" s="694">
        <f>SUM(E54:E57)</f>
        <v>5207100000</v>
      </c>
    </row>
    <row r="59" spans="2:5">
      <c r="B59" s="19"/>
      <c r="C59" s="482"/>
      <c r="D59" s="482"/>
      <c r="E59" s="692"/>
    </row>
    <row r="60" spans="2:5">
      <c r="B60" s="214" t="str">
        <f>B38</f>
        <v>CURRENT LIABILITIES:</v>
      </c>
      <c r="C60" s="482"/>
      <c r="D60" s="482"/>
      <c r="E60" s="692"/>
    </row>
    <row r="61" spans="2:5">
      <c r="B61" s="214"/>
      <c r="C61" s="482"/>
      <c r="D61" s="482"/>
      <c r="E61" s="692"/>
    </row>
    <row r="62" spans="2:5">
      <c r="B62" s="2" t="str">
        <f>'PL BS'!A62</f>
        <v>Working capital Loan</v>
      </c>
      <c r="C62" s="482">
        <f>'PL BS'!F62</f>
        <v>45000000000</v>
      </c>
      <c r="D62" s="482">
        <f>'PL BS'!G62</f>
        <v>45000000000</v>
      </c>
      <c r="E62" s="692">
        <f>C62-D62</f>
        <v>0</v>
      </c>
    </row>
    <row r="63" spans="2:5">
      <c r="B63" s="2" t="str">
        <f>'PL BS'!A64</f>
        <v xml:space="preserve">Short Term Loan </v>
      </c>
      <c r="C63" s="482">
        <f>'PL BS'!F64</f>
        <v>1400000000</v>
      </c>
      <c r="D63" s="482">
        <f>'PL BS'!G64</f>
        <v>700000000</v>
      </c>
      <c r="E63" s="692">
        <f>C63-D63</f>
        <v>700000000</v>
      </c>
    </row>
    <row r="64" spans="2:5">
      <c r="C64" s="482"/>
      <c r="D64" s="482"/>
      <c r="E64" s="692"/>
    </row>
    <row r="65" spans="2:10">
      <c r="B65" s="19" t="s">
        <v>511</v>
      </c>
      <c r="C65" s="693">
        <f>SUM(C61:C64)</f>
        <v>46400000000</v>
      </c>
      <c r="D65" s="693">
        <f>SUM(D61:D64)</f>
        <v>45700000000</v>
      </c>
      <c r="E65" s="694">
        <f>SUM(E61:E64)</f>
        <v>700000000</v>
      </c>
    </row>
    <row r="66" spans="2:10">
      <c r="C66" s="482"/>
      <c r="D66" s="482"/>
      <c r="E66" s="692"/>
    </row>
    <row r="67" spans="2:10">
      <c r="B67" s="19" t="s">
        <v>512</v>
      </c>
      <c r="C67" s="482">
        <f>C58-C65</f>
        <v>31480080000</v>
      </c>
      <c r="D67" s="482">
        <f>D58-D65</f>
        <v>37387180000</v>
      </c>
      <c r="E67" s="692"/>
    </row>
    <row r="68" spans="2:10" ht="15" thickBot="1">
      <c r="C68" s="482"/>
      <c r="D68" s="482"/>
      <c r="E68" s="692"/>
    </row>
    <row r="69" spans="2:10" ht="30" customHeight="1" thickBot="1">
      <c r="B69" s="365" t="s">
        <v>513</v>
      </c>
      <c r="C69" s="919">
        <f>D67-C67</f>
        <v>5907100000</v>
      </c>
      <c r="D69" s="919"/>
      <c r="E69" s="683">
        <f>E58+E65</f>
        <v>5907100000</v>
      </c>
      <c r="F69" s="60"/>
      <c r="G69" s="60"/>
      <c r="H69" s="60"/>
      <c r="I69" s="60"/>
      <c r="J69" s="60"/>
    </row>
    <row r="72" spans="2:10" ht="45" customHeight="1" thickBot="1">
      <c r="B72" s="360" t="s">
        <v>0</v>
      </c>
      <c r="C72" s="362" t="str">
        <f>Assumptions!I81</f>
        <v>2027-28</v>
      </c>
      <c r="D72" s="362" t="str">
        <f>Assumptions!I82</f>
        <v>2028-29</v>
      </c>
      <c r="E72" s="363" t="s">
        <v>510</v>
      </c>
    </row>
    <row r="73" spans="2:10" ht="15" thickTop="1">
      <c r="E73" s="364"/>
    </row>
    <row r="74" spans="2:10">
      <c r="B74" s="214" t="str">
        <f>B52</f>
        <v>CURRENT ASSETS:</v>
      </c>
      <c r="E74" s="364"/>
    </row>
    <row r="75" spans="2:10">
      <c r="E75" s="364"/>
    </row>
    <row r="76" spans="2:10">
      <c r="B76" s="2" t="str">
        <f>B54</f>
        <v>Closing stock / WIP</v>
      </c>
      <c r="C76" s="482">
        <f>'PL BS'!G76</f>
        <v>59675850000</v>
      </c>
      <c r="D76" s="482">
        <f>'PL BS'!H76</f>
        <v>60272610000</v>
      </c>
      <c r="E76" s="692">
        <f>D76-C76</f>
        <v>596760000</v>
      </c>
    </row>
    <row r="77" spans="2:10">
      <c r="B77" s="2" t="str">
        <f>B55</f>
        <v>Recievables / Debtors</v>
      </c>
      <c r="C77" s="482">
        <f>'PL BS'!G78</f>
        <v>5618720000</v>
      </c>
      <c r="D77" s="482">
        <f>'PL BS'!H78</f>
        <v>6356390000</v>
      </c>
      <c r="E77" s="692">
        <f>D77-C77</f>
        <v>737670000</v>
      </c>
    </row>
    <row r="78" spans="2:10">
      <c r="B78" s="2" t="str">
        <f>B56</f>
        <v>Cash and Cash Equivalents</v>
      </c>
      <c r="C78" s="482">
        <f>'PL BS'!G80</f>
        <v>17792610000</v>
      </c>
      <c r="D78" s="482">
        <f>'PL BS'!H80</f>
        <v>22002890000</v>
      </c>
      <c r="E78" s="692">
        <f>D78-C78</f>
        <v>4210280000</v>
      </c>
    </row>
    <row r="79" spans="2:10">
      <c r="C79" s="482"/>
      <c r="D79" s="482"/>
      <c r="E79" s="692"/>
    </row>
    <row r="80" spans="2:10">
      <c r="B80" s="19" t="str">
        <f>B58</f>
        <v>Total Current Assets (A)</v>
      </c>
      <c r="C80" s="693">
        <f>SUM(C76:C79)</f>
        <v>83087180000</v>
      </c>
      <c r="D80" s="693">
        <f>SUM(D76:D79)</f>
        <v>88631890000</v>
      </c>
      <c r="E80" s="694">
        <f>SUM(E76:E79)</f>
        <v>5544710000</v>
      </c>
      <c r="F80" s="19"/>
    </row>
    <row r="81" spans="2:7">
      <c r="B81" s="19"/>
      <c r="C81" s="482"/>
      <c r="D81" s="482"/>
      <c r="E81" s="692"/>
    </row>
    <row r="82" spans="2:7">
      <c r="C82" s="482"/>
      <c r="D82" s="482"/>
      <c r="E82" s="692"/>
    </row>
    <row r="83" spans="2:7">
      <c r="B83" s="214" t="str">
        <f>B60</f>
        <v>CURRENT LIABILITIES:</v>
      </c>
      <c r="C83" s="482"/>
      <c r="D83" s="482"/>
      <c r="E83" s="692"/>
    </row>
    <row r="84" spans="2:7">
      <c r="B84" s="214"/>
      <c r="C84" s="482"/>
      <c r="D84" s="482"/>
      <c r="E84" s="692"/>
    </row>
    <row r="85" spans="2:7">
      <c r="B85" s="2" t="str">
        <f>'PL BS'!A62</f>
        <v>Working capital Loan</v>
      </c>
      <c r="C85" s="482">
        <f>'PL BS'!G62</f>
        <v>45000000000</v>
      </c>
      <c r="D85" s="482">
        <f>'PL BS'!H62</f>
        <v>45000000000</v>
      </c>
      <c r="E85" s="692">
        <f>C85-D85</f>
        <v>0</v>
      </c>
    </row>
    <row r="86" spans="2:7">
      <c r="B86" s="2" t="str">
        <f>'PL BS'!A64</f>
        <v xml:space="preserve">Short Term Loan </v>
      </c>
      <c r="C86" s="482">
        <f>'PL BS'!G64</f>
        <v>700000000</v>
      </c>
      <c r="D86" s="482">
        <f>'PL BS'!H64</f>
        <v>0</v>
      </c>
      <c r="E86" s="692">
        <f>C86-D86</f>
        <v>700000000</v>
      </c>
    </row>
    <row r="87" spans="2:7">
      <c r="C87" s="482"/>
      <c r="D87" s="482"/>
      <c r="E87" s="692"/>
    </row>
    <row r="88" spans="2:7">
      <c r="B88" s="19" t="s">
        <v>511</v>
      </c>
      <c r="C88" s="693">
        <f>SUM(C84:C87)</f>
        <v>45700000000</v>
      </c>
      <c r="D88" s="693">
        <f>SUM(D84:D87)</f>
        <v>45000000000</v>
      </c>
      <c r="E88" s="694">
        <f>SUM(E84:E87)</f>
        <v>700000000</v>
      </c>
    </row>
    <row r="89" spans="2:7">
      <c r="C89" s="482"/>
      <c r="D89" s="482"/>
      <c r="E89" s="692"/>
    </row>
    <row r="90" spans="2:7">
      <c r="B90" s="19" t="s">
        <v>512</v>
      </c>
      <c r="C90" s="482">
        <f>C80-C88</f>
        <v>37387180000</v>
      </c>
      <c r="D90" s="482">
        <f>D80-D88</f>
        <v>43631890000</v>
      </c>
      <c r="E90" s="692"/>
    </row>
    <row r="91" spans="2:7" ht="15" thickBot="1">
      <c r="C91" s="482"/>
      <c r="D91" s="482"/>
      <c r="E91" s="692"/>
    </row>
    <row r="92" spans="2:7" ht="28.5" customHeight="1" thickBot="1">
      <c r="B92" s="365" t="s">
        <v>513</v>
      </c>
      <c r="C92" s="919">
        <f>D90-C90</f>
        <v>6244710000</v>
      </c>
      <c r="D92" s="919"/>
      <c r="E92" s="683">
        <f>E80+E88</f>
        <v>6244710000</v>
      </c>
      <c r="F92" s="60"/>
      <c r="G92" s="60"/>
    </row>
    <row r="95" spans="2:7" ht="42" customHeight="1" thickBot="1">
      <c r="B95" s="360" t="s">
        <v>0</v>
      </c>
      <c r="C95" s="362" t="str">
        <f>Assumptions!I82</f>
        <v>2028-29</v>
      </c>
      <c r="D95" s="362" t="str">
        <f>Assumptions!I83</f>
        <v>2029-30</v>
      </c>
      <c r="E95" s="363" t="s">
        <v>510</v>
      </c>
    </row>
    <row r="96" spans="2:7" ht="15" thickTop="1">
      <c r="E96" s="364"/>
    </row>
    <row r="97" spans="2:6">
      <c r="B97" s="214" t="str">
        <f>B74</f>
        <v>CURRENT ASSETS:</v>
      </c>
      <c r="E97" s="364"/>
    </row>
    <row r="98" spans="2:6">
      <c r="E98" s="364"/>
    </row>
    <row r="99" spans="2:6">
      <c r="B99" s="2" t="str">
        <f>B76</f>
        <v>Closing stock / WIP</v>
      </c>
      <c r="C99" s="482">
        <f>'PL BS'!H76</f>
        <v>60272610000</v>
      </c>
      <c r="D99" s="482">
        <f>'PL BS'!I76</f>
        <v>60875330000</v>
      </c>
      <c r="E99" s="692">
        <f>D99-C99</f>
        <v>602720000</v>
      </c>
    </row>
    <row r="100" spans="2:6">
      <c r="B100" s="2" t="str">
        <f>B77</f>
        <v>Recievables / Debtors</v>
      </c>
      <c r="C100" s="482">
        <f>'PL BS'!H78</f>
        <v>6356390000</v>
      </c>
      <c r="D100" s="482">
        <f>'PL BS'!I78</f>
        <v>7135510000</v>
      </c>
      <c r="E100" s="692">
        <f>D100-C100</f>
        <v>779120000</v>
      </c>
    </row>
    <row r="101" spans="2:6">
      <c r="B101" s="2" t="str">
        <f>B78</f>
        <v>Cash and Cash Equivalents</v>
      </c>
      <c r="C101" s="482">
        <f>'PL BS'!H80</f>
        <v>22002890000</v>
      </c>
      <c r="D101" s="482">
        <f>'PL BS'!I80</f>
        <v>27012990000</v>
      </c>
      <c r="E101" s="692">
        <f>D101-C101</f>
        <v>5010100000</v>
      </c>
    </row>
    <row r="102" spans="2:6">
      <c r="C102" s="482"/>
      <c r="D102" s="482"/>
      <c r="E102" s="692"/>
    </row>
    <row r="103" spans="2:6">
      <c r="B103" s="19" t="str">
        <f>B80</f>
        <v>Total Current Assets (A)</v>
      </c>
      <c r="C103" s="693">
        <f>SUM(C99:C102)</f>
        <v>88631890000</v>
      </c>
      <c r="D103" s="693">
        <f>SUM(D99:D102)</f>
        <v>95023830000</v>
      </c>
      <c r="E103" s="694">
        <f>SUM(E99:E102)</f>
        <v>6391940000</v>
      </c>
      <c r="F103" s="11"/>
    </row>
    <row r="104" spans="2:6">
      <c r="B104" s="19"/>
      <c r="C104" s="482"/>
      <c r="D104" s="482"/>
      <c r="E104" s="692"/>
    </row>
    <row r="105" spans="2:6">
      <c r="C105" s="482"/>
      <c r="D105" s="482"/>
      <c r="E105" s="692"/>
    </row>
    <row r="106" spans="2:6">
      <c r="B106" s="214" t="str">
        <f>B83</f>
        <v>CURRENT LIABILITIES:</v>
      </c>
      <c r="C106" s="482"/>
      <c r="D106" s="482"/>
      <c r="E106" s="692"/>
    </row>
    <row r="107" spans="2:6">
      <c r="C107" s="482"/>
      <c r="D107" s="482"/>
      <c r="E107" s="692"/>
    </row>
    <row r="108" spans="2:6">
      <c r="B108" s="2" t="str">
        <f>'PL BS'!A62</f>
        <v>Working capital Loan</v>
      </c>
      <c r="C108" s="482">
        <f>'PL BS'!H62</f>
        <v>45000000000</v>
      </c>
      <c r="D108" s="482">
        <f>'PL BS'!I62</f>
        <v>45000000000</v>
      </c>
      <c r="E108" s="692">
        <f>C108-D108</f>
        <v>0</v>
      </c>
    </row>
    <row r="109" spans="2:6">
      <c r="B109" s="2" t="str">
        <f>'PL BS'!A64</f>
        <v xml:space="preserve">Short Term Loan </v>
      </c>
      <c r="C109" s="482">
        <f>'PL BS'!H64</f>
        <v>0</v>
      </c>
      <c r="D109" s="482">
        <f>'PL BS'!I64</f>
        <v>0</v>
      </c>
      <c r="E109" s="692">
        <f>C109-D109</f>
        <v>0</v>
      </c>
    </row>
    <row r="110" spans="2:6">
      <c r="C110" s="482"/>
      <c r="D110" s="482"/>
      <c r="E110" s="692"/>
    </row>
    <row r="111" spans="2:6">
      <c r="B111" s="19" t="s">
        <v>511</v>
      </c>
      <c r="C111" s="693">
        <f>SUM(C107:C110)</f>
        <v>45000000000</v>
      </c>
      <c r="D111" s="693">
        <f>SUM(D107:D110)</f>
        <v>45000000000</v>
      </c>
      <c r="E111" s="694">
        <f>SUM(E107:E110)</f>
        <v>0</v>
      </c>
    </row>
    <row r="112" spans="2:6">
      <c r="C112" s="482"/>
      <c r="D112" s="482"/>
      <c r="E112" s="692"/>
    </row>
    <row r="113" spans="2:9">
      <c r="B113" s="19" t="s">
        <v>512</v>
      </c>
      <c r="C113" s="482">
        <f>C103-C111</f>
        <v>43631890000</v>
      </c>
      <c r="D113" s="482">
        <f>D103-D111</f>
        <v>50023830000</v>
      </c>
      <c r="E113" s="692"/>
    </row>
    <row r="114" spans="2:9" ht="15" thickBot="1">
      <c r="C114" s="482"/>
      <c r="D114" s="482"/>
      <c r="E114" s="692"/>
    </row>
    <row r="115" spans="2:9" ht="28.5" customHeight="1" thickBot="1">
      <c r="B115" s="365" t="s">
        <v>513</v>
      </c>
      <c r="C115" s="919">
        <f>D113-C113</f>
        <v>6391940000</v>
      </c>
      <c r="D115" s="919"/>
      <c r="E115" s="683">
        <f>E103+E111</f>
        <v>6391940000</v>
      </c>
      <c r="F115" s="60"/>
      <c r="G115" s="60"/>
      <c r="H115" s="60"/>
    </row>
    <row r="118" spans="2:9" ht="42.75" customHeight="1" thickBot="1">
      <c r="B118" s="360" t="s">
        <v>0</v>
      </c>
      <c r="C118" s="362" t="str">
        <f>Assumptions!I83</f>
        <v>2029-30</v>
      </c>
      <c r="D118" s="362" t="str">
        <f>Assumptions!I84</f>
        <v>2030-31</v>
      </c>
      <c r="E118" s="363" t="s">
        <v>510</v>
      </c>
    </row>
    <row r="119" spans="2:9" ht="15" thickTop="1">
      <c r="E119" s="364"/>
    </row>
    <row r="120" spans="2:9">
      <c r="B120" s="214" t="str">
        <f>B97</f>
        <v>CURRENT ASSETS:</v>
      </c>
      <c r="E120" s="364"/>
    </row>
    <row r="121" spans="2:9">
      <c r="E121" s="364"/>
    </row>
    <row r="122" spans="2:9">
      <c r="B122" s="2" t="str">
        <f>B99</f>
        <v>Closing stock / WIP</v>
      </c>
      <c r="C122" s="482">
        <f>'PL BS'!I76</f>
        <v>60875330000</v>
      </c>
      <c r="D122" s="482">
        <f>'PL BS'!J76</f>
        <v>61484090000</v>
      </c>
      <c r="E122" s="692">
        <f>D122-C122</f>
        <v>608760000</v>
      </c>
    </row>
    <row r="123" spans="2:9">
      <c r="B123" s="2" t="str">
        <f>B100</f>
        <v>Recievables / Debtors</v>
      </c>
      <c r="C123" s="482">
        <f>'PL BS'!I78</f>
        <v>7135510000</v>
      </c>
      <c r="D123" s="482">
        <f>'PL BS'!J78</f>
        <v>7956070000</v>
      </c>
      <c r="E123" s="692">
        <f>D123-C123</f>
        <v>820560000</v>
      </c>
    </row>
    <row r="124" spans="2:9">
      <c r="B124" s="2" t="str">
        <f>B101</f>
        <v>Cash and Cash Equivalents</v>
      </c>
      <c r="C124" s="482">
        <f>'PL BS'!I80</f>
        <v>27012990000</v>
      </c>
      <c r="D124" s="482">
        <f>'PL BS'!J80</f>
        <v>32354680000</v>
      </c>
      <c r="E124" s="692">
        <f>D124-C124</f>
        <v>5341690000</v>
      </c>
    </row>
    <row r="125" spans="2:9">
      <c r="C125" s="482"/>
      <c r="D125" s="482"/>
      <c r="E125" s="692"/>
    </row>
    <row r="126" spans="2:9">
      <c r="B126" s="19" t="str">
        <f>B103</f>
        <v>Total Current Assets (A)</v>
      </c>
      <c r="C126" s="693">
        <f>SUM(C122:C125)</f>
        <v>95023830000</v>
      </c>
      <c r="D126" s="693">
        <f>SUM(D122:D125)</f>
        <v>101794840000</v>
      </c>
      <c r="E126" s="694">
        <f>SUM(E122:E125)</f>
        <v>6771010000</v>
      </c>
      <c r="I126" s="14"/>
    </row>
    <row r="127" spans="2:9">
      <c r="B127" s="19"/>
      <c r="C127" s="482"/>
      <c r="D127" s="482"/>
      <c r="E127" s="692"/>
    </row>
    <row r="128" spans="2:9">
      <c r="C128" s="482"/>
      <c r="D128" s="482"/>
      <c r="E128" s="692"/>
    </row>
    <row r="129" spans="2:7">
      <c r="B129" s="214" t="str">
        <f>B106</f>
        <v>CURRENT LIABILITIES:</v>
      </c>
      <c r="C129" s="482"/>
      <c r="D129" s="482"/>
      <c r="E129" s="692"/>
    </row>
    <row r="130" spans="2:7">
      <c r="C130" s="482"/>
      <c r="D130" s="482"/>
      <c r="E130" s="692"/>
    </row>
    <row r="131" spans="2:7">
      <c r="B131" s="2" t="str">
        <f>'PL BS'!A62</f>
        <v>Working capital Loan</v>
      </c>
      <c r="C131" s="482">
        <f>'PL BS'!I62</f>
        <v>45000000000</v>
      </c>
      <c r="D131" s="482">
        <f>'PL BS'!J62</f>
        <v>45000000000</v>
      </c>
      <c r="E131" s="692">
        <f>C131-D131</f>
        <v>0</v>
      </c>
    </row>
    <row r="132" spans="2:7">
      <c r="B132" s="2" t="str">
        <f>'PL BS'!A64</f>
        <v xml:space="preserve">Short Term Loan </v>
      </c>
      <c r="C132" s="482">
        <f>'PL BS'!I64</f>
        <v>0</v>
      </c>
      <c r="D132" s="482">
        <f>'PL BS'!J64</f>
        <v>0</v>
      </c>
      <c r="E132" s="692">
        <f>C132-D132</f>
        <v>0</v>
      </c>
    </row>
    <row r="133" spans="2:7">
      <c r="C133" s="482"/>
      <c r="D133" s="482"/>
      <c r="E133" s="692"/>
    </row>
    <row r="134" spans="2:7">
      <c r="B134" s="19" t="s">
        <v>511</v>
      </c>
      <c r="C134" s="693">
        <f>SUM(C130:C133)</f>
        <v>45000000000</v>
      </c>
      <c r="D134" s="693">
        <f>SUM(D130:D133)</f>
        <v>45000000000</v>
      </c>
      <c r="E134" s="694">
        <f>SUM(E130:E133)</f>
        <v>0</v>
      </c>
    </row>
    <row r="135" spans="2:7">
      <c r="C135" s="482"/>
      <c r="D135" s="482"/>
      <c r="E135" s="692"/>
    </row>
    <row r="136" spans="2:7">
      <c r="B136" s="19" t="s">
        <v>512</v>
      </c>
      <c r="C136" s="482">
        <f>C126-C134</f>
        <v>50023830000</v>
      </c>
      <c r="D136" s="482">
        <f>D126-D134</f>
        <v>56794840000</v>
      </c>
      <c r="E136" s="692"/>
      <c r="G136" s="14"/>
    </row>
    <row r="137" spans="2:7" ht="15" thickBot="1">
      <c r="C137" s="482"/>
      <c r="D137" s="482"/>
      <c r="E137" s="692"/>
    </row>
    <row r="138" spans="2:7" ht="30" customHeight="1" thickBot="1">
      <c r="B138" s="365" t="s">
        <v>513</v>
      </c>
      <c r="C138" s="919">
        <f>D136-C136</f>
        <v>6771010000</v>
      </c>
      <c r="D138" s="919"/>
      <c r="E138" s="683">
        <f>E126+E134</f>
        <v>6771010000</v>
      </c>
      <c r="F138" s="60"/>
    </row>
    <row r="144" spans="2:7" ht="29.4" thickBot="1">
      <c r="B144" s="360" t="s">
        <v>0</v>
      </c>
      <c r="C144" s="362" t="str">
        <f>Assumptions!I84</f>
        <v>2030-31</v>
      </c>
      <c r="D144" s="362" t="str">
        <f>Assumptions!I85</f>
        <v>2031-32</v>
      </c>
      <c r="E144" s="363" t="s">
        <v>510</v>
      </c>
    </row>
    <row r="145" spans="2:5" ht="15" thickTop="1">
      <c r="E145" s="364"/>
    </row>
    <row r="146" spans="2:5">
      <c r="B146" s="214" t="str">
        <f>B123</f>
        <v>Recievables / Debtors</v>
      </c>
      <c r="E146" s="364"/>
    </row>
    <row r="147" spans="2:5">
      <c r="E147" s="364"/>
    </row>
    <row r="148" spans="2:5">
      <c r="B148" s="2" t="str">
        <f>'PL BS'!A76</f>
        <v>Closing stock / WIP</v>
      </c>
      <c r="C148" s="482">
        <f>'PL BS'!J76</f>
        <v>61484090000</v>
      </c>
      <c r="D148" s="482">
        <f>'PL BS'!K76</f>
        <v>62098930000</v>
      </c>
      <c r="E148" s="692">
        <f>D148-C148</f>
        <v>614840000</v>
      </c>
    </row>
    <row r="149" spans="2:5">
      <c r="B149" s="2" t="str">
        <f>'PL BS'!A78</f>
        <v>Recievables / Debtors</v>
      </c>
      <c r="C149" s="482">
        <f>'PL BS'!J78</f>
        <v>7956070000</v>
      </c>
      <c r="D149" s="482">
        <f>'PL BS'!K78</f>
        <v>8818070000</v>
      </c>
      <c r="E149" s="692">
        <f>D149-C149</f>
        <v>862000000</v>
      </c>
    </row>
    <row r="150" spans="2:5">
      <c r="B150" s="2" t="str">
        <f>'PL BS'!A80</f>
        <v>Cash and Cash Equivalents</v>
      </c>
      <c r="C150" s="482">
        <f>'PL BS'!J80</f>
        <v>32354680000</v>
      </c>
      <c r="D150" s="482">
        <f>'PL BS'!K80</f>
        <v>37476810000</v>
      </c>
      <c r="E150" s="692">
        <f>D150-C150</f>
        <v>5122130000</v>
      </c>
    </row>
    <row r="151" spans="2:5">
      <c r="C151" s="482"/>
      <c r="D151" s="482"/>
      <c r="E151" s="692"/>
    </row>
    <row r="152" spans="2:5">
      <c r="B152" s="19" t="str">
        <f>B129</f>
        <v>CURRENT LIABILITIES:</v>
      </c>
      <c r="C152" s="693">
        <f>SUM(C148:C151)</f>
        <v>101794840000</v>
      </c>
      <c r="D152" s="693">
        <f>SUM(D148:D151)</f>
        <v>108393810000</v>
      </c>
      <c r="E152" s="694">
        <f>SUM(E148:E151)</f>
        <v>6598970000</v>
      </c>
    </row>
    <row r="153" spans="2:5">
      <c r="B153" s="19"/>
      <c r="C153" s="482"/>
      <c r="D153" s="482"/>
      <c r="E153" s="692"/>
    </row>
    <row r="154" spans="2:5">
      <c r="C154" s="482"/>
      <c r="D154" s="482"/>
      <c r="E154" s="692"/>
    </row>
    <row r="155" spans="2:5">
      <c r="B155" s="214" t="str">
        <f>B132</f>
        <v xml:space="preserve">Short Term Loan </v>
      </c>
      <c r="C155" s="482"/>
      <c r="D155" s="482"/>
      <c r="E155" s="692"/>
    </row>
    <row r="156" spans="2:5">
      <c r="C156" s="482"/>
      <c r="D156" s="482"/>
      <c r="E156" s="692"/>
    </row>
    <row r="157" spans="2:5">
      <c r="B157" s="2" t="str">
        <f>'PL BS'!A62</f>
        <v>Working capital Loan</v>
      </c>
      <c r="C157" s="482">
        <f>'PL BS'!J62</f>
        <v>45000000000</v>
      </c>
      <c r="D157" s="482">
        <f>'PL BS'!K62</f>
        <v>45000000000</v>
      </c>
      <c r="E157" s="692">
        <f>C157-D157</f>
        <v>0</v>
      </c>
    </row>
    <row r="158" spans="2:5">
      <c r="B158" s="2" t="str">
        <f>'PL BS'!A64</f>
        <v xml:space="preserve">Short Term Loan </v>
      </c>
      <c r="C158" s="482">
        <f>'PL BS'!J64</f>
        <v>0</v>
      </c>
      <c r="D158" s="482">
        <f>'PL BS'!K64</f>
        <v>0</v>
      </c>
      <c r="E158" s="692">
        <f>C158-D158</f>
        <v>0</v>
      </c>
    </row>
    <row r="159" spans="2:5">
      <c r="C159" s="482"/>
      <c r="D159" s="482"/>
      <c r="E159" s="692"/>
    </row>
    <row r="160" spans="2:5">
      <c r="B160" s="19" t="s">
        <v>511</v>
      </c>
      <c r="C160" s="693">
        <f>SUM(C156:C159)</f>
        <v>45000000000</v>
      </c>
      <c r="D160" s="693">
        <f>SUM(D156:D159)</f>
        <v>45000000000</v>
      </c>
      <c r="E160" s="694">
        <f>SUM(E156:E159)</f>
        <v>0</v>
      </c>
    </row>
    <row r="161" spans="2:5">
      <c r="C161" s="482"/>
      <c r="D161" s="482"/>
      <c r="E161" s="692"/>
    </row>
    <row r="162" spans="2:5">
      <c r="B162" s="19" t="s">
        <v>512</v>
      </c>
      <c r="C162" s="482">
        <f>C152-C160</f>
        <v>56794840000</v>
      </c>
      <c r="D162" s="482">
        <f>D152-D160</f>
        <v>63393810000</v>
      </c>
      <c r="E162" s="692"/>
    </row>
    <row r="163" spans="2:5" ht="15" thickBot="1">
      <c r="C163" s="482"/>
      <c r="D163" s="482"/>
      <c r="E163" s="692"/>
    </row>
    <row r="164" spans="2:5" ht="33.75" customHeight="1" thickBot="1">
      <c r="B164" s="365" t="s">
        <v>513</v>
      </c>
      <c r="C164" s="919">
        <f>D162-C162</f>
        <v>6598970000</v>
      </c>
      <c r="D164" s="919"/>
      <c r="E164" s="683">
        <f>E152+E160</f>
        <v>6598970000</v>
      </c>
    </row>
  </sheetData>
  <mergeCells count="9">
    <mergeCell ref="C115:D115"/>
    <mergeCell ref="C138:D138"/>
    <mergeCell ref="C164:D164"/>
    <mergeCell ref="B2:E2"/>
    <mergeCell ref="B4:E4"/>
    <mergeCell ref="C25:D25"/>
    <mergeCell ref="C47:D47"/>
    <mergeCell ref="C69:D69"/>
    <mergeCell ref="C92:D92"/>
  </mergeCells>
  <pageMargins left="0.33" right="0.17" top="0.42" bottom="0.23" header="0.3" footer="0.16"/>
  <pageSetup scale="91" orientation="portrait" horizontalDpi="0" verticalDpi="0" r:id="rId1"/>
  <rowBreaks count="2" manualBreakCount="2">
    <brk id="48" max="16383" man="1"/>
    <brk id="93" max="16383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FD249-82BD-440E-B1EC-7473B83AB173}">
  <sheetPr codeName="Sheet20"/>
  <dimension ref="A1:I55"/>
  <sheetViews>
    <sheetView zoomScaleNormal="100" workbookViewId="0">
      <selection activeCell="L14" sqref="L14"/>
    </sheetView>
  </sheetViews>
  <sheetFormatPr defaultColWidth="9.21875" defaultRowHeight="14.4"/>
  <cols>
    <col min="1" max="1" width="35.77734375" style="22" customWidth="1"/>
    <col min="2" max="2" width="16.77734375" style="22" customWidth="1"/>
    <col min="3" max="3" width="15.77734375" style="22" customWidth="1"/>
    <col min="4" max="4" width="16" style="22" customWidth="1"/>
    <col min="5" max="5" width="17.21875" style="22" customWidth="1"/>
    <col min="6" max="6" width="15.77734375" style="22" customWidth="1"/>
    <col min="7" max="7" width="16.44140625" style="22" customWidth="1"/>
    <col min="8" max="9" width="17.21875" style="22" customWidth="1"/>
    <col min="10" max="10" width="2.77734375" style="22" customWidth="1"/>
    <col min="11" max="16384" width="9.21875" style="22"/>
  </cols>
  <sheetData>
    <row r="1" spans="1:9">
      <c r="A1" s="921"/>
      <c r="B1" s="921"/>
      <c r="C1" s="921"/>
      <c r="D1" s="921"/>
      <c r="E1" s="921"/>
      <c r="F1" s="921"/>
      <c r="G1" s="921"/>
      <c r="H1" s="921"/>
    </row>
    <row r="2" spans="1:9">
      <c r="A2" s="915" t="str">
        <f>Assumptions!I17</f>
        <v>Doe Textiles</v>
      </c>
      <c r="B2" s="915"/>
      <c r="C2" s="915"/>
      <c r="D2" s="915"/>
      <c r="E2" s="915"/>
      <c r="F2" s="915"/>
      <c r="G2" s="915"/>
      <c r="H2" s="915"/>
      <c r="I2" s="915"/>
    </row>
    <row r="3" spans="1:9">
      <c r="A3" s="915" t="str">
        <f>Assumptions!I8</f>
        <v>John Doe</v>
      </c>
      <c r="B3" s="915"/>
      <c r="C3" s="915"/>
      <c r="D3" s="915"/>
      <c r="E3" s="915"/>
      <c r="F3" s="915"/>
      <c r="G3" s="915"/>
      <c r="H3" s="915"/>
      <c r="I3" s="915"/>
    </row>
    <row r="4" spans="1:9">
      <c r="A4" s="915" t="str">
        <f>Assumptions!I16</f>
        <v>123 Industrial Area, City</v>
      </c>
      <c r="B4" s="915"/>
      <c r="C4" s="915"/>
      <c r="D4" s="915"/>
      <c r="E4" s="915"/>
      <c r="F4" s="915"/>
      <c r="G4" s="915"/>
      <c r="H4" s="915"/>
      <c r="I4" s="915"/>
    </row>
    <row r="6" spans="1:9">
      <c r="A6" s="922" t="s">
        <v>171</v>
      </c>
      <c r="B6" s="922"/>
      <c r="C6" s="922"/>
      <c r="D6" s="922"/>
      <c r="E6" s="922"/>
      <c r="F6" s="922"/>
      <c r="G6" s="922"/>
      <c r="H6" s="922"/>
      <c r="I6" s="922"/>
    </row>
    <row r="8" spans="1:9">
      <c r="A8" s="35" t="s">
        <v>503</v>
      </c>
    </row>
    <row r="9" spans="1:9" ht="55.5" customHeight="1" thickBot="1">
      <c r="A9" s="235" t="s">
        <v>14</v>
      </c>
      <c r="B9" s="697" t="str">
        <f>IF('Final workings'!B7=0,"",Assumptions!I78)</f>
        <v>2024-25</v>
      </c>
      <c r="C9" s="697" t="str">
        <f>IF(Assumptions!I63=0,"",Assumptions!I79)</f>
        <v>2025-26</v>
      </c>
      <c r="D9" s="697" t="str">
        <f>Assumptions!I80</f>
        <v>2026-27</v>
      </c>
      <c r="E9" s="697" t="str">
        <f>Assumptions!I81</f>
        <v>2027-28</v>
      </c>
      <c r="F9" s="697" t="str">
        <f>Assumptions!I82</f>
        <v>2028-29</v>
      </c>
      <c r="G9" s="697" t="str">
        <f>Assumptions!I83</f>
        <v>2029-30</v>
      </c>
      <c r="H9" s="697" t="str">
        <f>Assumptions!I84</f>
        <v>2030-31</v>
      </c>
      <c r="I9" s="697" t="str">
        <f>Assumptions!I85</f>
        <v>2031-32</v>
      </c>
    </row>
    <row r="10" spans="1:9" ht="22.5" customHeight="1" thickTop="1">
      <c r="A10" s="31"/>
    </row>
    <row r="11" spans="1:9" ht="21" customHeight="1">
      <c r="A11" s="6" t="s">
        <v>115</v>
      </c>
      <c r="B11" s="464">
        <f>IF('Final workings'!B7=0,"",SUM('PL BS'!D75:D81))</f>
        <v>13828640000</v>
      </c>
      <c r="C11" s="464">
        <f>IF(Assumptions!I63=0,"",SUM('PL BS'!E75:E81))</f>
        <v>55670710000</v>
      </c>
      <c r="D11" s="464">
        <f>SUM('PL BS'!F75:F81)</f>
        <v>77880080000</v>
      </c>
      <c r="E11" s="464">
        <f>SUM('PL BS'!G75:G81)</f>
        <v>83087180000</v>
      </c>
      <c r="F11" s="464">
        <f>SUM('PL BS'!H75:H81)</f>
        <v>88631890000</v>
      </c>
      <c r="G11" s="464">
        <f>SUM('PL BS'!I75:I81)</f>
        <v>95023830000</v>
      </c>
      <c r="H11" s="464">
        <f>SUM('PL BS'!J75:J81)</f>
        <v>101794840000</v>
      </c>
      <c r="I11" s="464">
        <f>SUM('PL BS'!K75:K81)</f>
        <v>108393810000</v>
      </c>
    </row>
    <row r="12" spans="1:9" ht="21" customHeight="1">
      <c r="A12" s="6"/>
      <c r="B12" s="482"/>
      <c r="C12" s="482"/>
      <c r="D12" s="482"/>
      <c r="E12" s="482"/>
      <c r="F12" s="482"/>
      <c r="G12" s="482"/>
      <c r="H12" s="482"/>
      <c r="I12" s="482"/>
    </row>
    <row r="13" spans="1:9" ht="30.75" customHeight="1">
      <c r="A13" s="6" t="s">
        <v>116</v>
      </c>
      <c r="B13" s="464">
        <f>IF('Final workings'!B7=0,"",SUM('PL BS'!D63:D65))</f>
        <v>1400000000</v>
      </c>
      <c r="C13" s="464">
        <f>IF(Assumptions!I63=0,"",SUM('PL BS'!E63:E65))</f>
        <v>1400000000</v>
      </c>
      <c r="D13" s="464">
        <f>SUM('PL BS'!F63:F65)</f>
        <v>1400000000</v>
      </c>
      <c r="E13" s="464">
        <f>SUM('PL BS'!G63:G65)</f>
        <v>700000000</v>
      </c>
      <c r="F13" s="464">
        <f>SUM('PL BS'!H63:H65)</f>
        <v>0</v>
      </c>
      <c r="G13" s="464">
        <f>SUM('PL BS'!I63:I65)</f>
        <v>0</v>
      </c>
      <c r="H13" s="464">
        <f>SUM('PL BS'!J63:J65)</f>
        <v>0</v>
      </c>
      <c r="I13" s="464">
        <f>SUM('PL BS'!K63:K65)</f>
        <v>0</v>
      </c>
    </row>
    <row r="14" spans="1:9" ht="17.25" customHeight="1">
      <c r="A14" s="6" t="s">
        <v>502</v>
      </c>
      <c r="B14" s="482"/>
      <c r="C14" s="482"/>
      <c r="D14" s="482"/>
      <c r="E14" s="482"/>
      <c r="F14" s="482"/>
      <c r="G14" s="482"/>
      <c r="H14" s="482"/>
      <c r="I14" s="482"/>
    </row>
    <row r="15" spans="1:9" ht="17.25" customHeight="1">
      <c r="A15" s="6"/>
      <c r="B15" s="482"/>
      <c r="C15" s="482"/>
      <c r="D15" s="482"/>
      <c r="E15" s="482"/>
      <c r="F15" s="482"/>
      <c r="G15" s="482"/>
      <c r="H15" s="482"/>
      <c r="I15" s="482"/>
    </row>
    <row r="16" spans="1:9" ht="28.5" customHeight="1">
      <c r="A16" s="6" t="s">
        <v>117</v>
      </c>
      <c r="B16" s="464">
        <f>IF('Final workings'!B7=0,"",'MPBF '!B11-'MPBF '!B13)</f>
        <v>12428640000</v>
      </c>
      <c r="C16" s="464">
        <f>IF(Assumptions!I63=0,"",+C11-C13)</f>
        <v>54270710000</v>
      </c>
      <c r="D16" s="464">
        <f t="shared" ref="D16:I16" si="0">+D11-D13</f>
        <v>76480080000</v>
      </c>
      <c r="E16" s="464">
        <f t="shared" si="0"/>
        <v>82387180000</v>
      </c>
      <c r="F16" s="464">
        <f t="shared" si="0"/>
        <v>88631890000</v>
      </c>
      <c r="G16" s="464">
        <f t="shared" si="0"/>
        <v>95023830000</v>
      </c>
      <c r="H16" s="464">
        <f t="shared" si="0"/>
        <v>101794840000</v>
      </c>
      <c r="I16" s="464">
        <f t="shared" si="0"/>
        <v>108393810000</v>
      </c>
    </row>
    <row r="17" spans="1:9" ht="19.5" customHeight="1">
      <c r="A17" s="6"/>
      <c r="B17" s="482"/>
      <c r="C17" s="482"/>
      <c r="D17" s="482"/>
      <c r="E17" s="482"/>
      <c r="F17" s="482"/>
      <c r="G17" s="482"/>
      <c r="H17" s="482"/>
      <c r="I17" s="482"/>
    </row>
    <row r="18" spans="1:9" ht="19.5" customHeight="1">
      <c r="A18" s="6" t="s">
        <v>172</v>
      </c>
      <c r="B18" s="482"/>
      <c r="C18" s="482"/>
      <c r="D18" s="482"/>
      <c r="E18" s="482"/>
      <c r="F18" s="482"/>
      <c r="G18" s="482"/>
      <c r="H18" s="482"/>
      <c r="I18" s="482"/>
    </row>
    <row r="19" spans="1:9" ht="26.25" customHeight="1">
      <c r="A19" s="6" t="s">
        <v>173</v>
      </c>
      <c r="B19" s="464">
        <f>IF('Final workings'!B7=0,"",B16*0.25)</f>
        <v>3107160000</v>
      </c>
      <c r="C19" s="464">
        <f>IF(Assumptions!I63=0,"",+C16*0.25)</f>
        <v>13567677500</v>
      </c>
      <c r="D19" s="464">
        <f t="shared" ref="D19:I19" si="1">+D16*0.25</f>
        <v>19120020000</v>
      </c>
      <c r="E19" s="464">
        <f t="shared" si="1"/>
        <v>20596795000</v>
      </c>
      <c r="F19" s="464">
        <f t="shared" si="1"/>
        <v>22157972500</v>
      </c>
      <c r="G19" s="464">
        <f t="shared" si="1"/>
        <v>23755957500</v>
      </c>
      <c r="H19" s="464">
        <f t="shared" si="1"/>
        <v>25448710000</v>
      </c>
      <c r="I19" s="464">
        <f t="shared" si="1"/>
        <v>27098452500</v>
      </c>
    </row>
    <row r="20" spans="1:9" ht="18.75" customHeight="1">
      <c r="A20" s="6" t="s">
        <v>174</v>
      </c>
      <c r="B20" s="482"/>
      <c r="C20" s="482"/>
      <c r="D20" s="482"/>
      <c r="E20" s="482"/>
      <c r="F20" s="482"/>
      <c r="G20" s="482"/>
      <c r="H20" s="482"/>
      <c r="I20" s="482"/>
    </row>
    <row r="21" spans="1:9" ht="15">
      <c r="A21" s="6"/>
      <c r="B21" s="482"/>
      <c r="C21" s="482"/>
      <c r="D21" s="482"/>
      <c r="E21" s="482"/>
      <c r="F21" s="482"/>
      <c r="G21" s="482"/>
      <c r="H21" s="482"/>
      <c r="I21" s="482"/>
    </row>
    <row r="22" spans="1:9" ht="30.75" customHeight="1">
      <c r="A22" s="6" t="s">
        <v>118</v>
      </c>
      <c r="B22" s="464">
        <f>IF(Assumptions!I62=0,"",SUM('PL BS'!D75:D81)-SUM('PL BS'!D61:D65))</f>
        <v>6187280000</v>
      </c>
      <c r="C22" s="464">
        <f>IF(Assumptions!I63=0,"",SUM('PL BS'!E75:E81)-SUM('PL BS'!E61:E65))</f>
        <v>10824390000</v>
      </c>
      <c r="D22" s="464">
        <f>SUM('PL BS'!F75:F81)-SUM('PL BS'!F61:F65)</f>
        <v>31480080000</v>
      </c>
      <c r="E22" s="464">
        <f>SUM('PL BS'!G75:G81)-SUM('PL BS'!G61:G65)</f>
        <v>37387180000</v>
      </c>
      <c r="F22" s="464">
        <f>SUM('PL BS'!H75:H81)-SUM('PL BS'!H61:H65)</f>
        <v>43631890000</v>
      </c>
      <c r="G22" s="464">
        <f>SUM('PL BS'!I75:I81)-SUM('PL BS'!I61:I65)</f>
        <v>50023830000</v>
      </c>
      <c r="H22" s="464">
        <f>SUM('PL BS'!J75:J81)-SUM('PL BS'!J61:J65)</f>
        <v>56794840000</v>
      </c>
      <c r="I22" s="464">
        <f>SUM('PL BS'!K75:K81)-SUM('PL BS'!K61:K65)</f>
        <v>63393810000</v>
      </c>
    </row>
    <row r="23" spans="1:9" ht="15">
      <c r="A23" s="6"/>
      <c r="B23" s="482"/>
      <c r="C23" s="482"/>
      <c r="D23" s="482"/>
      <c r="E23" s="482"/>
      <c r="F23" s="482"/>
      <c r="G23" s="482"/>
      <c r="H23" s="482"/>
      <c r="I23" s="482"/>
    </row>
    <row r="24" spans="1:9" ht="27.75" customHeight="1">
      <c r="A24" s="6" t="s">
        <v>119</v>
      </c>
      <c r="B24" s="464">
        <f>IF('Final workings'!B7=0,"",B16-B19)</f>
        <v>9321480000</v>
      </c>
      <c r="C24" s="464">
        <f>IF(Assumptions!I63=0,"",+C16-C19)</f>
        <v>40703032500</v>
      </c>
      <c r="D24" s="464">
        <f t="shared" ref="D24:I24" si="2">+D16-D19</f>
        <v>57360060000</v>
      </c>
      <c r="E24" s="464">
        <f t="shared" si="2"/>
        <v>61790385000</v>
      </c>
      <c r="F24" s="464">
        <f t="shared" si="2"/>
        <v>66473917500</v>
      </c>
      <c r="G24" s="464">
        <f t="shared" si="2"/>
        <v>71267872500</v>
      </c>
      <c r="H24" s="464">
        <f t="shared" si="2"/>
        <v>76346130000</v>
      </c>
      <c r="I24" s="464">
        <f t="shared" si="2"/>
        <v>81295357500</v>
      </c>
    </row>
    <row r="25" spans="1:9" ht="15">
      <c r="A25" s="6"/>
      <c r="B25" s="482"/>
      <c r="C25" s="482"/>
      <c r="D25" s="482"/>
      <c r="E25" s="482"/>
      <c r="F25" s="482"/>
      <c r="G25" s="482"/>
      <c r="H25" s="482"/>
      <c r="I25" s="482"/>
    </row>
    <row r="26" spans="1:9" ht="31.5" customHeight="1">
      <c r="A26" s="6" t="s">
        <v>120</v>
      </c>
      <c r="B26" s="464">
        <f>IF('Final workings'!B7=0,"",B16-B22)</f>
        <v>6241360000</v>
      </c>
      <c r="C26" s="464">
        <f>IF(Assumptions!I63=0,"",C16-C22)</f>
        <v>43446320000</v>
      </c>
      <c r="D26" s="464">
        <f t="shared" ref="D26:I26" si="3">D16-D22</f>
        <v>45000000000</v>
      </c>
      <c r="E26" s="464">
        <f t="shared" si="3"/>
        <v>45000000000</v>
      </c>
      <c r="F26" s="464">
        <f t="shared" si="3"/>
        <v>45000000000</v>
      </c>
      <c r="G26" s="464">
        <f t="shared" si="3"/>
        <v>45000000000</v>
      </c>
      <c r="H26" s="464">
        <f t="shared" si="3"/>
        <v>45000000000</v>
      </c>
      <c r="I26" s="464">
        <f t="shared" si="3"/>
        <v>45000000000</v>
      </c>
    </row>
    <row r="27" spans="1:9" ht="15">
      <c r="A27" s="6"/>
      <c r="B27" s="482"/>
      <c r="C27" s="482"/>
      <c r="D27" s="482"/>
      <c r="E27" s="482"/>
      <c r="F27" s="482"/>
      <c r="G27" s="482"/>
      <c r="H27" s="482"/>
      <c r="I27" s="482"/>
    </row>
    <row r="28" spans="1:9" ht="30.75" customHeight="1">
      <c r="A28" s="696" t="s">
        <v>121</v>
      </c>
      <c r="B28" s="464">
        <f t="shared" ref="B28:H28" si="4">IF(B24&lt;B26,B24,B26)</f>
        <v>6241360000</v>
      </c>
      <c r="C28" s="464">
        <f t="shared" si="4"/>
        <v>40703032500</v>
      </c>
      <c r="D28" s="464">
        <f t="shared" si="4"/>
        <v>45000000000</v>
      </c>
      <c r="E28" s="464">
        <f t="shared" si="4"/>
        <v>45000000000</v>
      </c>
      <c r="F28" s="464">
        <f t="shared" si="4"/>
        <v>45000000000</v>
      </c>
      <c r="G28" s="464">
        <f t="shared" si="4"/>
        <v>45000000000</v>
      </c>
      <c r="H28" s="464">
        <f t="shared" si="4"/>
        <v>45000000000</v>
      </c>
      <c r="I28" s="464">
        <f>IF(I24&lt;I26,I24,I26)</f>
        <v>45000000000</v>
      </c>
    </row>
    <row r="29" spans="1:9" ht="15">
      <c r="A29" s="696" t="s">
        <v>122</v>
      </c>
    </row>
    <row r="30" spans="1:9" ht="15" thickBot="1">
      <c r="A30" s="353"/>
      <c r="B30" s="354"/>
      <c r="C30" s="354"/>
      <c r="D30" s="354"/>
      <c r="E30" s="354"/>
      <c r="F30" s="354"/>
      <c r="G30" s="354"/>
      <c r="H30" s="354"/>
      <c r="I30" s="354"/>
    </row>
    <row r="31" spans="1:9">
      <c r="A31" s="23"/>
    </row>
    <row r="32" spans="1:9">
      <c r="A32" s="23"/>
    </row>
    <row r="33" spans="1:9">
      <c r="A33" s="32" t="s">
        <v>504</v>
      </c>
    </row>
    <row r="34" spans="1:9" ht="54.75" customHeight="1" thickBot="1">
      <c r="A34" s="235" t="s">
        <v>14</v>
      </c>
      <c r="B34" s="697" t="str">
        <f>IF(Assumptions!I62=0,"",+B9)</f>
        <v>2024-25</v>
      </c>
      <c r="C34" s="697" t="str">
        <f>IF(Assumptions!I63=0,"",+C9)</f>
        <v>2025-26</v>
      </c>
      <c r="D34" s="697" t="str">
        <f t="shared" ref="D34:I34" si="5">+D9</f>
        <v>2026-27</v>
      </c>
      <c r="E34" s="697" t="str">
        <f t="shared" si="5"/>
        <v>2027-28</v>
      </c>
      <c r="F34" s="697" t="str">
        <f t="shared" si="5"/>
        <v>2028-29</v>
      </c>
      <c r="G34" s="697" t="str">
        <f t="shared" si="5"/>
        <v>2029-30</v>
      </c>
      <c r="H34" s="697" t="str">
        <f t="shared" si="5"/>
        <v>2030-31</v>
      </c>
      <c r="I34" s="697" t="str">
        <f t="shared" si="5"/>
        <v>2031-32</v>
      </c>
    </row>
    <row r="35" spans="1:9" ht="15" thickTop="1">
      <c r="A35" s="31"/>
    </row>
    <row r="36" spans="1:9" ht="24.75" customHeight="1">
      <c r="A36" s="6" t="s">
        <v>115</v>
      </c>
      <c r="B36" s="464">
        <f>IF(Assumptions!I62=0,"",B11)</f>
        <v>13828640000</v>
      </c>
      <c r="C36" s="464">
        <f>IF(Assumptions!I63=0,"",+SUM('Workings for PL BS 1'!E35:E37))</f>
        <v>55670710968.75</v>
      </c>
      <c r="D36" s="464">
        <f t="shared" ref="D36:I36" si="6">D11</f>
        <v>77880080000</v>
      </c>
      <c r="E36" s="464">
        <f t="shared" si="6"/>
        <v>83087180000</v>
      </c>
      <c r="F36" s="464">
        <f t="shared" si="6"/>
        <v>88631890000</v>
      </c>
      <c r="G36" s="464">
        <f t="shared" si="6"/>
        <v>95023830000</v>
      </c>
      <c r="H36" s="464">
        <f t="shared" si="6"/>
        <v>101794840000</v>
      </c>
      <c r="I36" s="464">
        <f t="shared" si="6"/>
        <v>108393810000</v>
      </c>
    </row>
    <row r="37" spans="1:9" ht="15">
      <c r="A37" s="6"/>
      <c r="B37" s="482"/>
      <c r="C37" s="482"/>
      <c r="D37" s="482"/>
      <c r="E37" s="482"/>
      <c r="F37" s="482"/>
      <c r="G37" s="482"/>
      <c r="H37" s="482"/>
      <c r="I37" s="482"/>
    </row>
    <row r="38" spans="1:9" ht="27" customHeight="1">
      <c r="A38" s="6" t="s">
        <v>116</v>
      </c>
      <c r="B38" s="464">
        <f>IF(Assumptions!I62=0,"",B13)</f>
        <v>1400000000</v>
      </c>
      <c r="C38" s="464">
        <f>IF(Assumptions!I63=0,"",C13)</f>
        <v>1400000000</v>
      </c>
      <c r="D38" s="464">
        <f t="shared" ref="D38:I38" si="7">D13</f>
        <v>1400000000</v>
      </c>
      <c r="E38" s="464">
        <f t="shared" si="7"/>
        <v>700000000</v>
      </c>
      <c r="F38" s="464">
        <f t="shared" si="7"/>
        <v>0</v>
      </c>
      <c r="G38" s="464">
        <f t="shared" si="7"/>
        <v>0</v>
      </c>
      <c r="H38" s="464">
        <f t="shared" si="7"/>
        <v>0</v>
      </c>
      <c r="I38" s="464">
        <f t="shared" si="7"/>
        <v>0</v>
      </c>
    </row>
    <row r="39" spans="1:9" ht="15">
      <c r="A39" s="6" t="s">
        <v>502</v>
      </c>
      <c r="B39" s="482"/>
      <c r="C39" s="482"/>
      <c r="D39" s="482"/>
      <c r="E39" s="482"/>
      <c r="F39" s="482"/>
      <c r="G39" s="482"/>
      <c r="H39" s="482"/>
      <c r="I39" s="482"/>
    </row>
    <row r="40" spans="1:9" ht="15">
      <c r="A40" s="6"/>
      <c r="B40" s="482"/>
      <c r="C40" s="482"/>
      <c r="D40" s="482"/>
      <c r="E40" s="482"/>
      <c r="F40" s="482"/>
      <c r="G40" s="482"/>
      <c r="H40" s="482"/>
      <c r="I40" s="482"/>
    </row>
    <row r="41" spans="1:9" ht="26.25" customHeight="1">
      <c r="A41" s="6" t="s">
        <v>117</v>
      </c>
      <c r="B41" s="464">
        <f>IF(Assumptions!I62=0,"",+B36-B38)</f>
        <v>12428640000</v>
      </c>
      <c r="C41" s="464">
        <f>IF(Assumptions!I63=0,"",+C36-C38)</f>
        <v>54270710968.75</v>
      </c>
      <c r="D41" s="464">
        <f t="shared" ref="D41:I41" si="8">+D36-D38</f>
        <v>76480080000</v>
      </c>
      <c r="E41" s="464">
        <f t="shared" si="8"/>
        <v>82387180000</v>
      </c>
      <c r="F41" s="464">
        <f t="shared" si="8"/>
        <v>88631890000</v>
      </c>
      <c r="G41" s="464">
        <f t="shared" si="8"/>
        <v>95023830000</v>
      </c>
      <c r="H41" s="464">
        <f t="shared" si="8"/>
        <v>101794840000</v>
      </c>
      <c r="I41" s="464">
        <f t="shared" si="8"/>
        <v>108393810000</v>
      </c>
    </row>
    <row r="42" spans="1:9" ht="15">
      <c r="A42" s="6"/>
      <c r="B42" s="482"/>
      <c r="C42" s="482"/>
      <c r="D42" s="482"/>
      <c r="E42" s="482"/>
      <c r="F42" s="482"/>
      <c r="G42" s="482"/>
      <c r="H42" s="482"/>
      <c r="I42" s="482"/>
    </row>
    <row r="43" spans="1:9" s="30" customFormat="1" ht="15">
      <c r="A43" s="62" t="s">
        <v>172</v>
      </c>
      <c r="B43" s="695"/>
      <c r="C43" s="695"/>
      <c r="D43" s="695"/>
      <c r="E43" s="695"/>
      <c r="F43" s="695"/>
      <c r="G43" s="695"/>
      <c r="H43" s="695"/>
      <c r="I43" s="695"/>
    </row>
    <row r="44" spans="1:9" s="30" customFormat="1" ht="23.25" customHeight="1">
      <c r="A44" s="62" t="s">
        <v>217</v>
      </c>
      <c r="B44" s="688">
        <f>IF(Assumptions!I62=0,"",+B36*0.25)</f>
        <v>3457160000</v>
      </c>
      <c r="C44" s="688">
        <f>IF(Assumptions!I63=0,"",+C36*0.25)</f>
        <v>13917677742.1875</v>
      </c>
      <c r="D44" s="688">
        <f t="shared" ref="D44:I44" si="9">+D36*0.25</f>
        <v>19470020000</v>
      </c>
      <c r="E44" s="688">
        <f t="shared" si="9"/>
        <v>20771795000</v>
      </c>
      <c r="F44" s="688">
        <f t="shared" si="9"/>
        <v>22157972500</v>
      </c>
      <c r="G44" s="688">
        <f t="shared" si="9"/>
        <v>23755957500</v>
      </c>
      <c r="H44" s="688">
        <f t="shared" si="9"/>
        <v>25448710000</v>
      </c>
      <c r="I44" s="688">
        <f t="shared" si="9"/>
        <v>27098452500</v>
      </c>
    </row>
    <row r="45" spans="1:9" ht="15">
      <c r="A45" s="6"/>
      <c r="B45" s="482"/>
      <c r="C45" s="482"/>
      <c r="D45" s="482"/>
      <c r="E45" s="482"/>
      <c r="F45" s="482"/>
      <c r="G45" s="482"/>
      <c r="H45" s="482"/>
      <c r="I45" s="482"/>
    </row>
    <row r="46" spans="1:9" ht="15">
      <c r="A46" s="6"/>
      <c r="B46" s="482"/>
      <c r="C46" s="482"/>
      <c r="D46" s="482"/>
      <c r="E46" s="482"/>
      <c r="F46" s="482"/>
      <c r="G46" s="482"/>
      <c r="H46" s="482"/>
      <c r="I46" s="482"/>
    </row>
    <row r="47" spans="1:9" ht="27.75" customHeight="1">
      <c r="A47" s="6" t="s">
        <v>118</v>
      </c>
      <c r="B47" s="464">
        <f t="shared" ref="B47:I47" si="10">B22</f>
        <v>6187280000</v>
      </c>
      <c r="C47" s="464">
        <f t="shared" si="10"/>
        <v>10824390000</v>
      </c>
      <c r="D47" s="464">
        <f t="shared" si="10"/>
        <v>31480080000</v>
      </c>
      <c r="E47" s="464">
        <f t="shared" si="10"/>
        <v>37387180000</v>
      </c>
      <c r="F47" s="464">
        <f t="shared" si="10"/>
        <v>43631890000</v>
      </c>
      <c r="G47" s="464">
        <f t="shared" si="10"/>
        <v>50023830000</v>
      </c>
      <c r="H47" s="464">
        <f t="shared" si="10"/>
        <v>56794840000</v>
      </c>
      <c r="I47" s="464">
        <f t="shared" si="10"/>
        <v>63393810000</v>
      </c>
    </row>
    <row r="48" spans="1:9" ht="15">
      <c r="A48" s="6"/>
      <c r="B48" s="482"/>
      <c r="C48" s="482"/>
      <c r="D48" s="482"/>
      <c r="E48" s="482"/>
      <c r="F48" s="482"/>
      <c r="G48" s="482"/>
      <c r="H48" s="482"/>
      <c r="I48" s="482"/>
    </row>
    <row r="49" spans="1:9" ht="33" customHeight="1">
      <c r="A49" s="6" t="s">
        <v>119</v>
      </c>
      <c r="B49" s="464">
        <f>IF(Assumptions!I62=0,"",+B41-B44)</f>
        <v>8971480000</v>
      </c>
      <c r="C49" s="464">
        <f>IF(Assumptions!I63=0,"",+C41-C44)</f>
        <v>40353033226.5625</v>
      </c>
      <c r="D49" s="464">
        <f t="shared" ref="D49:I49" si="11">+D41-D44</f>
        <v>57010060000</v>
      </c>
      <c r="E49" s="464">
        <f t="shared" si="11"/>
        <v>61615385000</v>
      </c>
      <c r="F49" s="464">
        <f t="shared" si="11"/>
        <v>66473917500</v>
      </c>
      <c r="G49" s="464">
        <f t="shared" si="11"/>
        <v>71267872500</v>
      </c>
      <c r="H49" s="464">
        <f t="shared" si="11"/>
        <v>76346130000</v>
      </c>
      <c r="I49" s="464">
        <f t="shared" si="11"/>
        <v>81295357500</v>
      </c>
    </row>
    <row r="50" spans="1:9" ht="15">
      <c r="A50" s="6"/>
      <c r="B50" s="482"/>
      <c r="C50" s="482"/>
      <c r="D50" s="482"/>
      <c r="E50" s="482"/>
      <c r="F50" s="482"/>
      <c r="G50" s="482"/>
      <c r="H50" s="482"/>
      <c r="I50" s="482"/>
    </row>
    <row r="51" spans="1:9" ht="29.25" customHeight="1">
      <c r="A51" s="6" t="s">
        <v>120</v>
      </c>
      <c r="B51" s="464">
        <f>IF(Assumptions!I62=0,"",B41-B47)</f>
        <v>6241360000</v>
      </c>
      <c r="C51" s="464">
        <f>IF(Assumptions!I63=0,"",C41-C47)</f>
        <v>43446320968.75</v>
      </c>
      <c r="D51" s="464">
        <f t="shared" ref="D51:I51" si="12">D41-D47</f>
        <v>45000000000</v>
      </c>
      <c r="E51" s="464">
        <f t="shared" si="12"/>
        <v>45000000000</v>
      </c>
      <c r="F51" s="464">
        <f t="shared" si="12"/>
        <v>45000000000</v>
      </c>
      <c r="G51" s="464">
        <f t="shared" si="12"/>
        <v>45000000000</v>
      </c>
      <c r="H51" s="464">
        <f t="shared" si="12"/>
        <v>45000000000</v>
      </c>
      <c r="I51" s="464">
        <f t="shared" si="12"/>
        <v>45000000000</v>
      </c>
    </row>
    <row r="52" spans="1:9" ht="15">
      <c r="A52" s="6"/>
      <c r="B52" s="482"/>
      <c r="C52" s="482"/>
      <c r="D52" s="482"/>
      <c r="E52" s="482"/>
      <c r="F52" s="482"/>
      <c r="G52" s="482"/>
      <c r="H52" s="482"/>
      <c r="I52" s="482"/>
    </row>
    <row r="53" spans="1:9" ht="27" customHeight="1">
      <c r="A53" s="696" t="s">
        <v>121</v>
      </c>
      <c r="B53" s="464">
        <f t="shared" ref="B53:I53" si="13">IF(B49&lt;B51,B49,B51)</f>
        <v>6241360000</v>
      </c>
      <c r="C53" s="464">
        <f t="shared" si="13"/>
        <v>40353033226.5625</v>
      </c>
      <c r="D53" s="464">
        <f t="shared" si="13"/>
        <v>45000000000</v>
      </c>
      <c r="E53" s="464">
        <f t="shared" si="13"/>
        <v>45000000000</v>
      </c>
      <c r="F53" s="464">
        <f t="shared" si="13"/>
        <v>45000000000</v>
      </c>
      <c r="G53" s="464">
        <f t="shared" si="13"/>
        <v>45000000000</v>
      </c>
      <c r="H53" s="464">
        <f t="shared" si="13"/>
        <v>45000000000</v>
      </c>
      <c r="I53" s="464">
        <f t="shared" si="13"/>
        <v>45000000000</v>
      </c>
    </row>
    <row r="54" spans="1:9" ht="15">
      <c r="A54" s="696" t="s">
        <v>122</v>
      </c>
    </row>
    <row r="55" spans="1:9" ht="15" thickBot="1">
      <c r="A55" s="354"/>
      <c r="B55" s="354"/>
      <c r="C55" s="354"/>
      <c r="D55" s="354"/>
      <c r="E55" s="354"/>
      <c r="F55" s="354"/>
      <c r="G55" s="354"/>
      <c r="H55" s="354"/>
      <c r="I55" s="354"/>
    </row>
  </sheetData>
  <mergeCells count="5">
    <mergeCell ref="A1:H1"/>
    <mergeCell ref="A6:I6"/>
    <mergeCell ref="A2:I2"/>
    <mergeCell ref="A3:I3"/>
    <mergeCell ref="A4:I4"/>
  </mergeCells>
  <pageMargins left="0.15748031496062992" right="0.15748031496062992" top="0.44" bottom="0.4" header="0.31496062992125984" footer="0.31496062992125984"/>
  <pageSetup scale="60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8A7EB-466D-42E7-8DD6-0880E948E4C7}">
  <sheetPr codeName="Sheet21"/>
  <dimension ref="A2:I30"/>
  <sheetViews>
    <sheetView view="pageBreakPreview" zoomScale="60" zoomScaleNormal="100" workbookViewId="0">
      <selection activeCell="P23" sqref="P23"/>
    </sheetView>
  </sheetViews>
  <sheetFormatPr defaultColWidth="9.21875" defaultRowHeight="14.4"/>
  <cols>
    <col min="1" max="1" width="28.77734375" style="2" customWidth="1"/>
    <col min="2" max="2" width="16.21875" style="2" customWidth="1"/>
    <col min="3" max="3" width="15" style="2" customWidth="1"/>
    <col min="4" max="4" width="15.77734375" style="2" customWidth="1"/>
    <col min="5" max="5" width="15.5546875" style="2" customWidth="1"/>
    <col min="6" max="6" width="15.44140625" style="2" customWidth="1"/>
    <col min="7" max="7" width="15.77734375" style="2" customWidth="1"/>
    <col min="8" max="8" width="16.44140625" style="2" customWidth="1"/>
    <col min="9" max="9" width="15.5546875" style="2" customWidth="1"/>
    <col min="10" max="10" width="3" style="2" customWidth="1"/>
    <col min="11" max="16384" width="9.21875" style="2"/>
  </cols>
  <sheetData>
    <row r="2" spans="1:9" ht="20.25" customHeight="1">
      <c r="A2" s="882" t="str">
        <f>IRR!B2</f>
        <v>Doe Textiles</v>
      </c>
      <c r="B2" s="882"/>
      <c r="C2" s="882"/>
      <c r="D2" s="882"/>
      <c r="E2" s="882"/>
      <c r="F2" s="882"/>
      <c r="G2" s="882"/>
      <c r="H2" s="882"/>
      <c r="I2" s="882"/>
    </row>
    <row r="3" spans="1:9" ht="18.75" customHeight="1">
      <c r="A3" s="882" t="str">
        <f>IRR!B3</f>
        <v>John Doe</v>
      </c>
      <c r="B3" s="882"/>
      <c r="C3" s="882"/>
      <c r="D3" s="882"/>
      <c r="E3" s="882"/>
      <c r="F3" s="882"/>
      <c r="G3" s="882"/>
      <c r="H3" s="882"/>
      <c r="I3" s="882"/>
    </row>
    <row r="4" spans="1:9" ht="21.75" customHeight="1">
      <c r="A4" s="882" t="str">
        <f>IRR!B4</f>
        <v>123 Industrial Area, City</v>
      </c>
      <c r="B4" s="882"/>
      <c r="C4" s="882"/>
      <c r="D4" s="882"/>
      <c r="E4" s="882"/>
      <c r="F4" s="882"/>
      <c r="G4" s="882"/>
      <c r="H4" s="882"/>
      <c r="I4" s="882"/>
    </row>
    <row r="7" spans="1:9" ht="22.5" customHeight="1">
      <c r="A7" s="924" t="s">
        <v>244</v>
      </c>
      <c r="B7" s="924"/>
      <c r="C7" s="924"/>
      <c r="D7" s="924"/>
      <c r="E7" s="924"/>
      <c r="F7" s="924"/>
      <c r="G7" s="924"/>
      <c r="H7" s="924"/>
      <c r="I7" s="924"/>
    </row>
    <row r="8" spans="1:9">
      <c r="A8" s="855" t="s">
        <v>611</v>
      </c>
      <c r="B8" s="855"/>
      <c r="C8" s="855"/>
      <c r="D8" s="855"/>
      <c r="E8" s="855"/>
      <c r="F8" s="855"/>
      <c r="G8" s="855"/>
      <c r="H8" s="855"/>
      <c r="I8" s="855"/>
    </row>
    <row r="9" spans="1:9">
      <c r="A9" s="19"/>
      <c r="B9" s="19"/>
      <c r="C9" s="19"/>
    </row>
    <row r="11" spans="1:9" ht="44.25" customHeight="1" thickBot="1">
      <c r="A11" s="698" t="s">
        <v>0</v>
      </c>
      <c r="B11" s="225" t="str">
        <f>IF('Final workings'!B7=0,"",Assumptions!I78)</f>
        <v>2024-25</v>
      </c>
      <c r="C11" s="226" t="str">
        <f>IF(Assumptions!I63=0,"",'MPBF '!C9)</f>
        <v>2025-26</v>
      </c>
      <c r="D11" s="226" t="str">
        <f>'MPBF '!D9</f>
        <v>2026-27</v>
      </c>
      <c r="E11" s="226" t="str">
        <f>'MPBF '!E9</f>
        <v>2027-28</v>
      </c>
      <c r="F11" s="226" t="str">
        <f>'MPBF '!F9</f>
        <v>2028-29</v>
      </c>
      <c r="G11" s="226" t="str">
        <f>'MPBF '!G9</f>
        <v>2029-30</v>
      </c>
      <c r="H11" s="226" t="str">
        <f>'MPBF '!H9</f>
        <v>2030-31</v>
      </c>
      <c r="I11" s="226" t="str">
        <f>'MPBF '!I9</f>
        <v>2031-32</v>
      </c>
    </row>
    <row r="13" spans="1:9" ht="25.5" customHeight="1">
      <c r="A13" s="19" t="s">
        <v>26</v>
      </c>
      <c r="B13" s="482">
        <f>IF('Final workings'!B7=0,"",'PL BS'!D14)</f>
        <v>27534150000</v>
      </c>
      <c r="C13" s="482">
        <f>IF(Assumptions!I63=0,"",'PL BS'!E14)</f>
        <v>-8573600000</v>
      </c>
      <c r="D13" s="482">
        <f>'PL BS'!F14</f>
        <v>44750180000</v>
      </c>
      <c r="E13" s="482">
        <f>'PL BS'!G14</f>
        <v>46822650000</v>
      </c>
      <c r="F13" s="482">
        <f>'PL BS'!H14</f>
        <v>48895300000</v>
      </c>
      <c r="G13" s="482">
        <f>'PL BS'!I14</f>
        <v>50967900000</v>
      </c>
      <c r="H13" s="482">
        <f>'PL BS'!J14</f>
        <v>53040460000</v>
      </c>
      <c r="I13" s="482">
        <f>'PL BS'!K14</f>
        <v>55112960000</v>
      </c>
    </row>
    <row r="14" spans="1:9">
      <c r="A14" s="19"/>
      <c r="B14" s="482"/>
      <c r="C14" s="482"/>
      <c r="D14" s="482"/>
      <c r="E14" s="482"/>
      <c r="F14" s="482"/>
      <c r="G14" s="482"/>
      <c r="H14" s="482"/>
      <c r="I14" s="482"/>
    </row>
    <row r="15" spans="1:9" ht="27.75" customHeight="1">
      <c r="A15" s="19" t="s">
        <v>505</v>
      </c>
      <c r="B15" s="482">
        <f>IF('Final workings'!B7=0,"",B13*25%)</f>
        <v>6883537500</v>
      </c>
      <c r="C15" s="482">
        <f>IF(Assumptions!I63=0,"",C13*25%)</f>
        <v>-2143400000</v>
      </c>
      <c r="D15" s="482">
        <f t="shared" ref="D15:I15" si="0">D13*25%</f>
        <v>11187545000</v>
      </c>
      <c r="E15" s="482">
        <f t="shared" si="0"/>
        <v>11705662500</v>
      </c>
      <c r="F15" s="482">
        <f t="shared" si="0"/>
        <v>12223825000</v>
      </c>
      <c r="G15" s="482">
        <f t="shared" si="0"/>
        <v>12741975000</v>
      </c>
      <c r="H15" s="482">
        <f t="shared" si="0"/>
        <v>13260115000</v>
      </c>
      <c r="I15" s="482">
        <f t="shared" si="0"/>
        <v>13778240000</v>
      </c>
    </row>
    <row r="16" spans="1:9">
      <c r="A16" s="19" t="s">
        <v>245</v>
      </c>
      <c r="B16" s="482"/>
      <c r="C16" s="482"/>
      <c r="D16" s="482"/>
      <c r="E16" s="482"/>
      <c r="F16" s="482"/>
      <c r="G16" s="482"/>
      <c r="H16" s="482"/>
      <c r="I16" s="482"/>
    </row>
    <row r="17" spans="1:9">
      <c r="A17" s="19"/>
      <c r="B17" s="482"/>
      <c r="C17" s="482"/>
      <c r="D17" s="482"/>
      <c r="E17" s="482"/>
      <c r="F17" s="482"/>
      <c r="G17" s="482"/>
      <c r="H17" s="482"/>
      <c r="I17" s="482"/>
    </row>
    <row r="18" spans="1:9" ht="25.5" customHeight="1">
      <c r="A18" s="19" t="s">
        <v>246</v>
      </c>
      <c r="B18" s="482">
        <f>IF('Final workings'!B7=0,"",B15*80%)</f>
        <v>5506830000</v>
      </c>
      <c r="C18" s="482">
        <f>IF(Assumptions!I63=0,"",C15*80%)</f>
        <v>-1714720000</v>
      </c>
      <c r="D18" s="482">
        <f t="shared" ref="D18:I18" si="1">D15*80%</f>
        <v>8950036000</v>
      </c>
      <c r="E18" s="482">
        <f t="shared" si="1"/>
        <v>9364530000</v>
      </c>
      <c r="F18" s="482">
        <f t="shared" si="1"/>
        <v>9779060000</v>
      </c>
      <c r="G18" s="482">
        <f t="shared" si="1"/>
        <v>10193580000</v>
      </c>
      <c r="H18" s="482">
        <f t="shared" si="1"/>
        <v>10608092000</v>
      </c>
      <c r="I18" s="482">
        <f t="shared" si="1"/>
        <v>11022592000</v>
      </c>
    </row>
    <row r="19" spans="1:9">
      <c r="A19" s="19" t="s">
        <v>247</v>
      </c>
      <c r="B19" s="482"/>
      <c r="C19" s="482"/>
      <c r="D19" s="482"/>
      <c r="E19" s="482"/>
      <c r="F19" s="482"/>
      <c r="G19" s="482"/>
      <c r="H19" s="482"/>
      <c r="I19" s="482"/>
    </row>
    <row r="20" spans="1:9">
      <c r="A20" s="19"/>
      <c r="B20" s="482"/>
      <c r="C20" s="482"/>
      <c r="D20" s="482"/>
      <c r="E20" s="482"/>
      <c r="F20" s="482"/>
      <c r="G20" s="482"/>
      <c r="H20" s="482"/>
      <c r="I20" s="482"/>
    </row>
    <row r="21" spans="1:9" ht="26.25" customHeight="1">
      <c r="A21" s="19" t="s">
        <v>248</v>
      </c>
      <c r="B21" s="482">
        <f>IF('Final workings'!B7=0,"",'PL BS'!D62)</f>
        <v>6241360000</v>
      </c>
      <c r="C21" s="482">
        <f>IF(Assumptions!I63=0,"",'PL BS'!E62)</f>
        <v>43446320000</v>
      </c>
      <c r="D21" s="482">
        <f>'PL BS'!F62</f>
        <v>45000000000</v>
      </c>
      <c r="E21" s="482">
        <f>'PL BS'!G62</f>
        <v>45000000000</v>
      </c>
      <c r="F21" s="482">
        <f>'PL BS'!H62</f>
        <v>45000000000</v>
      </c>
      <c r="G21" s="482">
        <f>'PL BS'!I62</f>
        <v>45000000000</v>
      </c>
      <c r="H21" s="482">
        <f>'PL BS'!J62</f>
        <v>45000000000</v>
      </c>
      <c r="I21" s="482">
        <f>'PL BS'!K62</f>
        <v>45000000000</v>
      </c>
    </row>
    <row r="22" spans="1:9">
      <c r="A22" s="19"/>
      <c r="B22" s="482"/>
      <c r="C22" s="482"/>
      <c r="D22" s="482"/>
      <c r="E22" s="482"/>
      <c r="F22" s="482"/>
      <c r="G22" s="482"/>
      <c r="H22" s="482"/>
      <c r="I22" s="482"/>
    </row>
    <row r="23" spans="1:9" ht="26.25" customHeight="1">
      <c r="A23" s="19" t="s">
        <v>249</v>
      </c>
      <c r="B23" s="464">
        <f t="shared" ref="B23:H23" si="2">IF(B18&lt;B21,B18,B21)</f>
        <v>5506830000</v>
      </c>
      <c r="C23" s="464">
        <f t="shared" si="2"/>
        <v>-1714720000</v>
      </c>
      <c r="D23" s="464">
        <f t="shared" si="2"/>
        <v>8950036000</v>
      </c>
      <c r="E23" s="464">
        <f t="shared" si="2"/>
        <v>9364530000</v>
      </c>
      <c r="F23" s="464">
        <f t="shared" si="2"/>
        <v>9779060000</v>
      </c>
      <c r="G23" s="464">
        <f t="shared" si="2"/>
        <v>10193580000</v>
      </c>
      <c r="H23" s="464">
        <f t="shared" si="2"/>
        <v>10608092000</v>
      </c>
      <c r="I23" s="464">
        <f>IF(I18&lt;I21,I18,I21)</f>
        <v>11022592000</v>
      </c>
    </row>
    <row r="24" spans="1:9" ht="15" thickBot="1">
      <c r="A24" s="3"/>
      <c r="B24" s="3"/>
      <c r="C24" s="3"/>
      <c r="D24" s="3"/>
      <c r="E24" s="3"/>
      <c r="F24" s="3"/>
      <c r="G24" s="3"/>
      <c r="H24" s="3"/>
      <c r="I24" s="3"/>
    </row>
    <row r="27" spans="1:9" ht="16.2">
      <c r="A27" s="357" t="s">
        <v>250</v>
      </c>
      <c r="B27" s="358"/>
      <c r="C27" s="358"/>
    </row>
    <row r="28" spans="1:9" ht="15">
      <c r="A28" s="531" t="s">
        <v>251</v>
      </c>
      <c r="B28" s="531"/>
      <c r="C28" s="531"/>
    </row>
    <row r="29" spans="1:9" ht="15">
      <c r="A29" s="923" t="s">
        <v>252</v>
      </c>
      <c r="B29" s="923"/>
      <c r="C29" s="923"/>
    </row>
    <row r="30" spans="1:9" ht="15">
      <c r="A30" s="22"/>
      <c r="B30" s="22"/>
      <c r="C30" s="22"/>
    </row>
  </sheetData>
  <mergeCells count="6">
    <mergeCell ref="A8:I8"/>
    <mergeCell ref="A29:C29"/>
    <mergeCell ref="A7:I7"/>
    <mergeCell ref="A2:I2"/>
    <mergeCell ref="A3:I3"/>
    <mergeCell ref="A4:I4"/>
  </mergeCells>
  <pageMargins left="0.15748031496062992" right="0.15748031496062992" top="0.74803149606299213" bottom="0.74803149606299213" header="0.31496062992125984" footer="0.31496062992125984"/>
  <pageSetup scale="67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11988-149F-4017-88AA-1D2D29DEF8C8}">
  <sheetPr codeName="Sheet22"/>
  <dimension ref="A1:K39"/>
  <sheetViews>
    <sheetView view="pageBreakPreview" zoomScale="60" zoomScaleNormal="100" workbookViewId="0">
      <selection activeCell="Q43" sqref="Q43"/>
    </sheetView>
  </sheetViews>
  <sheetFormatPr defaultColWidth="9.21875" defaultRowHeight="14.4"/>
  <cols>
    <col min="1" max="1" width="3.44140625" style="2" customWidth="1"/>
    <col min="2" max="2" width="9.21875" style="2"/>
    <col min="3" max="3" width="23.77734375" style="2" customWidth="1"/>
    <col min="4" max="6" width="9.21875" style="2"/>
    <col min="7" max="7" width="16.21875" style="2" customWidth="1"/>
    <col min="8" max="8" width="3" style="2" customWidth="1"/>
    <col min="9" max="9" width="9.21875" style="2"/>
    <col min="10" max="10" width="11" style="2" customWidth="1"/>
    <col min="11" max="11" width="12.21875" style="2" customWidth="1"/>
    <col min="12" max="16384" width="9.21875" style="2"/>
  </cols>
  <sheetData>
    <row r="1" spans="1:11">
      <c r="B1" s="457"/>
      <c r="C1" s="457"/>
      <c r="D1" s="457"/>
      <c r="E1" s="457"/>
      <c r="F1" s="457"/>
      <c r="G1" s="457"/>
    </row>
    <row r="2" spans="1:11" ht="16.2">
      <c r="B2" s="928" t="str">
        <f>Assumptions!I17</f>
        <v>Doe Textiles</v>
      </c>
      <c r="C2" s="928"/>
      <c r="D2" s="928"/>
      <c r="E2" s="928"/>
      <c r="F2" s="928"/>
      <c r="G2" s="928"/>
    </row>
    <row r="3" spans="1:11" ht="16.2">
      <c r="B3" s="928" t="str">
        <f>Assumptions!I8</f>
        <v>John Doe</v>
      </c>
      <c r="C3" s="928"/>
      <c r="D3" s="928"/>
      <c r="E3" s="928"/>
      <c r="F3" s="928"/>
      <c r="G3" s="928"/>
    </row>
    <row r="4" spans="1:11" ht="18" customHeight="1">
      <c r="A4" s="442"/>
      <c r="B4" s="929" t="str">
        <f>Assumptions!I16</f>
        <v>123 Industrial Area, City</v>
      </c>
      <c r="C4" s="929"/>
      <c r="D4" s="929"/>
      <c r="E4" s="929"/>
      <c r="F4" s="929"/>
      <c r="G4" s="929"/>
      <c r="H4" s="442"/>
    </row>
    <row r="5" spans="1:11" ht="16.2">
      <c r="B5" s="929"/>
      <c r="C5" s="929"/>
      <c r="D5" s="929"/>
      <c r="E5" s="929"/>
      <c r="F5" s="929"/>
      <c r="G5" s="929"/>
      <c r="H5" s="446"/>
    </row>
    <row r="6" spans="1:11" ht="45" customHeight="1">
      <c r="A6" s="442"/>
      <c r="B6" s="882" t="s">
        <v>506</v>
      </c>
      <c r="C6" s="882"/>
      <c r="D6" s="882"/>
      <c r="E6" s="882"/>
      <c r="F6" s="882"/>
      <c r="G6" s="882"/>
      <c r="H6" s="442"/>
    </row>
    <row r="7" spans="1:11" ht="4.5" customHeight="1">
      <c r="A7" s="440"/>
      <c r="B7" s="458"/>
      <c r="C7" s="458"/>
      <c r="D7" s="458"/>
      <c r="E7" s="458"/>
      <c r="F7" s="458"/>
      <c r="G7" s="458"/>
      <c r="H7" s="440"/>
      <c r="I7" s="6"/>
    </row>
    <row r="8" spans="1:11" ht="34.5" customHeight="1" thickBot="1">
      <c r="A8" s="6"/>
      <c r="B8" s="927" t="s">
        <v>0</v>
      </c>
      <c r="C8" s="927"/>
      <c r="D8" s="927"/>
      <c r="E8" s="927"/>
      <c r="F8" s="927"/>
      <c r="G8" s="459" t="s">
        <v>225</v>
      </c>
      <c r="H8" s="440"/>
      <c r="I8" s="6"/>
    </row>
    <row r="9" spans="1:11" ht="15" thickTop="1">
      <c r="A9" s="6"/>
      <c r="B9" s="375"/>
      <c r="C9" s="375"/>
      <c r="D9" s="375"/>
      <c r="E9" s="375"/>
      <c r="F9" s="375"/>
      <c r="G9" s="375"/>
      <c r="H9" s="6"/>
      <c r="I9" s="6"/>
    </row>
    <row r="10" spans="1:11" ht="14.25" customHeight="1">
      <c r="A10" s="6"/>
      <c r="B10" s="375" t="s">
        <v>223</v>
      </c>
      <c r="C10" s="375"/>
      <c r="D10" s="375"/>
      <c r="E10" s="375"/>
      <c r="F10" s="375"/>
      <c r="G10" s="469">
        <f>-'project cost'!C20*100000</f>
        <v>-57000000000</v>
      </c>
      <c r="H10" s="461"/>
      <c r="I10" s="6"/>
      <c r="J10" s="492"/>
    </row>
    <row r="11" spans="1:11">
      <c r="A11" s="6"/>
      <c r="B11" s="6"/>
      <c r="C11" s="375"/>
      <c r="D11" s="622"/>
      <c r="E11" s="622"/>
      <c r="F11" s="622"/>
      <c r="G11" s="622"/>
      <c r="H11" s="6"/>
      <c r="I11" s="6"/>
    </row>
    <row r="12" spans="1:11">
      <c r="A12" s="6"/>
      <c r="B12" s="6"/>
      <c r="C12" s="375"/>
      <c r="D12" s="375"/>
      <c r="E12" s="375"/>
      <c r="F12" s="375"/>
      <c r="G12" s="375"/>
      <c r="H12" s="6"/>
      <c r="I12" s="6"/>
    </row>
    <row r="13" spans="1:11">
      <c r="A13" s="6"/>
      <c r="B13" s="375" t="s">
        <v>353</v>
      </c>
      <c r="C13" s="375"/>
      <c r="D13" s="375"/>
      <c r="E13" s="375"/>
      <c r="F13" s="375"/>
      <c r="G13" s="375"/>
      <c r="H13" s="6"/>
      <c r="I13" s="6"/>
    </row>
    <row r="14" spans="1:11">
      <c r="A14" s="6"/>
      <c r="B14" s="6"/>
      <c r="C14" s="375"/>
      <c r="D14" s="375"/>
      <c r="E14" s="375"/>
      <c r="F14" s="375"/>
      <c r="G14" s="375"/>
      <c r="H14" s="6"/>
      <c r="I14" s="6"/>
    </row>
    <row r="15" spans="1:11">
      <c r="A15" s="6"/>
      <c r="B15" s="6" t="str">
        <f>Assumptions!I78</f>
        <v>2024-25</v>
      </c>
      <c r="C15" s="375"/>
      <c r="D15" s="375"/>
      <c r="E15" s="375"/>
      <c r="F15" s="375"/>
      <c r="G15" s="462">
        <f>CFs!B45</f>
        <v>4680810000</v>
      </c>
      <c r="H15" s="461"/>
      <c r="I15" s="6"/>
      <c r="K15" s="492"/>
    </row>
    <row r="16" spans="1:11">
      <c r="A16" s="6"/>
      <c r="B16" s="6"/>
      <c r="C16" s="375"/>
      <c r="D16" s="375"/>
      <c r="E16" s="375"/>
      <c r="F16" s="375"/>
      <c r="G16" s="462"/>
      <c r="H16" s="461"/>
      <c r="I16" s="6"/>
    </row>
    <row r="17" spans="1:11">
      <c r="A17" s="6"/>
      <c r="B17" s="6" t="str">
        <f>Assumptions!I79</f>
        <v>2025-26</v>
      </c>
      <c r="C17" s="375"/>
      <c r="D17" s="375"/>
      <c r="E17" s="375"/>
      <c r="F17" s="375"/>
      <c r="G17" s="462">
        <f>CFs!C45</f>
        <v>-6652740000</v>
      </c>
      <c r="H17" s="461"/>
      <c r="I17" s="6"/>
      <c r="K17" s="492"/>
    </row>
    <row r="18" spans="1:11">
      <c r="A18" s="6"/>
      <c r="B18" s="6"/>
      <c r="C18" s="375"/>
      <c r="D18" s="375"/>
      <c r="E18" s="375"/>
      <c r="F18" s="375"/>
      <c r="G18" s="462"/>
      <c r="H18" s="461"/>
      <c r="I18" s="6"/>
    </row>
    <row r="19" spans="1:11">
      <c r="A19" s="6"/>
      <c r="B19" s="6" t="str">
        <f>Assumptions!I80</f>
        <v>2026-27</v>
      </c>
      <c r="C19" s="375"/>
      <c r="D19" s="375"/>
      <c r="E19" s="375"/>
      <c r="F19" s="375"/>
      <c r="G19" s="462">
        <f>CFs!D45</f>
        <v>15844490000</v>
      </c>
      <c r="H19" s="461"/>
      <c r="I19" s="6"/>
    </row>
    <row r="20" spans="1:11">
      <c r="A20" s="6"/>
      <c r="B20" s="6"/>
      <c r="C20" s="375"/>
      <c r="D20" s="375"/>
      <c r="E20" s="375"/>
      <c r="F20" s="375"/>
      <c r="G20" s="462"/>
      <c r="H20" s="461"/>
      <c r="I20" s="6"/>
    </row>
    <row r="21" spans="1:11">
      <c r="A21" s="6"/>
      <c r="B21" s="6" t="str">
        <f>Assumptions!I81</f>
        <v>2027-28</v>
      </c>
      <c r="C21" s="375"/>
      <c r="D21" s="375"/>
      <c r="E21" s="375"/>
      <c r="F21" s="375"/>
      <c r="G21" s="462">
        <f>CFs!E45</f>
        <v>3920050000.0000019</v>
      </c>
      <c r="H21" s="461"/>
      <c r="I21" s="6"/>
    </row>
    <row r="22" spans="1:11">
      <c r="A22" s="6"/>
      <c r="B22" s="6"/>
      <c r="C22" s="375"/>
      <c r="D22" s="375"/>
      <c r="E22" s="375"/>
      <c r="F22" s="375"/>
      <c r="G22" s="462"/>
      <c r="H22" s="461"/>
      <c r="I22" s="6"/>
    </row>
    <row r="23" spans="1:11">
      <c r="A23" s="6"/>
      <c r="B23" s="6" t="str">
        <f>Assumptions!I82</f>
        <v>2028-29</v>
      </c>
      <c r="C23" s="375"/>
      <c r="D23" s="375"/>
      <c r="E23" s="375"/>
      <c r="F23" s="375"/>
      <c r="G23" s="462">
        <f>CFs!F45</f>
        <v>4210280000</v>
      </c>
      <c r="H23" s="461"/>
      <c r="I23" s="6"/>
    </row>
    <row r="24" spans="1:11">
      <c r="A24" s="6"/>
      <c r="B24" s="6"/>
      <c r="C24" s="375"/>
      <c r="D24" s="375"/>
      <c r="E24" s="375"/>
      <c r="F24" s="375"/>
      <c r="G24" s="462"/>
      <c r="H24" s="461"/>
      <c r="I24" s="6"/>
    </row>
    <row r="25" spans="1:11">
      <c r="A25" s="6"/>
      <c r="B25" s="6" t="str">
        <f>Assumptions!I83</f>
        <v>2029-30</v>
      </c>
      <c r="C25" s="375"/>
      <c r="D25" s="375"/>
      <c r="E25" s="375"/>
      <c r="F25" s="375"/>
      <c r="G25" s="462">
        <f>CFs!G45</f>
        <v>5010100000</v>
      </c>
      <c r="H25" s="461"/>
      <c r="I25" s="463"/>
    </row>
    <row r="26" spans="1:11">
      <c r="A26" s="6"/>
      <c r="B26" s="6"/>
      <c r="C26" s="375"/>
      <c r="D26" s="375"/>
      <c r="E26" s="375"/>
      <c r="F26" s="375"/>
      <c r="G26" s="462"/>
      <c r="H26" s="461"/>
      <c r="I26" s="463"/>
    </row>
    <row r="27" spans="1:11">
      <c r="A27" s="6"/>
      <c r="B27" s="6" t="str">
        <f>Assumptions!I84</f>
        <v>2030-31</v>
      </c>
      <c r="C27" s="375"/>
      <c r="D27" s="375"/>
      <c r="E27" s="375"/>
      <c r="F27" s="375"/>
      <c r="G27" s="462">
        <f>CFs!H45</f>
        <v>5341689999.9999981</v>
      </c>
      <c r="H27" s="461"/>
      <c r="I27" s="6"/>
    </row>
    <row r="28" spans="1:11">
      <c r="A28" s="6"/>
      <c r="B28" s="6"/>
      <c r="C28" s="375"/>
      <c r="D28" s="375"/>
      <c r="E28" s="375"/>
      <c r="F28" s="375"/>
      <c r="H28" s="461"/>
      <c r="I28" s="6"/>
    </row>
    <row r="29" spans="1:11">
      <c r="A29" s="6"/>
      <c r="B29" s="6" t="str">
        <f>Assumptions!I85</f>
        <v>2031-32</v>
      </c>
      <c r="C29" s="375"/>
      <c r="D29" s="375"/>
      <c r="E29" s="375"/>
      <c r="F29" s="375"/>
      <c r="G29" s="464">
        <f>CFs!I45</f>
        <v>5122130000.0000038</v>
      </c>
      <c r="H29" s="6"/>
      <c r="I29" s="6"/>
    </row>
    <row r="30" spans="1:11" ht="15" thickBot="1">
      <c r="A30" s="6"/>
      <c r="B30" s="375"/>
      <c r="C30" s="375"/>
      <c r="D30" s="375"/>
      <c r="E30" s="375"/>
      <c r="F30" s="375"/>
      <c r="G30" s="375"/>
      <c r="H30" s="6"/>
      <c r="I30" s="6"/>
    </row>
    <row r="31" spans="1:11" ht="18" customHeight="1" thickBot="1">
      <c r="A31" s="6"/>
      <c r="B31" s="925" t="s">
        <v>506</v>
      </c>
      <c r="C31" s="926"/>
      <c r="D31" s="926"/>
      <c r="E31" s="926"/>
      <c r="F31" s="926"/>
      <c r="G31" s="465">
        <f>+IRR((G10:G29))</f>
        <v>-7.9220215581967124E-2</v>
      </c>
      <c r="H31" s="463"/>
      <c r="I31" s="6"/>
      <c r="J31" s="493"/>
    </row>
    <row r="32" spans="1:11">
      <c r="A32" s="6"/>
      <c r="B32" s="375"/>
      <c r="C32" s="375"/>
      <c r="D32" s="375"/>
      <c r="E32" s="375"/>
      <c r="F32" s="375"/>
      <c r="G32" s="375"/>
      <c r="H32" s="6"/>
      <c r="I32" s="6"/>
    </row>
    <row r="33" spans="1:9" ht="15" thickBot="1">
      <c r="A33" s="6"/>
      <c r="B33" s="3"/>
      <c r="C33" s="3"/>
      <c r="D33" s="3"/>
      <c r="E33" s="3"/>
      <c r="F33" s="3"/>
      <c r="G33" s="3"/>
      <c r="H33" s="6"/>
      <c r="I33" s="6"/>
    </row>
    <row r="34" spans="1:9">
      <c r="A34" s="6"/>
      <c r="B34" s="6"/>
      <c r="C34" s="6"/>
      <c r="D34" s="6"/>
      <c r="E34" s="6"/>
      <c r="F34" s="6"/>
      <c r="G34" s="6"/>
      <c r="H34" s="6"/>
      <c r="I34" s="6"/>
    </row>
    <row r="35" spans="1:9">
      <c r="A35" s="6"/>
      <c r="B35" s="6"/>
      <c r="C35" s="6"/>
      <c r="D35" s="6"/>
      <c r="E35" s="6"/>
      <c r="F35" s="6"/>
      <c r="G35" s="6"/>
      <c r="H35" s="6"/>
      <c r="I35" s="6"/>
    </row>
    <row r="36" spans="1:9">
      <c r="A36" s="6"/>
      <c r="B36" s="6"/>
      <c r="C36" s="6"/>
      <c r="D36" s="6"/>
      <c r="E36" s="6"/>
      <c r="F36" s="6"/>
      <c r="G36" s="6"/>
      <c r="H36" s="6"/>
      <c r="I36" s="6"/>
    </row>
    <row r="37" spans="1:9">
      <c r="A37" s="6"/>
      <c r="B37" s="6"/>
      <c r="C37" s="6"/>
      <c r="D37" s="6"/>
      <c r="E37" s="6"/>
      <c r="F37" s="6"/>
      <c r="G37" s="6"/>
      <c r="H37" s="6"/>
      <c r="I37" s="6"/>
    </row>
    <row r="38" spans="1:9">
      <c r="A38" s="6"/>
      <c r="B38" s="6"/>
      <c r="C38" s="6"/>
      <c r="D38" s="6"/>
      <c r="E38" s="6"/>
      <c r="F38" s="6"/>
      <c r="G38" s="6"/>
      <c r="H38" s="6"/>
      <c r="I38" s="6"/>
    </row>
    <row r="39" spans="1:9">
      <c r="A39" s="6"/>
      <c r="B39" s="6"/>
      <c r="C39" s="6"/>
      <c r="D39" s="6"/>
      <c r="E39" s="6"/>
      <c r="F39" s="6"/>
      <c r="G39" s="6"/>
      <c r="H39" s="6"/>
      <c r="I39" s="6"/>
    </row>
  </sheetData>
  <mergeCells count="6">
    <mergeCell ref="B31:F31"/>
    <mergeCell ref="B8:F8"/>
    <mergeCell ref="B6:G6"/>
    <mergeCell ref="B2:G2"/>
    <mergeCell ref="B3:G3"/>
    <mergeCell ref="B4:G5"/>
  </mergeCells>
  <pageMargins left="0.24" right="0.41" top="0.74803149606299213" bottom="0.74803149606299213" header="0.31496062992125984" footer="0.31496062992125984"/>
  <pageSetup scale="115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BA0DF-27B1-4B19-9B84-B74238AC4FD9}">
  <sheetPr codeName="Sheet23"/>
  <dimension ref="A3:J35"/>
  <sheetViews>
    <sheetView workbookViewId="0">
      <selection activeCell="A2" sqref="A2"/>
    </sheetView>
  </sheetViews>
  <sheetFormatPr defaultColWidth="9.21875" defaultRowHeight="14.4"/>
  <cols>
    <col min="1" max="1" width="29.77734375" style="22" customWidth="1"/>
    <col min="2" max="2" width="25.5546875" style="22" customWidth="1"/>
    <col min="3" max="3" width="18.77734375" style="22" bestFit="1" customWidth="1"/>
    <col min="4" max="4" width="26.77734375" style="22" customWidth="1"/>
    <col min="5" max="5" width="21.77734375" style="22" customWidth="1"/>
    <col min="6" max="6" width="14.77734375" style="22" bestFit="1" customWidth="1"/>
    <col min="7" max="7" width="14.44140625" style="22" bestFit="1" customWidth="1"/>
    <col min="8" max="8" width="28.21875" style="22" bestFit="1" customWidth="1"/>
    <col min="9" max="9" width="19.44140625" style="22" bestFit="1" customWidth="1"/>
    <col min="10" max="16384" width="9.21875" style="22"/>
  </cols>
  <sheetData>
    <row r="3" spans="1:10">
      <c r="A3" s="930" t="s">
        <v>168</v>
      </c>
      <c r="B3" s="930"/>
      <c r="C3" s="930"/>
      <c r="D3" s="930"/>
      <c r="E3" s="930"/>
    </row>
    <row r="5" spans="1:10" s="32" customFormat="1" ht="38.25" customHeight="1">
      <c r="A5" s="44" t="s">
        <v>14</v>
      </c>
      <c r="B5" s="39">
        <v>1</v>
      </c>
      <c r="C5" s="39">
        <v>2</v>
      </c>
      <c r="D5" s="39">
        <v>3</v>
      </c>
      <c r="E5" s="39">
        <v>4</v>
      </c>
      <c r="F5" s="39">
        <v>5</v>
      </c>
      <c r="G5" s="39">
        <v>6</v>
      </c>
      <c r="H5" s="39">
        <v>7</v>
      </c>
      <c r="I5" s="39">
        <v>8</v>
      </c>
      <c r="J5" s="34"/>
    </row>
    <row r="7" spans="1:10">
      <c r="A7" s="22" t="s">
        <v>41</v>
      </c>
      <c r="B7" s="45" t="s">
        <v>170</v>
      </c>
      <c r="C7" s="45" t="s">
        <v>45</v>
      </c>
      <c r="D7" s="45" t="s">
        <v>46</v>
      </c>
      <c r="E7" s="45" t="s">
        <v>47</v>
      </c>
      <c r="F7" s="45" t="s">
        <v>42</v>
      </c>
      <c r="G7" s="45" t="s">
        <v>43</v>
      </c>
      <c r="H7" s="45" t="s">
        <v>48</v>
      </c>
      <c r="I7" s="45" t="s">
        <v>44</v>
      </c>
    </row>
    <row r="9" spans="1:10">
      <c r="A9" s="22" t="s">
        <v>49</v>
      </c>
      <c r="B9" s="22" t="s">
        <v>50</v>
      </c>
      <c r="C9" s="22" t="s">
        <v>51</v>
      </c>
      <c r="D9" s="22" t="s">
        <v>52</v>
      </c>
      <c r="E9" s="22" t="s">
        <v>53</v>
      </c>
      <c r="F9" s="22" t="s">
        <v>54</v>
      </c>
      <c r="G9" s="22" t="s">
        <v>55</v>
      </c>
      <c r="H9" s="22" t="s">
        <v>56</v>
      </c>
      <c r="I9" s="22" t="s">
        <v>57</v>
      </c>
    </row>
    <row r="10" spans="1:10">
      <c r="B10" s="22" t="s">
        <v>58</v>
      </c>
      <c r="C10" s="22" t="s">
        <v>59</v>
      </c>
      <c r="D10" s="22" t="s">
        <v>60</v>
      </c>
      <c r="E10" s="22" t="s">
        <v>61</v>
      </c>
      <c r="F10" s="22" t="s">
        <v>62</v>
      </c>
      <c r="G10" s="22" t="s">
        <v>63</v>
      </c>
      <c r="H10" s="22" t="s">
        <v>58</v>
      </c>
      <c r="I10" s="22" t="s">
        <v>64</v>
      </c>
    </row>
    <row r="11" spans="1:10">
      <c r="B11" s="22" t="s">
        <v>65</v>
      </c>
      <c r="C11" s="22" t="s">
        <v>66</v>
      </c>
      <c r="D11" s="22" t="s">
        <v>67</v>
      </c>
      <c r="E11" s="22" t="s">
        <v>66</v>
      </c>
      <c r="F11" s="22" t="s">
        <v>68</v>
      </c>
      <c r="G11" s="22" t="s">
        <v>69</v>
      </c>
      <c r="H11" s="22" t="s">
        <v>65</v>
      </c>
      <c r="I11" s="22" t="s">
        <v>70</v>
      </c>
    </row>
    <row r="12" spans="1:10">
      <c r="B12" s="22" t="s">
        <v>71</v>
      </c>
      <c r="C12" s="22" t="s">
        <v>72</v>
      </c>
      <c r="D12" s="22" t="s">
        <v>73</v>
      </c>
      <c r="E12" s="22" t="s">
        <v>72</v>
      </c>
      <c r="F12" s="22" t="s">
        <v>74</v>
      </c>
      <c r="G12" s="22" t="s">
        <v>75</v>
      </c>
      <c r="H12" s="22" t="s">
        <v>71</v>
      </c>
      <c r="I12" s="22" t="s">
        <v>76</v>
      </c>
    </row>
    <row r="13" spans="1:10">
      <c r="B13" s="22" t="s">
        <v>77</v>
      </c>
      <c r="H13" s="22" t="s">
        <v>77</v>
      </c>
    </row>
    <row r="15" spans="1:10">
      <c r="A15" s="22" t="s">
        <v>169</v>
      </c>
    </row>
    <row r="17" spans="1:9">
      <c r="A17" s="22" t="s">
        <v>78</v>
      </c>
      <c r="B17" s="46">
        <v>26785</v>
      </c>
      <c r="C17" s="46">
        <v>26088</v>
      </c>
      <c r="D17" s="46">
        <v>25633</v>
      </c>
      <c r="E17" s="47">
        <v>27837</v>
      </c>
      <c r="F17" s="46">
        <v>16834</v>
      </c>
      <c r="G17" s="43"/>
      <c r="H17" s="43" t="s">
        <v>79</v>
      </c>
      <c r="I17" s="46">
        <v>28970</v>
      </c>
    </row>
    <row r="19" spans="1:9">
      <c r="A19" s="22" t="s">
        <v>80</v>
      </c>
      <c r="B19" s="22" t="s">
        <v>81</v>
      </c>
      <c r="C19" s="22" t="s">
        <v>81</v>
      </c>
      <c r="D19" s="22" t="s">
        <v>81</v>
      </c>
      <c r="E19" s="22" t="s">
        <v>82</v>
      </c>
      <c r="F19" s="22" t="s">
        <v>82</v>
      </c>
      <c r="G19" s="22" t="s">
        <v>82</v>
      </c>
      <c r="H19" s="22" t="s">
        <v>82</v>
      </c>
      <c r="I19" s="22" t="s">
        <v>82</v>
      </c>
    </row>
    <row r="21" spans="1:9">
      <c r="A21" s="22" t="s">
        <v>83</v>
      </c>
      <c r="B21" s="22" t="s">
        <v>84</v>
      </c>
      <c r="C21" s="22" t="s">
        <v>84</v>
      </c>
      <c r="D21" s="22" t="s">
        <v>84</v>
      </c>
      <c r="E21" s="22" t="s">
        <v>84</v>
      </c>
      <c r="F21" s="22" t="s">
        <v>84</v>
      </c>
      <c r="G21" s="22" t="s">
        <v>84</v>
      </c>
      <c r="H21" s="22" t="s">
        <v>84</v>
      </c>
      <c r="I21" s="22" t="s">
        <v>84</v>
      </c>
    </row>
    <row r="23" spans="1:9">
      <c r="A23" s="22" t="s">
        <v>85</v>
      </c>
      <c r="B23" s="22" t="s">
        <v>86</v>
      </c>
      <c r="C23" s="22" t="s">
        <v>87</v>
      </c>
      <c r="D23" s="22" t="s">
        <v>88</v>
      </c>
      <c r="E23" s="22" t="s">
        <v>89</v>
      </c>
      <c r="F23" s="22" t="s">
        <v>90</v>
      </c>
      <c r="H23" s="48" t="s">
        <v>91</v>
      </c>
      <c r="I23" s="22" t="s">
        <v>92</v>
      </c>
    </row>
    <row r="25" spans="1:9">
      <c r="A25" s="22" t="s">
        <v>93</v>
      </c>
      <c r="B25" s="22" t="s">
        <v>94</v>
      </c>
      <c r="C25" s="22" t="s">
        <v>95</v>
      </c>
      <c r="D25" s="22" t="s">
        <v>96</v>
      </c>
      <c r="E25" s="22" t="s">
        <v>97</v>
      </c>
      <c r="F25" s="22" t="s">
        <v>98</v>
      </c>
      <c r="G25" s="22" t="s">
        <v>98</v>
      </c>
      <c r="H25" s="22" t="s">
        <v>98</v>
      </c>
      <c r="I25" s="22" t="s">
        <v>99</v>
      </c>
    </row>
    <row r="27" spans="1:9">
      <c r="A27" s="22" t="s">
        <v>100</v>
      </c>
      <c r="B27" s="22" t="s">
        <v>101</v>
      </c>
      <c r="C27" s="22" t="s">
        <v>102</v>
      </c>
      <c r="D27" s="22" t="s">
        <v>103</v>
      </c>
      <c r="E27" s="22" t="s">
        <v>104</v>
      </c>
      <c r="F27" s="37" t="s">
        <v>91</v>
      </c>
      <c r="G27" s="22" t="s">
        <v>105</v>
      </c>
      <c r="H27" s="37" t="s">
        <v>91</v>
      </c>
      <c r="I27" s="37" t="s">
        <v>106</v>
      </c>
    </row>
    <row r="29" spans="1:9">
      <c r="A29" s="22" t="s">
        <v>107</v>
      </c>
      <c r="B29" s="37" t="s">
        <v>91</v>
      </c>
      <c r="C29" s="22" t="s">
        <v>108</v>
      </c>
      <c r="E29" s="37" t="s">
        <v>91</v>
      </c>
      <c r="F29" s="37" t="s">
        <v>91</v>
      </c>
      <c r="H29" s="37" t="s">
        <v>91</v>
      </c>
      <c r="I29" s="37" t="s">
        <v>91</v>
      </c>
    </row>
    <row r="31" spans="1:9">
      <c r="A31" s="22" t="s">
        <v>109</v>
      </c>
      <c r="B31" s="22" t="s">
        <v>110</v>
      </c>
      <c r="C31" s="22" t="s">
        <v>111</v>
      </c>
      <c r="E31" s="22" t="s">
        <v>112</v>
      </c>
      <c r="F31" s="37" t="s">
        <v>91</v>
      </c>
      <c r="H31" s="37" t="s">
        <v>91</v>
      </c>
    </row>
    <row r="32" spans="1:9">
      <c r="H32" s="37"/>
    </row>
    <row r="33" spans="1:9">
      <c r="A33" s="22" t="s">
        <v>113</v>
      </c>
      <c r="B33" s="36">
        <v>750000</v>
      </c>
      <c r="C33" s="36">
        <v>200000</v>
      </c>
      <c r="D33" s="36">
        <v>750000</v>
      </c>
      <c r="E33" s="36">
        <v>300000</v>
      </c>
      <c r="F33" s="36">
        <v>100000</v>
      </c>
      <c r="H33" s="37" t="s">
        <v>91</v>
      </c>
      <c r="I33" s="36">
        <v>500000</v>
      </c>
    </row>
    <row r="34" spans="1:9">
      <c r="B34" s="36"/>
      <c r="C34" s="36"/>
      <c r="D34" s="36"/>
      <c r="E34" s="36"/>
      <c r="F34" s="36"/>
      <c r="H34" s="36"/>
    </row>
    <row r="35" spans="1:9">
      <c r="A35" s="22" t="s">
        <v>114</v>
      </c>
      <c r="B35" s="49">
        <v>30</v>
      </c>
      <c r="C35" s="49">
        <v>30.61</v>
      </c>
      <c r="D35" s="49">
        <v>25</v>
      </c>
      <c r="E35" s="49">
        <v>30.61</v>
      </c>
      <c r="F35" s="49">
        <v>45.62</v>
      </c>
      <c r="G35" s="50">
        <v>18.98</v>
      </c>
      <c r="H35" s="51">
        <v>45.1</v>
      </c>
      <c r="I35" s="50">
        <v>21.3</v>
      </c>
    </row>
  </sheetData>
  <mergeCells count="1">
    <mergeCell ref="A3:E3"/>
  </mergeCells>
  <pageMargins left="0.7" right="0.7" top="0.75" bottom="0.75" header="0.3" footer="0.3"/>
  <pageSetup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0E187-DB7F-42E1-92C3-21C1E0530B82}">
  <sheetPr codeName="Sheet24"/>
  <dimension ref="A1:G38"/>
  <sheetViews>
    <sheetView workbookViewId="0">
      <selection activeCell="I13" sqref="I13"/>
    </sheetView>
  </sheetViews>
  <sheetFormatPr defaultColWidth="9.21875" defaultRowHeight="14.4"/>
  <cols>
    <col min="1" max="1" width="28.5546875" style="22" bestFit="1" customWidth="1"/>
    <col min="2" max="2" width="13.44140625" style="22" customWidth="1"/>
    <col min="3" max="3" width="12.77734375" style="22" customWidth="1"/>
    <col min="4" max="4" width="12.21875" style="22" customWidth="1"/>
    <col min="5" max="6" width="13" style="22" customWidth="1"/>
    <col min="7" max="7" width="13.21875" style="22" customWidth="1"/>
    <col min="8" max="16384" width="9.21875" style="22"/>
  </cols>
  <sheetData>
    <row r="1" spans="1:7">
      <c r="A1" s="915" t="str">
        <f>'Workings for PL BS 1'!A1:D1</f>
        <v>STEP 2 : BACK GROUND CALCULATION . NOT TO BE VISIBLE TO CUSTOMER</v>
      </c>
      <c r="B1" s="915"/>
      <c r="C1" s="915"/>
      <c r="D1" s="915"/>
      <c r="E1" s="915"/>
      <c r="F1" s="915"/>
      <c r="G1" s="915"/>
    </row>
    <row r="2" spans="1:7">
      <c r="A2" s="915" t="e">
        <f>'Workings for PL BS 1'!#REF!</f>
        <v>#REF!</v>
      </c>
      <c r="B2" s="915"/>
      <c r="C2" s="915"/>
      <c r="D2" s="915"/>
      <c r="E2" s="915"/>
      <c r="F2" s="915"/>
      <c r="G2" s="915"/>
    </row>
    <row r="3" spans="1:7">
      <c r="A3" s="915" t="e">
        <f>'Workings for PL BS 1'!#REF!</f>
        <v>#REF!</v>
      </c>
      <c r="B3" s="915"/>
      <c r="C3" s="915"/>
      <c r="D3" s="915"/>
      <c r="E3" s="915"/>
      <c r="F3" s="915"/>
      <c r="G3" s="915"/>
    </row>
    <row r="5" spans="1:7">
      <c r="A5" s="931" t="s">
        <v>135</v>
      </c>
      <c r="B5" s="931"/>
      <c r="C5" s="931"/>
      <c r="D5" s="931"/>
      <c r="E5" s="931"/>
      <c r="F5" s="931"/>
      <c r="G5" s="931"/>
    </row>
    <row r="6" spans="1:7">
      <c r="A6" s="38"/>
      <c r="B6" s="24"/>
      <c r="C6" s="24"/>
      <c r="D6" s="24"/>
      <c r="E6" s="24"/>
      <c r="F6" s="24"/>
      <c r="G6" s="24"/>
    </row>
    <row r="7" spans="1:7" ht="39" customHeight="1">
      <c r="A7" s="39" t="s">
        <v>14</v>
      </c>
      <c r="B7" s="40" t="e">
        <f>'Workings for PL BS 1'!#REF!</f>
        <v>#REF!</v>
      </c>
      <c r="C7" s="40" t="e">
        <f>'Workings for PL BS 1'!#REF!</f>
        <v>#REF!</v>
      </c>
      <c r="D7" s="40" t="e">
        <f>'Workings for PL BS 1'!#REF!</f>
        <v>#REF!</v>
      </c>
      <c r="E7" s="40" t="e">
        <f>'Workings for PL BS 1'!#REF!</f>
        <v>#REF!</v>
      </c>
      <c r="F7" s="40" t="e">
        <f>'Workings for PL BS 1'!#REF!</f>
        <v>#REF!</v>
      </c>
      <c r="G7" s="40" t="e">
        <f>'Workings for PL BS 1'!#REF!</f>
        <v>#REF!</v>
      </c>
    </row>
    <row r="8" spans="1:7">
      <c r="A8" s="23"/>
      <c r="B8" s="25"/>
      <c r="C8" s="23"/>
      <c r="D8" s="23"/>
      <c r="E8" s="23"/>
      <c r="F8" s="23"/>
      <c r="G8" s="23"/>
    </row>
    <row r="9" spans="1:7">
      <c r="A9" s="23"/>
      <c r="B9" s="25"/>
      <c r="C9" s="23"/>
      <c r="D9" s="23"/>
      <c r="E9" s="23"/>
      <c r="F9" s="23"/>
      <c r="G9" s="23"/>
    </row>
    <row r="10" spans="1:7">
      <c r="A10" s="23"/>
      <c r="B10" s="25"/>
      <c r="C10" s="23"/>
      <c r="D10" s="23"/>
      <c r="E10" s="23"/>
      <c r="F10" s="23"/>
      <c r="G10" s="23"/>
    </row>
    <row r="11" spans="1:7">
      <c r="A11" s="23" t="s">
        <v>136</v>
      </c>
      <c r="B11" s="25" t="e">
        <f>#REF!</f>
        <v>#REF!</v>
      </c>
      <c r="C11" s="25" t="e">
        <f>#REF!</f>
        <v>#REF!</v>
      </c>
      <c r="D11" s="25" t="e">
        <f>#REF!</f>
        <v>#REF!</v>
      </c>
      <c r="E11" s="25" t="e">
        <f>#REF!</f>
        <v>#REF!</v>
      </c>
      <c r="F11" s="25" t="e">
        <f>#REF!</f>
        <v>#REF!</v>
      </c>
      <c r="G11" s="25" t="e">
        <f>#REF!</f>
        <v>#REF!</v>
      </c>
    </row>
    <row r="12" spans="1:7">
      <c r="A12" s="23"/>
      <c r="B12" s="25"/>
      <c r="C12" s="25"/>
      <c r="D12" s="25"/>
      <c r="E12" s="25"/>
      <c r="F12" s="25"/>
      <c r="G12" s="25"/>
    </row>
    <row r="13" spans="1:7">
      <c r="A13" s="23" t="s">
        <v>137</v>
      </c>
      <c r="B13" s="25"/>
      <c r="C13" s="25"/>
      <c r="D13" s="25"/>
      <c r="E13" s="25"/>
      <c r="F13" s="25"/>
      <c r="G13" s="25"/>
    </row>
    <row r="14" spans="1:7">
      <c r="A14" s="31" t="s">
        <v>138</v>
      </c>
      <c r="B14" s="25" t="e">
        <f>#REF!</f>
        <v>#REF!</v>
      </c>
      <c r="C14" s="25" t="e">
        <f>#REF!</f>
        <v>#REF!</v>
      </c>
      <c r="D14" s="25" t="e">
        <f>#REF!</f>
        <v>#REF!</v>
      </c>
      <c r="E14" s="25" t="e">
        <f>#REF!</f>
        <v>#REF!</v>
      </c>
      <c r="F14" s="25" t="e">
        <f>#REF!</f>
        <v>#REF!</v>
      </c>
      <c r="G14" s="25" t="e">
        <f>#REF!</f>
        <v>#REF!</v>
      </c>
    </row>
    <row r="15" spans="1:7">
      <c r="A15" s="31" t="s">
        <v>139</v>
      </c>
      <c r="B15" s="25" t="e">
        <f>#REF!</f>
        <v>#REF!</v>
      </c>
      <c r="C15" s="25" t="e">
        <f>#REF!</f>
        <v>#REF!</v>
      </c>
      <c r="D15" s="25" t="e">
        <f>#REF!</f>
        <v>#REF!</v>
      </c>
      <c r="E15" s="25" t="e">
        <f>#REF!</f>
        <v>#REF!</v>
      </c>
      <c r="F15" s="25" t="e">
        <f>#REF!</f>
        <v>#REF!</v>
      </c>
      <c r="G15" s="25" t="e">
        <f>#REF!</f>
        <v>#REF!</v>
      </c>
    </row>
    <row r="16" spans="1:7">
      <c r="A16" s="31" t="s">
        <v>140</v>
      </c>
      <c r="B16" s="25" t="e">
        <f>#REF!</f>
        <v>#REF!</v>
      </c>
      <c r="C16" s="25" t="e">
        <f>#REF!</f>
        <v>#REF!</v>
      </c>
      <c r="D16" s="25" t="e">
        <f>#REF!</f>
        <v>#REF!</v>
      </c>
      <c r="E16" s="25" t="e">
        <f>#REF!</f>
        <v>#REF!</v>
      </c>
      <c r="F16" s="25" t="e">
        <f>#REF!</f>
        <v>#REF!</v>
      </c>
      <c r="G16" s="25" t="e">
        <f>#REF!</f>
        <v>#REF!</v>
      </c>
    </row>
    <row r="17" spans="1:7">
      <c r="A17" s="31"/>
      <c r="B17" s="25"/>
      <c r="C17" s="25"/>
      <c r="D17" s="25"/>
      <c r="E17" s="25"/>
      <c r="F17" s="25"/>
      <c r="G17" s="25"/>
    </row>
    <row r="18" spans="1:7">
      <c r="A18" s="23"/>
      <c r="B18" s="25"/>
      <c r="C18" s="25"/>
      <c r="D18" s="25"/>
      <c r="E18" s="25"/>
      <c r="F18" s="25"/>
      <c r="G18" s="25"/>
    </row>
    <row r="19" spans="1:7">
      <c r="A19" s="31" t="s">
        <v>141</v>
      </c>
      <c r="B19" s="41" t="e">
        <f t="shared" ref="B19:G19" si="0">SUM(B14:B18)</f>
        <v>#REF!</v>
      </c>
      <c r="C19" s="41" t="e">
        <f t="shared" si="0"/>
        <v>#REF!</v>
      </c>
      <c r="D19" s="41" t="e">
        <f t="shared" si="0"/>
        <v>#REF!</v>
      </c>
      <c r="E19" s="41" t="e">
        <f t="shared" si="0"/>
        <v>#REF!</v>
      </c>
      <c r="F19" s="41" t="e">
        <f t="shared" si="0"/>
        <v>#REF!</v>
      </c>
      <c r="G19" s="41" t="e">
        <f t="shared" si="0"/>
        <v>#REF!</v>
      </c>
    </row>
    <row r="20" spans="1:7">
      <c r="A20" s="23"/>
      <c r="B20" s="25"/>
      <c r="C20" s="25"/>
      <c r="D20" s="25"/>
      <c r="E20" s="25"/>
      <c r="F20" s="25"/>
      <c r="G20" s="25"/>
    </row>
    <row r="21" spans="1:7">
      <c r="A21" s="31" t="s">
        <v>142</v>
      </c>
      <c r="B21" s="41" t="e">
        <f t="shared" ref="B21:G21" si="1">B11-B19</f>
        <v>#REF!</v>
      </c>
      <c r="C21" s="41" t="e">
        <f t="shared" si="1"/>
        <v>#REF!</v>
      </c>
      <c r="D21" s="41" t="e">
        <f t="shared" si="1"/>
        <v>#REF!</v>
      </c>
      <c r="E21" s="41" t="e">
        <f t="shared" si="1"/>
        <v>#REF!</v>
      </c>
      <c r="F21" s="41" t="e">
        <f t="shared" si="1"/>
        <v>#REF!</v>
      </c>
      <c r="G21" s="41" t="e">
        <f t="shared" si="1"/>
        <v>#REF!</v>
      </c>
    </row>
    <row r="22" spans="1:7">
      <c r="A22" s="23"/>
      <c r="B22" s="25"/>
      <c r="C22" s="25"/>
      <c r="D22" s="25"/>
      <c r="E22" s="25"/>
      <c r="F22" s="25"/>
      <c r="G22" s="25"/>
    </row>
    <row r="23" spans="1:7">
      <c r="A23" s="23" t="s">
        <v>151</v>
      </c>
      <c r="B23" s="42" t="e">
        <f t="shared" ref="B23:G23" si="2">B21/B11</f>
        <v>#REF!</v>
      </c>
      <c r="C23" s="42" t="e">
        <f t="shared" si="2"/>
        <v>#REF!</v>
      </c>
      <c r="D23" s="42" t="e">
        <f t="shared" si="2"/>
        <v>#REF!</v>
      </c>
      <c r="E23" s="42" t="e">
        <f t="shared" si="2"/>
        <v>#REF!</v>
      </c>
      <c r="F23" s="42" t="e">
        <f t="shared" si="2"/>
        <v>#REF!</v>
      </c>
      <c r="G23" s="42" t="e">
        <f t="shared" si="2"/>
        <v>#REF!</v>
      </c>
    </row>
    <row r="24" spans="1:7">
      <c r="A24" s="23"/>
      <c r="B24" s="25"/>
      <c r="C24" s="25"/>
      <c r="D24" s="25"/>
      <c r="E24" s="25"/>
      <c r="F24" s="25"/>
      <c r="G24" s="25"/>
    </row>
    <row r="25" spans="1:7">
      <c r="A25" s="23" t="s">
        <v>143</v>
      </c>
      <c r="B25" s="25"/>
      <c r="C25" s="25"/>
      <c r="D25" s="25"/>
      <c r="E25" s="25"/>
      <c r="F25" s="25"/>
      <c r="G25" s="25"/>
    </row>
    <row r="26" spans="1:7">
      <c r="A26" s="23"/>
      <c r="B26" s="25"/>
      <c r="C26" s="25"/>
      <c r="D26" s="25"/>
      <c r="E26" s="25"/>
      <c r="F26" s="25"/>
      <c r="G26" s="25"/>
    </row>
    <row r="27" spans="1:7">
      <c r="A27" s="23" t="s">
        <v>144</v>
      </c>
      <c r="B27" s="25" t="e">
        <f>#REF!</f>
        <v>#REF!</v>
      </c>
      <c r="C27" s="25" t="e">
        <f>#REF!</f>
        <v>#REF!</v>
      </c>
      <c r="D27" s="25" t="e">
        <f>#REF!</f>
        <v>#REF!</v>
      </c>
      <c r="E27" s="25" t="e">
        <f>#REF!</f>
        <v>#REF!</v>
      </c>
      <c r="F27" s="25" t="e">
        <f>#REF!</f>
        <v>#REF!</v>
      </c>
      <c r="G27" s="25" t="e">
        <f>#REF!</f>
        <v>#REF!</v>
      </c>
    </row>
    <row r="28" spans="1:7">
      <c r="A28" s="31" t="s">
        <v>145</v>
      </c>
      <c r="B28" s="25" t="e">
        <f>#REF!</f>
        <v>#REF!</v>
      </c>
      <c r="C28" s="25" t="e">
        <f>#REF!</f>
        <v>#REF!</v>
      </c>
      <c r="D28" s="25" t="e">
        <f>#REF!</f>
        <v>#REF!</v>
      </c>
      <c r="E28" s="25" t="e">
        <f>#REF!</f>
        <v>#REF!</v>
      </c>
      <c r="F28" s="25" t="e">
        <f>#REF!</f>
        <v>#REF!</v>
      </c>
      <c r="G28" s="25" t="e">
        <f>#REF!</f>
        <v>#REF!</v>
      </c>
    </row>
    <row r="29" spans="1:7">
      <c r="A29" s="31" t="s">
        <v>146</v>
      </c>
      <c r="B29" s="25" t="e">
        <f>#REF!</f>
        <v>#REF!</v>
      </c>
      <c r="C29" s="25" t="e">
        <f>#REF!</f>
        <v>#REF!</v>
      </c>
      <c r="D29" s="25" t="e">
        <f>#REF!</f>
        <v>#REF!</v>
      </c>
      <c r="E29" s="25" t="e">
        <f>#REF!</f>
        <v>#REF!</v>
      </c>
      <c r="F29" s="25" t="e">
        <f>#REF!</f>
        <v>#REF!</v>
      </c>
      <c r="G29" s="25" t="e">
        <f>#REF!</f>
        <v>#REF!</v>
      </c>
    </row>
    <row r="30" spans="1:7">
      <c r="A30" s="31"/>
      <c r="B30" s="25"/>
      <c r="C30" s="25"/>
      <c r="D30" s="25"/>
      <c r="E30" s="25"/>
      <c r="F30" s="25"/>
      <c r="G30" s="25"/>
    </row>
    <row r="31" spans="1:7">
      <c r="A31" s="23"/>
      <c r="B31" s="25"/>
      <c r="C31" s="25"/>
      <c r="D31" s="25"/>
      <c r="E31" s="25"/>
      <c r="F31" s="25"/>
      <c r="G31" s="25"/>
    </row>
    <row r="32" spans="1:7">
      <c r="A32" s="31" t="s">
        <v>147</v>
      </c>
      <c r="B32" s="25" t="e">
        <f t="shared" ref="B32:G32" si="3">SUM(B27:B31)</f>
        <v>#REF!</v>
      </c>
      <c r="C32" s="25" t="e">
        <f t="shared" si="3"/>
        <v>#REF!</v>
      </c>
      <c r="D32" s="25" t="e">
        <f t="shared" si="3"/>
        <v>#REF!</v>
      </c>
      <c r="E32" s="25" t="e">
        <f t="shared" si="3"/>
        <v>#REF!</v>
      </c>
      <c r="F32" s="25" t="e">
        <f t="shared" si="3"/>
        <v>#REF!</v>
      </c>
      <c r="G32" s="25" t="e">
        <f t="shared" si="3"/>
        <v>#REF!</v>
      </c>
    </row>
    <row r="33" spans="1:7">
      <c r="A33" s="23"/>
      <c r="B33" s="25"/>
      <c r="C33" s="25"/>
      <c r="D33" s="25"/>
      <c r="E33" s="25"/>
      <c r="F33" s="25"/>
      <c r="G33" s="25"/>
    </row>
    <row r="34" spans="1:7">
      <c r="A34" s="31" t="s">
        <v>148</v>
      </c>
      <c r="B34" s="25" t="e">
        <f t="shared" ref="B34:G34" si="4">B32/B23</f>
        <v>#REF!</v>
      </c>
      <c r="C34" s="25" t="e">
        <f t="shared" si="4"/>
        <v>#REF!</v>
      </c>
      <c r="D34" s="25" t="e">
        <f t="shared" si="4"/>
        <v>#REF!</v>
      </c>
      <c r="E34" s="25" t="e">
        <f t="shared" si="4"/>
        <v>#REF!</v>
      </c>
      <c r="F34" s="25" t="e">
        <f t="shared" si="4"/>
        <v>#REF!</v>
      </c>
      <c r="G34" s="25" t="e">
        <f t="shared" si="4"/>
        <v>#REF!</v>
      </c>
    </row>
    <row r="35" spans="1:7">
      <c r="A35" s="23"/>
      <c r="B35" s="25"/>
      <c r="C35" s="25"/>
      <c r="D35" s="25"/>
      <c r="E35" s="25"/>
      <c r="F35" s="25"/>
      <c r="G35" s="25"/>
    </row>
    <row r="36" spans="1:7">
      <c r="A36" s="23" t="s">
        <v>149</v>
      </c>
      <c r="B36" s="41" t="e">
        <f>#REF!+#REF!</f>
        <v>#REF!</v>
      </c>
      <c r="C36" s="41" t="e">
        <f>B36</f>
        <v>#REF!</v>
      </c>
      <c r="D36" s="41" t="e">
        <f>C36</f>
        <v>#REF!</v>
      </c>
      <c r="E36" s="41" t="e">
        <f>D36</f>
        <v>#REF!</v>
      </c>
      <c r="F36" s="41" t="e">
        <f>E36</f>
        <v>#REF!</v>
      </c>
      <c r="G36" s="41" t="e">
        <f>F36</f>
        <v>#REF!</v>
      </c>
    </row>
    <row r="37" spans="1:7">
      <c r="A37" s="23"/>
      <c r="B37" s="25"/>
      <c r="C37" s="25"/>
      <c r="D37" s="25"/>
      <c r="E37" s="25"/>
      <c r="F37" s="25"/>
      <c r="G37" s="25"/>
    </row>
    <row r="38" spans="1:7">
      <c r="A38" s="23" t="s">
        <v>150</v>
      </c>
      <c r="B38" s="42" t="e">
        <f t="shared" ref="B38:G38" si="5">B34/B36</f>
        <v>#REF!</v>
      </c>
      <c r="C38" s="42" t="e">
        <f t="shared" si="5"/>
        <v>#REF!</v>
      </c>
      <c r="D38" s="42" t="e">
        <f t="shared" si="5"/>
        <v>#REF!</v>
      </c>
      <c r="E38" s="42" t="e">
        <f t="shared" si="5"/>
        <v>#REF!</v>
      </c>
      <c r="F38" s="42" t="e">
        <f t="shared" si="5"/>
        <v>#REF!</v>
      </c>
      <c r="G38" s="42" t="e">
        <f t="shared" si="5"/>
        <v>#REF!</v>
      </c>
    </row>
  </sheetData>
  <mergeCells count="4">
    <mergeCell ref="A1:G1"/>
    <mergeCell ref="A2:G2"/>
    <mergeCell ref="A3:G3"/>
    <mergeCell ref="A5:G5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6CFA5-BAC3-4250-997A-6E41C0563B9F}">
  <sheetPr codeName="Sheet25"/>
  <dimension ref="A2:H50"/>
  <sheetViews>
    <sheetView topLeftCell="A4" workbookViewId="0">
      <selection activeCell="K38" sqref="K38"/>
    </sheetView>
  </sheetViews>
  <sheetFormatPr defaultRowHeight="13.2"/>
  <cols>
    <col min="1" max="1" width="23.21875" bestFit="1" customWidth="1"/>
    <col min="2" max="2" width="9.21875" bestFit="1" customWidth="1"/>
    <col min="3" max="7" width="13.44140625" bestFit="1" customWidth="1"/>
    <col min="11" max="11" width="11" bestFit="1" customWidth="1"/>
  </cols>
  <sheetData>
    <row r="2" spans="1:7" ht="13.8">
      <c r="A2" s="933" t="s">
        <v>213</v>
      </c>
      <c r="B2" s="933"/>
      <c r="C2" s="933"/>
      <c r="D2" s="933"/>
      <c r="E2" s="933"/>
      <c r="F2" s="933"/>
      <c r="G2" s="933"/>
    </row>
    <row r="3" spans="1:7">
      <c r="A3" s="132"/>
      <c r="B3" s="132"/>
      <c r="C3" s="132"/>
      <c r="D3" s="132"/>
      <c r="E3" s="132"/>
      <c r="F3" s="132"/>
      <c r="G3" s="132"/>
    </row>
    <row r="4" spans="1:7">
      <c r="A4" s="133"/>
      <c r="B4" s="932" t="s">
        <v>198</v>
      </c>
      <c r="C4" s="932"/>
      <c r="D4" s="932"/>
      <c r="E4" s="932"/>
      <c r="F4" s="932"/>
      <c r="G4" s="932"/>
    </row>
    <row r="5" spans="1:7" ht="33" customHeight="1" thickBot="1">
      <c r="A5" s="134"/>
      <c r="B5" s="135" t="e">
        <f>'Workings for PL BS 1'!#REF!</f>
        <v>#REF!</v>
      </c>
      <c r="C5" s="137">
        <f>'Workings for PL BS 1'!C4</f>
        <v>0</v>
      </c>
      <c r="D5" s="137" t="e">
        <f>'Workings for PL BS 1'!#REF!</f>
        <v>#REF!</v>
      </c>
      <c r="E5" s="137" t="e">
        <f>'Workings for PL BS 1'!#REF!</f>
        <v>#REF!</v>
      </c>
      <c r="F5" s="137" t="str">
        <f>'Workings for PL BS 1'!D4</f>
        <v>2024-25</v>
      </c>
      <c r="G5" s="137" t="s">
        <v>207</v>
      </c>
    </row>
    <row r="6" spans="1:7" ht="30" customHeight="1" thickTop="1">
      <c r="A6" s="130"/>
      <c r="B6" s="131"/>
      <c r="C6" s="131"/>
      <c r="D6" s="131"/>
      <c r="E6" s="131"/>
      <c r="F6" s="131"/>
      <c r="G6" s="131"/>
    </row>
    <row r="7" spans="1:7">
      <c r="A7" s="122" t="s">
        <v>201</v>
      </c>
      <c r="B7">
        <v>0</v>
      </c>
      <c r="C7" s="123">
        <v>0.75</v>
      </c>
      <c r="D7" s="123">
        <v>0.85</v>
      </c>
      <c r="E7" s="123">
        <v>0.95</v>
      </c>
      <c r="F7" s="123">
        <v>1</v>
      </c>
      <c r="G7" s="123">
        <v>1</v>
      </c>
    </row>
    <row r="8" spans="1:7">
      <c r="A8" s="122"/>
      <c r="C8" s="123"/>
      <c r="D8" s="123"/>
      <c r="E8" s="123"/>
      <c r="F8" s="123"/>
      <c r="G8" s="123"/>
    </row>
    <row r="9" spans="1:7">
      <c r="A9" s="122" t="s">
        <v>199</v>
      </c>
      <c r="B9">
        <v>0</v>
      </c>
      <c r="C9">
        <v>55</v>
      </c>
      <c r="D9">
        <v>60</v>
      </c>
      <c r="E9">
        <v>60</v>
      </c>
      <c r="F9">
        <v>65</v>
      </c>
      <c r="G9">
        <v>65</v>
      </c>
    </row>
    <row r="10" spans="1:7">
      <c r="A10" s="122"/>
    </row>
    <row r="11" spans="1:7">
      <c r="A11" s="122" t="s">
        <v>200</v>
      </c>
      <c r="B11">
        <v>0</v>
      </c>
      <c r="C11">
        <v>70</v>
      </c>
      <c r="D11">
        <v>75</v>
      </c>
      <c r="E11">
        <v>75</v>
      </c>
      <c r="F11">
        <v>90</v>
      </c>
      <c r="G11">
        <v>90</v>
      </c>
    </row>
    <row r="12" spans="1:7">
      <c r="A12" s="122"/>
    </row>
    <row r="13" spans="1:7">
      <c r="A13" s="121" t="s">
        <v>206</v>
      </c>
    </row>
    <row r="14" spans="1:7">
      <c r="A14" s="121"/>
    </row>
    <row r="15" spans="1:7">
      <c r="A15" s="122" t="s">
        <v>196</v>
      </c>
      <c r="B15">
        <f>F34*$B$7</f>
        <v>0</v>
      </c>
      <c r="C15">
        <f>F34*$C$7</f>
        <v>229500</v>
      </c>
      <c r="D15">
        <f>F34*$D$7</f>
        <v>260100</v>
      </c>
      <c r="E15">
        <f>F34*$E$7</f>
        <v>290700</v>
      </c>
      <c r="F15">
        <f>F34*$F$7</f>
        <v>306000</v>
      </c>
      <c r="G15">
        <f>F34*$F$7</f>
        <v>306000</v>
      </c>
    </row>
    <row r="16" spans="1:7">
      <c r="A16" s="122"/>
    </row>
    <row r="17" spans="1:7">
      <c r="A17" s="122" t="s">
        <v>205</v>
      </c>
      <c r="B17">
        <f>F36*$B$7</f>
        <v>0</v>
      </c>
      <c r="C17">
        <f>F36*$C$7</f>
        <v>40500</v>
      </c>
      <c r="D17">
        <f>F36*$D$7</f>
        <v>45900</v>
      </c>
      <c r="E17">
        <f>F36*$E$7</f>
        <v>51300</v>
      </c>
      <c r="F17">
        <f>F36*$F$7</f>
        <v>54000</v>
      </c>
      <c r="G17">
        <f>F36*$F$7</f>
        <v>54000</v>
      </c>
    </row>
    <row r="18" spans="1:7">
      <c r="A18" s="122"/>
    </row>
    <row r="19" spans="1:7">
      <c r="A19" s="122"/>
    </row>
    <row r="20" spans="1:7">
      <c r="A20" s="121" t="s">
        <v>197</v>
      </c>
    </row>
    <row r="21" spans="1:7">
      <c r="A21" s="121"/>
    </row>
    <row r="22" spans="1:7">
      <c r="A22" s="122" t="s">
        <v>196</v>
      </c>
      <c r="B22">
        <f t="shared" ref="B22:G22" si="0">B15*B9</f>
        <v>0</v>
      </c>
      <c r="C22">
        <f t="shared" si="0"/>
        <v>12622500</v>
      </c>
      <c r="D22">
        <f t="shared" si="0"/>
        <v>15606000</v>
      </c>
      <c r="E22">
        <f t="shared" si="0"/>
        <v>17442000</v>
      </c>
      <c r="F22">
        <f t="shared" si="0"/>
        <v>19890000</v>
      </c>
      <c r="G22">
        <f t="shared" si="0"/>
        <v>19890000</v>
      </c>
    </row>
    <row r="23" spans="1:7">
      <c r="A23" s="122"/>
    </row>
    <row r="24" spans="1:7">
      <c r="A24" s="122" t="s">
        <v>205</v>
      </c>
      <c r="B24">
        <f t="shared" ref="B24:G24" si="1">B17*B11</f>
        <v>0</v>
      </c>
      <c r="C24">
        <f t="shared" si="1"/>
        <v>2835000</v>
      </c>
      <c r="D24">
        <f t="shared" si="1"/>
        <v>3442500</v>
      </c>
      <c r="E24">
        <f t="shared" si="1"/>
        <v>3847500</v>
      </c>
      <c r="F24">
        <f t="shared" si="1"/>
        <v>4860000</v>
      </c>
      <c r="G24">
        <f t="shared" si="1"/>
        <v>4860000</v>
      </c>
    </row>
    <row r="25" spans="1:7">
      <c r="A25" s="122"/>
    </row>
    <row r="26" spans="1:7">
      <c r="A26" s="122" t="s">
        <v>39</v>
      </c>
      <c r="B26" s="121">
        <f>B22+B24</f>
        <v>0</v>
      </c>
      <c r="C26" s="121">
        <f>770000*12</f>
        <v>9240000</v>
      </c>
      <c r="D26" s="121">
        <f>800000*12</f>
        <v>9600000</v>
      </c>
      <c r="E26" s="121">
        <f>850000*12</f>
        <v>10200000</v>
      </c>
      <c r="F26" s="121">
        <f>E26*1.1</f>
        <v>11220000</v>
      </c>
      <c r="G26" s="121">
        <f>F26*1.2</f>
        <v>13464000</v>
      </c>
    </row>
    <row r="27" spans="1:7">
      <c r="A27" s="122"/>
      <c r="B27" s="121"/>
      <c r="C27" s="121"/>
      <c r="D27" s="121"/>
      <c r="E27" s="121"/>
      <c r="F27" s="121"/>
      <c r="G27" s="121"/>
    </row>
    <row r="28" spans="1:7">
      <c r="A28" s="122"/>
      <c r="B28" s="121"/>
      <c r="C28" s="121"/>
      <c r="D28" s="121"/>
      <c r="E28" s="121"/>
      <c r="F28" s="121"/>
      <c r="G28" s="121"/>
    </row>
    <row r="29" spans="1:7">
      <c r="A29" s="122"/>
    </row>
    <row r="30" spans="1:7">
      <c r="A30" s="121" t="s">
        <v>204</v>
      </c>
      <c r="B30" s="122" t="s">
        <v>202</v>
      </c>
      <c r="F30">
        <f>1200*25*12</f>
        <v>360000</v>
      </c>
    </row>
    <row r="31" spans="1:7">
      <c r="A31" s="121"/>
      <c r="B31" s="122"/>
    </row>
    <row r="32" spans="1:7">
      <c r="A32" s="122" t="s">
        <v>203</v>
      </c>
    </row>
    <row r="33" spans="1:8">
      <c r="A33" s="122"/>
    </row>
    <row r="34" spans="1:8">
      <c r="A34" s="122" t="s">
        <v>214</v>
      </c>
      <c r="F34">
        <f>F30*0.85</f>
        <v>306000</v>
      </c>
    </row>
    <row r="35" spans="1:8">
      <c r="A35" s="122"/>
    </row>
    <row r="36" spans="1:8">
      <c r="A36" s="122" t="s">
        <v>215</v>
      </c>
      <c r="F36">
        <f>F30-F34</f>
        <v>54000</v>
      </c>
    </row>
    <row r="39" spans="1:8">
      <c r="A39" s="121" t="s">
        <v>208</v>
      </c>
    </row>
    <row r="40" spans="1:8">
      <c r="A40" t="s">
        <v>209</v>
      </c>
      <c r="B40">
        <f>(B15+B17)/0.9*110*32</f>
        <v>0</v>
      </c>
      <c r="C40" s="124">
        <f>C26*70%</f>
        <v>6468000</v>
      </c>
      <c r="D40" s="124">
        <f>D26*70%</f>
        <v>6720000</v>
      </c>
      <c r="E40" s="124">
        <f>E26*70%</f>
        <v>7140000</v>
      </c>
      <c r="F40" s="124">
        <f>F26*70%</f>
        <v>7853999.9999999991</v>
      </c>
      <c r="G40" s="124">
        <f>G26*70%</f>
        <v>9424800</v>
      </c>
    </row>
    <row r="41" spans="1:8">
      <c r="C41" s="124"/>
      <c r="D41" s="124"/>
      <c r="E41" s="124"/>
      <c r="F41" s="124"/>
      <c r="G41" s="124"/>
    </row>
    <row r="42" spans="1:8">
      <c r="A42" s="121" t="s">
        <v>211</v>
      </c>
      <c r="B42" s="124">
        <f t="shared" ref="B42:G42" si="2">B40*0.1</f>
        <v>0</v>
      </c>
      <c r="C42" s="124">
        <f t="shared" si="2"/>
        <v>646800</v>
      </c>
      <c r="D42" s="124">
        <f t="shared" si="2"/>
        <v>672000</v>
      </c>
      <c r="E42" s="124">
        <f t="shared" si="2"/>
        <v>714000</v>
      </c>
      <c r="F42" s="124">
        <f t="shared" si="2"/>
        <v>785400</v>
      </c>
      <c r="G42" s="124">
        <f t="shared" si="2"/>
        <v>942480</v>
      </c>
    </row>
    <row r="43" spans="1:8">
      <c r="A43" s="121" t="s">
        <v>212</v>
      </c>
      <c r="B43" s="124"/>
      <c r="C43" s="124"/>
      <c r="D43" s="124"/>
      <c r="E43" s="124"/>
      <c r="F43" s="124"/>
      <c r="G43" s="124"/>
    </row>
    <row r="45" spans="1:8">
      <c r="A45" s="121" t="s">
        <v>210</v>
      </c>
      <c r="B45">
        <f>B17*2</f>
        <v>0</v>
      </c>
      <c r="C45">
        <f>C17*5</f>
        <v>202500</v>
      </c>
      <c r="D45">
        <f>D17*5</f>
        <v>229500</v>
      </c>
      <c r="E45">
        <f>E17*5</f>
        <v>256500</v>
      </c>
      <c r="F45">
        <f>F17*5</f>
        <v>270000</v>
      </c>
      <c r="G45">
        <f>G17*5</f>
        <v>270000</v>
      </c>
    </row>
    <row r="47" spans="1:8" ht="13.8" thickBot="1">
      <c r="A47" s="136"/>
      <c r="B47" s="136"/>
      <c r="C47" s="136"/>
      <c r="D47" s="136"/>
      <c r="E47" s="136"/>
      <c r="F47" s="136"/>
      <c r="G47" s="136"/>
      <c r="H47" s="129"/>
    </row>
    <row r="48" spans="1:8">
      <c r="A48" s="122"/>
    </row>
    <row r="49" spans="1:1">
      <c r="A49" s="122"/>
    </row>
    <row r="50" spans="1:1">
      <c r="A50" s="122"/>
    </row>
  </sheetData>
  <mergeCells count="2">
    <mergeCell ref="B4:G4"/>
    <mergeCell ref="A2:G2"/>
  </mergeCells>
  <pageMargins left="0.7" right="0.7" top="0.75" bottom="0.75" header="0.3" footer="0.3"/>
  <pageSetup scale="92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A3E74-F5DE-410D-9980-EE697401FB2C}">
  <sheetPr codeName="Sheet26"/>
  <dimension ref="A1:K39"/>
  <sheetViews>
    <sheetView view="pageBreakPreview" zoomScale="60" zoomScaleNormal="100" workbookViewId="0">
      <selection activeCell="R31" sqref="R31"/>
    </sheetView>
  </sheetViews>
  <sheetFormatPr defaultColWidth="9.21875" defaultRowHeight="14.4"/>
  <cols>
    <col min="1" max="1" width="9.21875" style="2"/>
    <col min="2" max="2" width="24" style="2" customWidth="1"/>
    <col min="3" max="3" width="9.21875" style="2" customWidth="1"/>
    <col min="4" max="6" width="9.21875" style="2"/>
    <col min="7" max="7" width="16.21875" style="2" customWidth="1"/>
    <col min="8" max="8" width="3.44140625" style="2" customWidth="1"/>
    <col min="9" max="9" width="9.21875" style="2"/>
    <col min="10" max="10" width="8.5546875" style="2" customWidth="1"/>
    <col min="11" max="16384" width="9.21875" style="2"/>
  </cols>
  <sheetData>
    <row r="1" spans="1:9">
      <c r="B1" s="457"/>
      <c r="C1" s="457"/>
      <c r="D1" s="457"/>
      <c r="E1" s="457"/>
      <c r="F1" s="457"/>
      <c r="G1" s="457"/>
    </row>
    <row r="2" spans="1:9" ht="16.2">
      <c r="B2" s="928" t="str">
        <f>Assumptions!I17</f>
        <v>Doe Textiles</v>
      </c>
      <c r="C2" s="928"/>
      <c r="D2" s="928"/>
      <c r="E2" s="928"/>
      <c r="F2" s="928"/>
      <c r="G2" s="928"/>
    </row>
    <row r="3" spans="1:9" ht="16.2">
      <c r="B3" s="928" t="str">
        <f>Assumptions!I8</f>
        <v>John Doe</v>
      </c>
      <c r="C3" s="928"/>
      <c r="D3" s="928"/>
      <c r="E3" s="928"/>
      <c r="F3" s="928"/>
      <c r="G3" s="928"/>
    </row>
    <row r="4" spans="1:9" ht="18" customHeight="1">
      <c r="A4" s="442"/>
      <c r="B4" s="929" t="str">
        <f>Assumptions!I16</f>
        <v>123 Industrial Area, City</v>
      </c>
      <c r="C4" s="929"/>
      <c r="D4" s="929"/>
      <c r="E4" s="929"/>
      <c r="F4" s="929"/>
      <c r="G4" s="929"/>
      <c r="H4" s="442"/>
    </row>
    <row r="5" spans="1:9" ht="16.2">
      <c r="B5" s="929"/>
      <c r="C5" s="929"/>
      <c r="D5" s="929"/>
      <c r="E5" s="929"/>
      <c r="F5" s="929"/>
      <c r="G5" s="929"/>
      <c r="H5" s="446"/>
    </row>
    <row r="6" spans="1:9" ht="45" customHeight="1">
      <c r="A6" s="442"/>
      <c r="B6" s="882" t="s">
        <v>507</v>
      </c>
      <c r="C6" s="882"/>
      <c r="D6" s="882"/>
      <c r="E6" s="882"/>
      <c r="F6" s="882"/>
      <c r="G6" s="882"/>
      <c r="H6" s="442"/>
    </row>
    <row r="7" spans="1:9" ht="4.5" customHeight="1">
      <c r="A7" s="440"/>
      <c r="B7" s="458"/>
      <c r="C7" s="458"/>
      <c r="D7" s="458"/>
      <c r="E7" s="458"/>
      <c r="F7" s="458"/>
      <c r="G7" s="458"/>
      <c r="H7" s="440"/>
      <c r="I7" s="6"/>
    </row>
    <row r="8" spans="1:9" ht="34.5" customHeight="1" thickBot="1">
      <c r="A8" s="6"/>
      <c r="B8" s="927" t="s">
        <v>0</v>
      </c>
      <c r="C8" s="927"/>
      <c r="D8" s="927"/>
      <c r="E8" s="927"/>
      <c r="F8" s="927"/>
      <c r="G8" s="459" t="s">
        <v>225</v>
      </c>
      <c r="H8" s="440"/>
      <c r="I8" s="6"/>
    </row>
    <row r="9" spans="1:9" ht="15" thickTop="1">
      <c r="A9" s="6"/>
      <c r="B9" s="375"/>
      <c r="C9" s="375"/>
      <c r="D9" s="375"/>
      <c r="E9" s="375"/>
      <c r="F9" s="375"/>
      <c r="G9" s="375"/>
      <c r="H9" s="6"/>
      <c r="I9" s="6"/>
    </row>
    <row r="10" spans="1:9" ht="14.25" customHeight="1">
      <c r="A10" s="6"/>
      <c r="B10" s="375" t="s">
        <v>223</v>
      </c>
      <c r="C10" s="375"/>
      <c r="D10" s="375"/>
      <c r="E10" s="375"/>
      <c r="F10" s="375"/>
      <c r="G10" s="469">
        <f>-'project cost'!C20*100000</f>
        <v>-57000000000</v>
      </c>
      <c r="H10" s="461"/>
      <c r="I10" s="6"/>
    </row>
    <row r="11" spans="1:9">
      <c r="A11" s="6"/>
      <c r="B11" s="6"/>
      <c r="C11" s="375"/>
      <c r="D11" s="622"/>
      <c r="E11" s="622"/>
      <c r="F11" s="622"/>
      <c r="G11" s="622"/>
      <c r="H11" s="6"/>
      <c r="I11" s="6"/>
    </row>
    <row r="12" spans="1:9">
      <c r="A12" s="6"/>
      <c r="B12" s="6"/>
      <c r="C12" s="375"/>
      <c r="D12" s="375"/>
      <c r="E12" s="375"/>
      <c r="F12" s="375"/>
      <c r="G12" s="375"/>
      <c r="H12" s="6"/>
      <c r="I12" s="6"/>
    </row>
    <row r="13" spans="1:9">
      <c r="A13" s="6"/>
      <c r="B13" s="375" t="s">
        <v>353</v>
      </c>
      <c r="C13" s="375"/>
      <c r="D13" s="375"/>
      <c r="E13" s="375"/>
      <c r="F13" s="375"/>
      <c r="G13" s="375"/>
      <c r="H13" s="6"/>
      <c r="I13" s="6"/>
    </row>
    <row r="14" spans="1:9">
      <c r="A14" s="6"/>
      <c r="B14" s="6"/>
      <c r="C14" s="375"/>
      <c r="D14" s="375"/>
      <c r="E14" s="375"/>
      <c r="F14" s="375"/>
      <c r="G14" s="375"/>
      <c r="H14" s="6"/>
      <c r="I14" s="6"/>
    </row>
    <row r="15" spans="1:9">
      <c r="A15" s="6"/>
      <c r="B15" s="6" t="str">
        <f>Assumptions!I78</f>
        <v>2024-25</v>
      </c>
      <c r="C15" s="375"/>
      <c r="D15" s="375"/>
      <c r="E15" s="375"/>
      <c r="F15" s="375"/>
      <c r="G15" s="462">
        <f>CFs!B45</f>
        <v>4680810000</v>
      </c>
      <c r="H15" s="461"/>
      <c r="I15" s="6"/>
    </row>
    <row r="16" spans="1:9">
      <c r="A16" s="6"/>
      <c r="B16" s="6"/>
      <c r="C16" s="375"/>
      <c r="D16" s="375"/>
      <c r="E16" s="375"/>
      <c r="F16" s="375"/>
      <c r="G16" s="462"/>
      <c r="H16" s="461"/>
      <c r="I16" s="6"/>
    </row>
    <row r="17" spans="1:11">
      <c r="A17" s="6"/>
      <c r="B17" s="6" t="str">
        <f>Assumptions!I79</f>
        <v>2025-26</v>
      </c>
      <c r="C17" s="375"/>
      <c r="D17" s="375"/>
      <c r="E17" s="375"/>
      <c r="F17" s="375"/>
      <c r="G17" s="462">
        <f>CFs!C45</f>
        <v>-6652740000</v>
      </c>
      <c r="H17" s="461"/>
      <c r="I17" s="6"/>
    </row>
    <row r="18" spans="1:11">
      <c r="A18" s="6"/>
      <c r="B18" s="6"/>
      <c r="C18" s="375"/>
      <c r="D18" s="375"/>
      <c r="E18" s="375"/>
      <c r="F18" s="375"/>
      <c r="G18" s="462"/>
      <c r="H18" s="461"/>
      <c r="I18" s="6"/>
    </row>
    <row r="19" spans="1:11">
      <c r="A19" s="6"/>
      <c r="B19" s="6" t="str">
        <f>Assumptions!I80</f>
        <v>2026-27</v>
      </c>
      <c r="C19" s="375"/>
      <c r="D19" s="375"/>
      <c r="E19" s="375"/>
      <c r="F19" s="375"/>
      <c r="G19" s="462">
        <f>CFs!D45</f>
        <v>15844490000</v>
      </c>
      <c r="H19" s="461"/>
      <c r="I19" s="6"/>
    </row>
    <row r="20" spans="1:11">
      <c r="A20" s="6"/>
      <c r="B20" s="6"/>
      <c r="C20" s="375"/>
      <c r="D20" s="375"/>
      <c r="E20" s="375"/>
      <c r="F20" s="375"/>
      <c r="G20" s="462"/>
      <c r="H20" s="461"/>
      <c r="I20" s="6"/>
    </row>
    <row r="21" spans="1:11">
      <c r="A21" s="6"/>
      <c r="B21" s="6" t="str">
        <f>Assumptions!I81</f>
        <v>2027-28</v>
      </c>
      <c r="C21" s="375"/>
      <c r="D21" s="375"/>
      <c r="E21" s="375"/>
      <c r="F21" s="375"/>
      <c r="G21" s="462">
        <f>CFs!E45</f>
        <v>3920050000.0000019</v>
      </c>
      <c r="H21" s="461"/>
      <c r="I21" s="6"/>
    </row>
    <row r="22" spans="1:11">
      <c r="A22" s="6"/>
      <c r="B22" s="6"/>
      <c r="C22" s="375"/>
      <c r="D22" s="375"/>
      <c r="E22" s="375"/>
      <c r="F22" s="375"/>
      <c r="G22" s="462"/>
      <c r="H22" s="461"/>
      <c r="I22" s="6"/>
    </row>
    <row r="23" spans="1:11">
      <c r="A23" s="6"/>
      <c r="B23" s="6" t="str">
        <f>Assumptions!I82</f>
        <v>2028-29</v>
      </c>
      <c r="C23" s="375"/>
      <c r="D23" s="375"/>
      <c r="E23" s="375"/>
      <c r="F23" s="375"/>
      <c r="G23" s="462">
        <f>CFs!F45</f>
        <v>4210280000</v>
      </c>
      <c r="H23" s="461"/>
      <c r="I23" s="6"/>
    </row>
    <row r="24" spans="1:11">
      <c r="A24" s="6"/>
      <c r="B24" s="6"/>
      <c r="C24" s="375"/>
      <c r="D24" s="375"/>
      <c r="E24" s="375"/>
      <c r="F24" s="375"/>
      <c r="G24" s="462"/>
      <c r="H24" s="461"/>
      <c r="I24" s="6"/>
    </row>
    <row r="25" spans="1:11">
      <c r="A25" s="6"/>
      <c r="B25" s="6" t="str">
        <f>Assumptions!I83</f>
        <v>2029-30</v>
      </c>
      <c r="C25" s="375"/>
      <c r="D25" s="375"/>
      <c r="E25" s="375"/>
      <c r="F25" s="375"/>
      <c r="G25" s="462">
        <f>CFs!G45</f>
        <v>5010100000</v>
      </c>
      <c r="H25" s="461"/>
      <c r="I25" s="463"/>
    </row>
    <row r="26" spans="1:11">
      <c r="A26" s="6"/>
      <c r="B26" s="6"/>
      <c r="C26" s="375"/>
      <c r="D26" s="375"/>
      <c r="E26" s="375"/>
      <c r="F26" s="375"/>
      <c r="G26" s="462"/>
      <c r="H26" s="461"/>
      <c r="I26" s="463"/>
    </row>
    <row r="27" spans="1:11">
      <c r="A27" s="6"/>
      <c r="B27" s="6" t="str">
        <f>Assumptions!I84</f>
        <v>2030-31</v>
      </c>
      <c r="C27" s="375"/>
      <c r="D27" s="375"/>
      <c r="E27" s="375"/>
      <c r="F27" s="375"/>
      <c r="G27" s="462">
        <f>CFs!H45</f>
        <v>5341689999.9999981</v>
      </c>
      <c r="H27" s="461"/>
      <c r="I27" s="6"/>
    </row>
    <row r="28" spans="1:11">
      <c r="A28" s="6"/>
      <c r="B28" s="6"/>
      <c r="C28" s="375"/>
      <c r="D28" s="375"/>
      <c r="E28" s="375"/>
      <c r="F28" s="375"/>
      <c r="H28" s="461"/>
      <c r="I28" s="6"/>
    </row>
    <row r="29" spans="1:11">
      <c r="A29" s="6"/>
      <c r="B29" s="6" t="str">
        <f>Assumptions!I85</f>
        <v>2031-32</v>
      </c>
      <c r="C29" s="375"/>
      <c r="D29" s="375"/>
      <c r="E29" s="375"/>
      <c r="F29" s="375"/>
      <c r="G29" s="464">
        <f>CFs!I45</f>
        <v>5122130000.0000038</v>
      </c>
      <c r="H29" s="6"/>
      <c r="I29" s="6"/>
    </row>
    <row r="30" spans="1:11" ht="15" thickBot="1">
      <c r="A30" s="6"/>
      <c r="B30" s="375"/>
      <c r="C30" s="375"/>
      <c r="D30" s="375"/>
      <c r="E30" s="375"/>
      <c r="F30" s="375"/>
      <c r="G30" s="375"/>
      <c r="H30" s="6"/>
      <c r="I30" s="6"/>
    </row>
    <row r="31" spans="1:11" ht="18" customHeight="1" thickBot="1">
      <c r="A31" s="6"/>
      <c r="B31" s="925" t="s">
        <v>507</v>
      </c>
      <c r="C31" s="926"/>
      <c r="D31" s="926"/>
      <c r="E31" s="926"/>
      <c r="F31" s="926"/>
      <c r="G31" s="465">
        <f>MIRR(G10:G30,Assumptions!I45,Assumptions!F129)</f>
        <v>1.7067425622990129E-2</v>
      </c>
      <c r="H31" s="463"/>
      <c r="I31" s="6"/>
      <c r="K31" s="2" t="s">
        <v>224</v>
      </c>
    </row>
    <row r="32" spans="1:11">
      <c r="A32" s="6"/>
      <c r="B32" s="375"/>
      <c r="C32" s="375"/>
      <c r="D32" s="375"/>
      <c r="E32" s="375"/>
      <c r="F32" s="375"/>
      <c r="G32" s="375"/>
      <c r="H32" s="6"/>
      <c r="I32" s="6"/>
    </row>
    <row r="33" spans="1:9" ht="15" thickBot="1">
      <c r="A33" s="6"/>
      <c r="B33" s="3"/>
      <c r="C33" s="3"/>
      <c r="D33" s="3"/>
      <c r="E33" s="3"/>
      <c r="F33" s="3"/>
      <c r="G33" s="3"/>
      <c r="H33" s="6"/>
      <c r="I33" s="6"/>
    </row>
    <row r="34" spans="1:9">
      <c r="A34" s="6"/>
      <c r="B34" s="6"/>
      <c r="C34" s="6"/>
      <c r="D34" s="6"/>
      <c r="E34" s="6"/>
      <c r="F34" s="6"/>
      <c r="G34" s="6"/>
      <c r="H34" s="6"/>
      <c r="I34" s="6"/>
    </row>
    <row r="35" spans="1:9" ht="16.2">
      <c r="A35" s="6"/>
      <c r="B35" s="366" t="s">
        <v>515</v>
      </c>
      <c r="C35" s="6"/>
      <c r="D35" s="6"/>
      <c r="E35" s="6"/>
      <c r="F35" s="6"/>
      <c r="G35" s="6"/>
      <c r="H35" s="6"/>
      <c r="I35" s="6"/>
    </row>
    <row r="36" spans="1:9" ht="16.2">
      <c r="A36" s="6"/>
      <c r="B36" s="114" t="s">
        <v>809</v>
      </c>
      <c r="C36" s="6"/>
      <c r="D36" s="6"/>
      <c r="E36" s="612">
        <f>Assumptions!F129</f>
        <v>0.13500000000000001</v>
      </c>
      <c r="F36" s="6"/>
      <c r="G36" s="6"/>
      <c r="H36" s="6"/>
      <c r="I36" s="6"/>
    </row>
    <row r="37" spans="1:9">
      <c r="A37" s="6"/>
      <c r="B37" s="6"/>
      <c r="C37" s="6"/>
      <c r="D37" s="6"/>
      <c r="E37" s="6"/>
      <c r="F37" s="6"/>
      <c r="G37" s="6"/>
      <c r="H37" s="6"/>
      <c r="I37" s="6"/>
    </row>
    <row r="38" spans="1:9">
      <c r="A38" s="6"/>
      <c r="B38" s="6"/>
      <c r="C38" s="6"/>
      <c r="D38" s="6"/>
      <c r="E38" s="6"/>
      <c r="F38" s="6"/>
      <c r="G38" s="6"/>
      <c r="H38" s="6"/>
      <c r="I38" s="6"/>
    </row>
    <row r="39" spans="1:9">
      <c r="A39" s="6"/>
      <c r="B39" s="6"/>
      <c r="C39" s="6"/>
      <c r="D39" s="6"/>
      <c r="E39" s="6"/>
      <c r="F39" s="6"/>
      <c r="G39" s="6"/>
      <c r="H39" s="6"/>
      <c r="I39" s="6"/>
    </row>
  </sheetData>
  <mergeCells count="6">
    <mergeCell ref="B2:G2"/>
    <mergeCell ref="B3:G3"/>
    <mergeCell ref="B4:G5"/>
    <mergeCell ref="B6:G6"/>
    <mergeCell ref="B8:F8"/>
    <mergeCell ref="B31:F31"/>
  </mergeCells>
  <pageMargins left="0.24" right="0.28000000000000003" top="0.74803149606299213" bottom="0.74803149606299213" header="0.31496062992125984" footer="0.31496062992125984"/>
  <pageSetup scale="11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3C535-1348-441E-A5DD-3050AB730DFF}">
  <sheetPr codeName="Sheet27"/>
  <dimension ref="B2:K23"/>
  <sheetViews>
    <sheetView view="pageBreakPreview" zoomScale="60" zoomScaleNormal="100" workbookViewId="0">
      <selection activeCell="L12" sqref="L12"/>
    </sheetView>
  </sheetViews>
  <sheetFormatPr defaultRowHeight="13.2"/>
  <cols>
    <col min="1" max="1" width="7.21875" customWidth="1"/>
    <col min="2" max="2" width="25.21875" customWidth="1"/>
    <col min="3" max="3" width="18.21875" customWidth="1"/>
    <col min="4" max="4" width="17" customWidth="1"/>
    <col min="5" max="5" width="16.77734375" customWidth="1"/>
    <col min="6" max="6" width="17.21875" customWidth="1"/>
    <col min="7" max="7" width="3.77734375" customWidth="1"/>
  </cols>
  <sheetData>
    <row r="2" spans="2:11" ht="16.2">
      <c r="B2" s="882" t="str">
        <f>Assumptions!I17</f>
        <v>Doe Textiles</v>
      </c>
      <c r="C2" s="882"/>
      <c r="D2" s="882"/>
      <c r="E2" s="882"/>
      <c r="F2" s="882"/>
    </row>
    <row r="3" spans="2:11" ht="16.2">
      <c r="B3" s="882" t="str">
        <f>Assumptions!I8</f>
        <v>John Doe</v>
      </c>
      <c r="C3" s="882"/>
      <c r="D3" s="882"/>
      <c r="E3" s="882"/>
      <c r="F3" s="882"/>
    </row>
    <row r="4" spans="2:11" ht="16.2">
      <c r="B4" s="882" t="str">
        <f>Assumptions!I16</f>
        <v>123 Industrial Area, City</v>
      </c>
      <c r="C4" s="882"/>
      <c r="D4" s="882"/>
      <c r="E4" s="882"/>
      <c r="F4" s="882"/>
    </row>
    <row r="5" spans="2:11" ht="16.2">
      <c r="B5" s="442"/>
      <c r="C5" s="442"/>
      <c r="D5" s="442"/>
      <c r="E5" s="442"/>
      <c r="F5" s="442"/>
    </row>
    <row r="7" spans="2:11" ht="16.2">
      <c r="B7" s="880" t="s">
        <v>609</v>
      </c>
      <c r="C7" s="880"/>
      <c r="D7" s="880"/>
      <c r="E7" s="880"/>
      <c r="F7" s="880"/>
    </row>
    <row r="8" spans="2:11" ht="16.2">
      <c r="B8" s="882"/>
      <c r="C8" s="882"/>
      <c r="D8" s="882"/>
      <c r="E8" s="882"/>
      <c r="F8" s="882"/>
    </row>
    <row r="9" spans="2:11" ht="16.2">
      <c r="B9" s="115"/>
      <c r="C9" s="114"/>
    </row>
    <row r="10" spans="2:11" ht="60.75" customHeight="1" thickBot="1">
      <c r="B10" s="261" t="s">
        <v>14</v>
      </c>
      <c r="C10" s="447" t="s">
        <v>912</v>
      </c>
      <c r="D10" s="260" t="s">
        <v>606</v>
      </c>
      <c r="E10" s="260" t="s">
        <v>607</v>
      </c>
      <c r="F10" s="260" t="s">
        <v>605</v>
      </c>
    </row>
    <row r="11" spans="2:11" ht="16.8" thickTop="1">
      <c r="B11" s="114"/>
      <c r="C11" s="114"/>
      <c r="D11" s="114"/>
    </row>
    <row r="12" spans="2:11" ht="16.2">
      <c r="B12" s="114" t="s">
        <v>195</v>
      </c>
      <c r="C12" s="116">
        <f>'project cost'!C27</f>
        <v>57000</v>
      </c>
      <c r="D12" s="144">
        <f>C12/C19</f>
        <v>0.1</v>
      </c>
      <c r="E12" s="444">
        <f>Assumptions!F128</f>
        <v>0.1</v>
      </c>
      <c r="F12" s="443">
        <f>D12*E12</f>
        <v>1.0000000000000002E-2</v>
      </c>
      <c r="I12" s="123"/>
      <c r="J12" s="123"/>
      <c r="K12" s="445"/>
    </row>
    <row r="13" spans="2:11" ht="16.2">
      <c r="B13" s="114"/>
      <c r="C13" s="116"/>
      <c r="D13" s="144"/>
      <c r="E13" s="444"/>
      <c r="F13" s="358"/>
    </row>
    <row r="14" spans="2:11" ht="16.2">
      <c r="B14" s="114" t="s">
        <v>188</v>
      </c>
      <c r="C14" s="116">
        <f>'project cost'!C29</f>
        <v>63000</v>
      </c>
      <c r="D14" s="144">
        <f>C14/C19</f>
        <v>0.11052631578947368</v>
      </c>
      <c r="E14" s="444">
        <f>Assumptions!I45</f>
        <v>0.105</v>
      </c>
      <c r="F14" s="443">
        <f>D14*E14*(1-30%)</f>
        <v>8.1236842105263159E-3</v>
      </c>
    </row>
    <row r="15" spans="2:11" ht="16.2">
      <c r="B15" s="114"/>
      <c r="C15" s="116"/>
      <c r="D15" s="144"/>
      <c r="E15" s="444"/>
      <c r="F15" s="358"/>
    </row>
    <row r="16" spans="2:11" ht="16.2">
      <c r="B16" s="114" t="s">
        <v>371</v>
      </c>
      <c r="C16" s="116">
        <f>'project cost'!C31</f>
        <v>450000</v>
      </c>
      <c r="D16" s="144">
        <f>C16/C19</f>
        <v>0.78947368421052633</v>
      </c>
      <c r="E16" s="444">
        <f>Assumptions!I52</f>
        <v>0.12</v>
      </c>
      <c r="F16" s="443">
        <f>D16*E16*(1-30%)</f>
        <v>6.6315789473684203E-2</v>
      </c>
    </row>
    <row r="17" spans="2:6" ht="16.2">
      <c r="B17" s="114"/>
      <c r="C17" s="116"/>
      <c r="D17" s="144"/>
    </row>
    <row r="18" spans="2:6" ht="16.2">
      <c r="B18" s="114"/>
      <c r="C18" s="114"/>
      <c r="D18" s="114"/>
    </row>
    <row r="19" spans="2:6" ht="16.8" thickBot="1">
      <c r="B19" s="448" t="s">
        <v>39</v>
      </c>
      <c r="C19" s="449">
        <f>SUM(C12:C16)</f>
        <v>570000</v>
      </c>
      <c r="D19" s="450"/>
      <c r="E19" s="450"/>
      <c r="F19" s="451">
        <f>SUM(F11:F17)</f>
        <v>8.4439473684210523E-2</v>
      </c>
    </row>
    <row r="20" spans="2:6" ht="14.4">
      <c r="B20" s="2"/>
      <c r="C20" s="2"/>
    </row>
    <row r="21" spans="2:6" ht="14.4">
      <c r="B21" s="2"/>
      <c r="C21" s="2"/>
    </row>
    <row r="22" spans="2:6" ht="16.2">
      <c r="B22" s="358" t="s">
        <v>610</v>
      </c>
      <c r="C22" s="2"/>
      <c r="E22" s="443">
        <f>F19</f>
        <v>8.4439473684210523E-2</v>
      </c>
    </row>
    <row r="23" spans="2:6" ht="14.4">
      <c r="B23" s="2"/>
      <c r="C23" s="2"/>
    </row>
  </sheetData>
  <mergeCells count="5">
    <mergeCell ref="B7:F7"/>
    <mergeCell ref="B8:F8"/>
    <mergeCell ref="B2:F2"/>
    <mergeCell ref="B3:F3"/>
    <mergeCell ref="B4:F4"/>
  </mergeCells>
  <pageMargins left="0.24" right="0.18" top="0.73" bottom="0.75" header="0.3" footer="0.3"/>
  <pageSetup scale="97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1DD37-8A8A-43C7-8775-BBECCBCFDADA}">
  <sheetPr codeName="Sheet28"/>
  <dimension ref="A1:K39"/>
  <sheetViews>
    <sheetView view="pageBreakPreview" zoomScale="60" zoomScaleNormal="100" workbookViewId="0">
      <selection activeCell="Q42" sqref="Q42"/>
    </sheetView>
  </sheetViews>
  <sheetFormatPr defaultColWidth="9.21875" defaultRowHeight="14.4"/>
  <cols>
    <col min="1" max="1" width="3" style="2" customWidth="1"/>
    <col min="2" max="4" width="9.21875" style="2"/>
    <col min="5" max="5" width="31.5546875" style="2" customWidth="1"/>
    <col min="6" max="6" width="6.77734375" style="2" customWidth="1"/>
    <col min="7" max="7" width="15.21875" style="2" customWidth="1"/>
    <col min="8" max="8" width="2.77734375" style="2" customWidth="1"/>
    <col min="9" max="9" width="9.21875" style="2"/>
    <col min="10" max="10" width="8.5546875" style="2" customWidth="1"/>
    <col min="11" max="16384" width="9.21875" style="2"/>
  </cols>
  <sheetData>
    <row r="1" spans="1:9">
      <c r="B1" s="457"/>
      <c r="C1" s="457"/>
      <c r="D1" s="457"/>
      <c r="E1" s="457"/>
      <c r="F1" s="457"/>
      <c r="G1" s="457"/>
    </row>
    <row r="2" spans="1:9" ht="16.2">
      <c r="B2" s="928" t="str">
        <f>Assumptions!I17</f>
        <v>Doe Textiles</v>
      </c>
      <c r="C2" s="928"/>
      <c r="D2" s="928"/>
      <c r="E2" s="928"/>
      <c r="F2" s="928"/>
      <c r="G2" s="928"/>
    </row>
    <row r="3" spans="1:9" ht="16.2">
      <c r="B3" s="928" t="str">
        <f>Assumptions!I8</f>
        <v>John Doe</v>
      </c>
      <c r="C3" s="928"/>
      <c r="D3" s="928"/>
      <c r="E3" s="928"/>
      <c r="F3" s="928"/>
      <c r="G3" s="928"/>
    </row>
    <row r="4" spans="1:9" ht="18" customHeight="1">
      <c r="A4" s="442"/>
      <c r="B4" s="929" t="str">
        <f>Assumptions!I16</f>
        <v>123 Industrial Area, City</v>
      </c>
      <c r="C4" s="929"/>
      <c r="D4" s="929"/>
      <c r="E4" s="929"/>
      <c r="F4" s="929"/>
      <c r="G4" s="929"/>
      <c r="H4" s="442"/>
    </row>
    <row r="5" spans="1:9" ht="16.2">
      <c r="B5" s="929"/>
      <c r="C5" s="929"/>
      <c r="D5" s="929"/>
      <c r="E5" s="929"/>
      <c r="F5" s="929"/>
      <c r="G5" s="929"/>
      <c r="H5" s="446"/>
    </row>
    <row r="6" spans="1:9" ht="45" customHeight="1">
      <c r="A6" s="442"/>
      <c r="B6" s="882" t="s">
        <v>492</v>
      </c>
      <c r="C6" s="882"/>
      <c r="D6" s="882"/>
      <c r="E6" s="882"/>
      <c r="F6" s="882"/>
      <c r="G6" s="882"/>
      <c r="H6" s="442"/>
    </row>
    <row r="7" spans="1:9" ht="4.5" customHeight="1">
      <c r="A7" s="440"/>
      <c r="B7" s="458"/>
      <c r="C7" s="458"/>
      <c r="D7" s="458"/>
      <c r="E7" s="458"/>
      <c r="F7" s="458"/>
      <c r="G7" s="458"/>
      <c r="H7" s="440"/>
      <c r="I7" s="6"/>
    </row>
    <row r="8" spans="1:9" ht="34.5" customHeight="1" thickBot="1">
      <c r="A8" s="6"/>
      <c r="B8" s="927" t="s">
        <v>0</v>
      </c>
      <c r="C8" s="927"/>
      <c r="D8" s="927"/>
      <c r="E8" s="927"/>
      <c r="F8" s="927"/>
      <c r="G8" s="459" t="s">
        <v>225</v>
      </c>
      <c r="H8" s="440"/>
      <c r="I8" s="6"/>
    </row>
    <row r="9" spans="1:9" ht="15" thickTop="1">
      <c r="A9" s="6"/>
      <c r="B9" s="375"/>
      <c r="C9" s="375"/>
      <c r="D9" s="375"/>
      <c r="E9" s="375"/>
      <c r="F9" s="375"/>
      <c r="G9" s="375"/>
      <c r="H9" s="6"/>
      <c r="I9" s="6"/>
    </row>
    <row r="10" spans="1:9" ht="14.25" customHeight="1">
      <c r="A10" s="6"/>
      <c r="B10" s="375" t="s">
        <v>223</v>
      </c>
      <c r="C10" s="375"/>
      <c r="D10" s="375"/>
      <c r="E10" s="375"/>
      <c r="F10" s="375"/>
      <c r="G10" s="460">
        <f>-'project cost'!C20*100000</f>
        <v>-57000000000</v>
      </c>
      <c r="H10" s="461"/>
      <c r="I10" s="6"/>
    </row>
    <row r="11" spans="1:9">
      <c r="A11" s="6"/>
      <c r="B11" s="6"/>
      <c r="C11" s="375"/>
      <c r="D11" s="375"/>
      <c r="E11" s="622"/>
      <c r="F11" s="622"/>
      <c r="G11" s="622"/>
      <c r="H11" s="6"/>
      <c r="I11" s="6"/>
    </row>
    <row r="12" spans="1:9">
      <c r="A12" s="6"/>
      <c r="B12" s="6"/>
      <c r="C12" s="375"/>
      <c r="D12" s="375"/>
      <c r="E12" s="375"/>
      <c r="F12" s="375"/>
      <c r="G12" s="375"/>
      <c r="H12" s="6"/>
      <c r="I12" s="6"/>
    </row>
    <row r="13" spans="1:9">
      <c r="A13" s="6"/>
      <c r="B13" s="375" t="s">
        <v>353</v>
      </c>
      <c r="C13" s="375"/>
      <c r="D13" s="375"/>
      <c r="E13" s="375"/>
      <c r="F13" s="375"/>
      <c r="G13" s="375"/>
      <c r="H13" s="6"/>
      <c r="I13" s="6"/>
    </row>
    <row r="14" spans="1:9">
      <c r="A14" s="6"/>
      <c r="B14" s="6"/>
      <c r="C14" s="375"/>
      <c r="D14" s="375"/>
      <c r="E14" s="375"/>
      <c r="F14" s="375"/>
      <c r="G14" s="375"/>
      <c r="H14" s="6"/>
      <c r="I14" s="6"/>
    </row>
    <row r="15" spans="1:9">
      <c r="A15" s="6"/>
      <c r="B15" s="6" t="str">
        <f>Assumptions!I78</f>
        <v>2024-25</v>
      </c>
      <c r="C15" s="375"/>
      <c r="D15" s="375"/>
      <c r="E15" s="375"/>
      <c r="F15" s="375"/>
      <c r="G15" s="462">
        <f>CFs!B45</f>
        <v>4680810000</v>
      </c>
      <c r="H15" s="461"/>
      <c r="I15" s="6"/>
    </row>
    <row r="16" spans="1:9">
      <c r="A16" s="6"/>
      <c r="B16" s="6"/>
      <c r="C16" s="375"/>
      <c r="D16" s="375"/>
      <c r="E16" s="375"/>
      <c r="F16" s="375"/>
      <c r="G16" s="462"/>
      <c r="H16" s="461"/>
      <c r="I16" s="6"/>
    </row>
    <row r="17" spans="1:11">
      <c r="A17" s="6"/>
      <c r="B17" s="6" t="str">
        <f>Assumptions!I79</f>
        <v>2025-26</v>
      </c>
      <c r="C17" s="375"/>
      <c r="D17" s="375"/>
      <c r="E17" s="375"/>
      <c r="F17" s="375"/>
      <c r="G17" s="462">
        <f>CFs!C45</f>
        <v>-6652740000</v>
      </c>
      <c r="H17" s="461"/>
      <c r="I17" s="6"/>
    </row>
    <row r="18" spans="1:11">
      <c r="A18" s="6"/>
      <c r="B18" s="6"/>
      <c r="C18" s="375"/>
      <c r="D18" s="375"/>
      <c r="E18" s="375"/>
      <c r="F18" s="375"/>
      <c r="G18" s="462"/>
      <c r="H18" s="461"/>
      <c r="I18" s="6"/>
    </row>
    <row r="19" spans="1:11">
      <c r="A19" s="6"/>
      <c r="B19" s="6" t="str">
        <f>Assumptions!I80</f>
        <v>2026-27</v>
      </c>
      <c r="C19" s="375"/>
      <c r="D19" s="375"/>
      <c r="E19" s="375"/>
      <c r="F19" s="375"/>
      <c r="G19" s="462">
        <f>CFs!D45</f>
        <v>15844490000</v>
      </c>
      <c r="H19" s="461"/>
      <c r="I19" s="6"/>
    </row>
    <row r="20" spans="1:11">
      <c r="A20" s="6"/>
      <c r="B20" s="6"/>
      <c r="C20" s="375"/>
      <c r="D20" s="375"/>
      <c r="E20" s="375"/>
      <c r="F20" s="375"/>
      <c r="G20" s="462"/>
      <c r="H20" s="461"/>
      <c r="I20" s="6"/>
    </row>
    <row r="21" spans="1:11">
      <c r="A21" s="6"/>
      <c r="B21" s="6" t="str">
        <f>Assumptions!I81</f>
        <v>2027-28</v>
      </c>
      <c r="C21" s="375"/>
      <c r="D21" s="375"/>
      <c r="E21" s="375"/>
      <c r="F21" s="375"/>
      <c r="G21" s="462">
        <f>CFs!E45</f>
        <v>3920050000.0000019</v>
      </c>
      <c r="H21" s="461"/>
      <c r="I21" s="6"/>
    </row>
    <row r="22" spans="1:11">
      <c r="A22" s="6"/>
      <c r="B22" s="6"/>
      <c r="C22" s="375"/>
      <c r="D22" s="375"/>
      <c r="E22" s="375"/>
      <c r="F22" s="375"/>
      <c r="G22" s="462"/>
      <c r="H22" s="461"/>
      <c r="I22" s="6"/>
    </row>
    <row r="23" spans="1:11">
      <c r="A23" s="6"/>
      <c r="B23" s="6" t="str">
        <f>Assumptions!I82</f>
        <v>2028-29</v>
      </c>
      <c r="C23" s="375"/>
      <c r="D23" s="375"/>
      <c r="E23" s="375"/>
      <c r="F23" s="375"/>
      <c r="G23" s="462">
        <f>CFs!F45</f>
        <v>4210280000</v>
      </c>
      <c r="H23" s="461"/>
      <c r="I23" s="6"/>
    </row>
    <row r="24" spans="1:11">
      <c r="A24" s="6"/>
      <c r="B24" s="6"/>
      <c r="C24" s="375"/>
      <c r="D24" s="375"/>
      <c r="E24" s="375"/>
      <c r="F24" s="375"/>
      <c r="G24" s="462"/>
      <c r="H24" s="461"/>
      <c r="I24" s="6"/>
    </row>
    <row r="25" spans="1:11">
      <c r="A25" s="6"/>
      <c r="B25" s="6" t="str">
        <f>Assumptions!I83</f>
        <v>2029-30</v>
      </c>
      <c r="C25" s="375"/>
      <c r="D25" s="375"/>
      <c r="E25" s="375"/>
      <c r="F25" s="375"/>
      <c r="G25" s="462">
        <f>CFs!G45</f>
        <v>5010100000</v>
      </c>
      <c r="H25" s="461"/>
      <c r="I25" s="463"/>
    </row>
    <row r="26" spans="1:11">
      <c r="A26" s="6"/>
      <c r="B26" s="6"/>
      <c r="C26" s="375"/>
      <c r="D26" s="375"/>
      <c r="E26" s="375"/>
      <c r="F26" s="375"/>
      <c r="G26" s="462"/>
      <c r="H26" s="461"/>
      <c r="I26" s="463"/>
    </row>
    <row r="27" spans="1:11">
      <c r="A27" s="6"/>
      <c r="B27" s="6" t="str">
        <f>Assumptions!I84</f>
        <v>2030-31</v>
      </c>
      <c r="C27" s="375"/>
      <c r="D27" s="375"/>
      <c r="E27" s="375"/>
      <c r="F27" s="375"/>
      <c r="G27" s="462">
        <f>CFs!H45</f>
        <v>5341689999.9999981</v>
      </c>
      <c r="H27" s="461"/>
      <c r="I27" s="6"/>
    </row>
    <row r="28" spans="1:11">
      <c r="A28" s="6"/>
      <c r="B28" s="6"/>
      <c r="C28" s="375"/>
      <c r="D28" s="375"/>
      <c r="E28" s="375"/>
      <c r="F28" s="375"/>
      <c r="H28" s="461"/>
      <c r="I28" s="6"/>
    </row>
    <row r="29" spans="1:11">
      <c r="A29" s="6"/>
      <c r="B29" s="6" t="str">
        <f>Assumptions!I85</f>
        <v>2031-32</v>
      </c>
      <c r="C29" s="375"/>
      <c r="D29" s="375"/>
      <c r="E29" s="375"/>
      <c r="F29" s="375"/>
      <c r="G29" s="464">
        <f>CFs!I45</f>
        <v>5122130000.0000038</v>
      </c>
      <c r="H29" s="6"/>
      <c r="I29" s="6"/>
    </row>
    <row r="30" spans="1:11" ht="15" thickBot="1">
      <c r="A30" s="6"/>
      <c r="B30" s="375"/>
      <c r="C30" s="375"/>
      <c r="D30" s="375"/>
      <c r="E30" s="375"/>
      <c r="F30" s="375"/>
      <c r="G30" s="375"/>
      <c r="H30" s="6"/>
      <c r="I30" s="6"/>
    </row>
    <row r="31" spans="1:11" ht="18" customHeight="1" thickBot="1">
      <c r="A31" s="6"/>
      <c r="B31" s="925" t="s">
        <v>492</v>
      </c>
      <c r="C31" s="926"/>
      <c r="D31" s="926"/>
      <c r="E31" s="926"/>
      <c r="F31" s="926"/>
      <c r="G31" s="466">
        <f>NPV(Assumptions!I45,'Profitability Index'!G15:G30)/ABS('Profitability Index'!G10)</f>
        <v>0.41101456803129433</v>
      </c>
      <c r="H31" s="463"/>
      <c r="I31" s="6"/>
      <c r="K31" s="2" t="s">
        <v>224</v>
      </c>
    </row>
    <row r="32" spans="1:11">
      <c r="A32" s="6"/>
      <c r="B32" s="375"/>
      <c r="C32" s="375"/>
      <c r="D32" s="375"/>
      <c r="E32" s="375"/>
      <c r="F32" s="375"/>
      <c r="G32" s="375"/>
      <c r="H32" s="6"/>
      <c r="I32" s="6"/>
    </row>
    <row r="33" spans="1:9">
      <c r="A33" s="6"/>
      <c r="B33" s="6"/>
      <c r="C33" s="6"/>
      <c r="D33" s="6"/>
      <c r="E33" s="6"/>
      <c r="F33" s="6"/>
      <c r="G33" s="6"/>
      <c r="H33" s="6"/>
      <c r="I33" s="6"/>
    </row>
    <row r="34" spans="1:9">
      <c r="A34" s="6"/>
      <c r="B34" s="2" t="s">
        <v>516</v>
      </c>
      <c r="C34" s="6"/>
      <c r="D34" s="6"/>
      <c r="E34" s="6"/>
      <c r="F34" s="367">
        <f>G31-1</f>
        <v>-0.58898543196870567</v>
      </c>
      <c r="G34" s="6" t="s">
        <v>493</v>
      </c>
      <c r="H34" s="6"/>
      <c r="I34" s="6"/>
    </row>
    <row r="35" spans="1:9" ht="15" thickBot="1">
      <c r="A35" s="6"/>
      <c r="B35" s="3"/>
      <c r="C35" s="3"/>
      <c r="D35" s="3"/>
      <c r="E35" s="3"/>
      <c r="F35" s="3"/>
      <c r="G35" s="3"/>
      <c r="H35" s="6"/>
      <c r="I35" s="6"/>
    </row>
    <row r="36" spans="1:9">
      <c r="A36" s="6"/>
      <c r="B36" s="6"/>
      <c r="C36" s="6"/>
      <c r="D36" s="6"/>
      <c r="E36" s="6"/>
      <c r="F36" s="6"/>
      <c r="G36" s="6"/>
      <c r="H36" s="6"/>
      <c r="I36" s="6"/>
    </row>
    <row r="37" spans="1:9">
      <c r="A37" s="6"/>
      <c r="B37" s="6"/>
      <c r="C37" s="6"/>
      <c r="D37" s="6"/>
      <c r="E37" s="6"/>
      <c r="F37" s="6"/>
      <c r="G37" s="6"/>
      <c r="H37" s="6"/>
      <c r="I37" s="6"/>
    </row>
    <row r="38" spans="1:9">
      <c r="A38" s="6"/>
      <c r="B38" s="6"/>
      <c r="C38" s="6"/>
      <c r="D38" s="6"/>
      <c r="E38" s="6"/>
      <c r="F38" s="6"/>
      <c r="G38" s="6"/>
      <c r="H38" s="6"/>
      <c r="I38" s="6"/>
    </row>
    <row r="39" spans="1:9">
      <c r="A39" s="6"/>
      <c r="B39" s="6"/>
      <c r="C39" s="6"/>
      <c r="D39" s="6"/>
      <c r="E39" s="6"/>
      <c r="F39" s="6"/>
      <c r="G39" s="6"/>
      <c r="H39" s="6"/>
      <c r="I39" s="6"/>
    </row>
  </sheetData>
  <mergeCells count="6">
    <mergeCell ref="B2:G2"/>
    <mergeCell ref="B3:G3"/>
    <mergeCell ref="B4:G5"/>
    <mergeCell ref="B6:G6"/>
    <mergeCell ref="B8:F8"/>
    <mergeCell ref="B31:F31"/>
  </mergeCells>
  <pageMargins left="0.19685039370078741" right="0.15748031496062992" top="0.74803149606299213" bottom="0.74803149606299213" header="0.31496062992125984" footer="0.31496062992125984"/>
  <pageSetup scale="110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FD90E-DD2C-465F-B978-53E60971A0CA}">
  <sheetPr codeName="Sheet29"/>
  <dimension ref="A1:K37"/>
  <sheetViews>
    <sheetView view="pageBreakPreview" zoomScale="60" zoomScaleNormal="100" workbookViewId="0">
      <selection activeCell="G33" sqref="G33"/>
    </sheetView>
  </sheetViews>
  <sheetFormatPr defaultColWidth="9.21875" defaultRowHeight="14.4"/>
  <cols>
    <col min="1" max="1" width="9.21875" style="2"/>
    <col min="2" max="2" width="19.21875" style="2" customWidth="1"/>
    <col min="3" max="6" width="9.21875" style="2"/>
    <col min="7" max="7" width="15.21875" style="2" customWidth="1"/>
    <col min="8" max="8" width="3.77734375" style="2" customWidth="1"/>
    <col min="9" max="9" width="9.21875" style="2"/>
    <col min="10" max="10" width="8.5546875" style="2" customWidth="1"/>
    <col min="11" max="16384" width="9.21875" style="2"/>
  </cols>
  <sheetData>
    <row r="1" spans="1:9">
      <c r="B1" s="457"/>
      <c r="C1" s="457"/>
      <c r="D1" s="457"/>
      <c r="E1" s="457"/>
      <c r="F1" s="457"/>
      <c r="G1" s="457"/>
    </row>
    <row r="2" spans="1:9" ht="16.2">
      <c r="B2" s="928" t="str">
        <f>Assumptions!I17</f>
        <v>Doe Textiles</v>
      </c>
      <c r="C2" s="928"/>
      <c r="D2" s="928"/>
      <c r="E2" s="928"/>
      <c r="F2" s="928"/>
      <c r="G2" s="928"/>
    </row>
    <row r="3" spans="1:9" ht="16.2">
      <c r="B3" s="928" t="str">
        <f>Assumptions!I8</f>
        <v>John Doe</v>
      </c>
      <c r="C3" s="928"/>
      <c r="D3" s="928"/>
      <c r="E3" s="928"/>
      <c r="F3" s="928"/>
      <c r="G3" s="928"/>
    </row>
    <row r="4" spans="1:9" ht="18" customHeight="1">
      <c r="A4" s="442"/>
      <c r="B4" s="929" t="str">
        <f>Assumptions!I16</f>
        <v>123 Industrial Area, City</v>
      </c>
      <c r="C4" s="929"/>
      <c r="D4" s="929"/>
      <c r="E4" s="929"/>
      <c r="F4" s="929"/>
      <c r="G4" s="929"/>
      <c r="H4" s="442"/>
    </row>
    <row r="5" spans="1:9" ht="16.2">
      <c r="B5" s="929"/>
      <c r="C5" s="929"/>
      <c r="D5" s="929"/>
      <c r="E5" s="929"/>
      <c r="F5" s="929"/>
      <c r="G5" s="929"/>
      <c r="H5" s="446"/>
    </row>
    <row r="6" spans="1:9" ht="16.2">
      <c r="B6" s="345"/>
      <c r="C6" s="345"/>
      <c r="D6" s="345"/>
      <c r="E6" s="345"/>
      <c r="F6" s="345"/>
      <c r="G6" s="345"/>
      <c r="H6" s="446"/>
    </row>
    <row r="7" spans="1:9" ht="45" customHeight="1">
      <c r="A7" s="442"/>
      <c r="B7" s="934" t="s">
        <v>494</v>
      </c>
      <c r="C7" s="934"/>
      <c r="D7" s="934"/>
      <c r="E7" s="934"/>
      <c r="F7" s="934"/>
      <c r="G7" s="934"/>
      <c r="H7" s="442"/>
    </row>
    <row r="8" spans="1:9" ht="4.5" customHeight="1">
      <c r="A8" s="440"/>
      <c r="B8" s="458"/>
      <c r="C8" s="458"/>
      <c r="D8" s="458"/>
      <c r="E8" s="458"/>
      <c r="F8" s="458"/>
      <c r="G8" s="458"/>
      <c r="H8" s="440"/>
      <c r="I8" s="6"/>
    </row>
    <row r="9" spans="1:9" ht="34.5" customHeight="1" thickBot="1">
      <c r="A9" s="6"/>
      <c r="B9" s="927" t="s">
        <v>0</v>
      </c>
      <c r="C9" s="927"/>
      <c r="D9" s="927"/>
      <c r="E9" s="927"/>
      <c r="F9" s="927"/>
      <c r="G9" s="459" t="s">
        <v>225</v>
      </c>
      <c r="H9" s="440"/>
      <c r="I9" s="6"/>
    </row>
    <row r="10" spans="1:9" ht="15" thickTop="1">
      <c r="A10" s="6"/>
      <c r="B10" s="375"/>
      <c r="C10" s="375"/>
      <c r="D10" s="375"/>
      <c r="E10" s="375"/>
      <c r="F10" s="375"/>
      <c r="G10" s="375"/>
      <c r="H10" s="6"/>
      <c r="I10" s="6"/>
    </row>
    <row r="11" spans="1:9">
      <c r="A11" s="6"/>
      <c r="B11" s="375" t="s">
        <v>353</v>
      </c>
      <c r="C11" s="375"/>
      <c r="D11" s="375"/>
      <c r="E11" s="375"/>
      <c r="F11" s="375"/>
      <c r="G11" s="375"/>
      <c r="H11" s="6"/>
      <c r="I11" s="6"/>
    </row>
    <row r="12" spans="1:9">
      <c r="A12" s="6"/>
      <c r="B12" s="6"/>
      <c r="C12" s="375"/>
      <c r="D12" s="375"/>
      <c r="E12" s="375"/>
      <c r="F12" s="375"/>
      <c r="G12" s="375"/>
      <c r="H12" s="6"/>
      <c r="I12" s="6"/>
    </row>
    <row r="13" spans="1:9">
      <c r="A13" s="6"/>
      <c r="B13" s="6" t="str">
        <f>Assumptions!I78</f>
        <v>2024-25</v>
      </c>
      <c r="C13" s="375"/>
      <c r="D13" s="375"/>
      <c r="E13" s="375"/>
      <c r="F13" s="375"/>
      <c r="G13" s="462">
        <f>CFs!B45</f>
        <v>4680810000</v>
      </c>
      <c r="H13" s="461"/>
      <c r="I13" s="6"/>
    </row>
    <row r="14" spans="1:9">
      <c r="A14" s="6"/>
      <c r="B14" s="6"/>
      <c r="C14" s="375"/>
      <c r="D14" s="375"/>
      <c r="E14" s="375"/>
      <c r="F14" s="375"/>
      <c r="G14" s="462"/>
      <c r="H14" s="461"/>
      <c r="I14" s="6"/>
    </row>
    <row r="15" spans="1:9">
      <c r="A15" s="6"/>
      <c r="B15" s="6" t="str">
        <f>Assumptions!I79</f>
        <v>2025-26</v>
      </c>
      <c r="C15" s="375"/>
      <c r="D15" s="375"/>
      <c r="E15" s="375"/>
      <c r="F15" s="375"/>
      <c r="G15" s="462">
        <f>CFs!C45</f>
        <v>-6652740000</v>
      </c>
      <c r="H15" s="461"/>
      <c r="I15" s="6"/>
    </row>
    <row r="16" spans="1:9">
      <c r="A16" s="6"/>
      <c r="B16" s="6"/>
      <c r="C16" s="375"/>
      <c r="D16" s="375"/>
      <c r="E16" s="375"/>
      <c r="F16" s="375"/>
      <c r="G16" s="462"/>
      <c r="H16" s="461"/>
      <c r="I16" s="6"/>
    </row>
    <row r="17" spans="1:11">
      <c r="A17" s="6"/>
      <c r="B17" s="6" t="str">
        <f>Assumptions!I80</f>
        <v>2026-27</v>
      </c>
      <c r="C17" s="375"/>
      <c r="D17" s="375"/>
      <c r="E17" s="375"/>
      <c r="F17" s="375"/>
      <c r="G17" s="462">
        <f>CFs!D45</f>
        <v>15844490000</v>
      </c>
      <c r="H17" s="461"/>
      <c r="I17" s="6"/>
    </row>
    <row r="18" spans="1:11">
      <c r="A18" s="6"/>
      <c r="B18" s="6"/>
      <c r="C18" s="375"/>
      <c r="D18" s="375"/>
      <c r="E18" s="375"/>
      <c r="F18" s="375"/>
      <c r="G18" s="462"/>
      <c r="H18" s="461"/>
      <c r="I18" s="6"/>
    </row>
    <row r="19" spans="1:11">
      <c r="A19" s="6"/>
      <c r="B19" s="6" t="str">
        <f>Assumptions!I81</f>
        <v>2027-28</v>
      </c>
      <c r="C19" s="375"/>
      <c r="D19" s="375"/>
      <c r="E19" s="375"/>
      <c r="F19" s="375"/>
      <c r="G19" s="462">
        <f>CFs!E45</f>
        <v>3920050000.0000019</v>
      </c>
      <c r="H19" s="461"/>
      <c r="I19" s="6"/>
    </row>
    <row r="20" spans="1:11">
      <c r="A20" s="6"/>
      <c r="B20" s="6"/>
      <c r="C20" s="375"/>
      <c r="D20" s="375"/>
      <c r="E20" s="375"/>
      <c r="F20" s="375"/>
      <c r="G20" s="462"/>
      <c r="H20" s="461"/>
      <c r="I20" s="6"/>
    </row>
    <row r="21" spans="1:11">
      <c r="A21" s="6"/>
      <c r="B21" s="6" t="str">
        <f>Assumptions!I82</f>
        <v>2028-29</v>
      </c>
      <c r="C21" s="375"/>
      <c r="D21" s="375"/>
      <c r="E21" s="375"/>
      <c r="F21" s="375"/>
      <c r="G21" s="462">
        <f>CFs!F45</f>
        <v>4210280000</v>
      </c>
      <c r="H21" s="461"/>
      <c r="I21" s="6"/>
    </row>
    <row r="22" spans="1:11">
      <c r="A22" s="6"/>
      <c r="B22" s="6"/>
      <c r="C22" s="375"/>
      <c r="D22" s="375"/>
      <c r="E22" s="375"/>
      <c r="F22" s="375"/>
      <c r="G22" s="462"/>
      <c r="H22" s="461"/>
      <c r="I22" s="6"/>
    </row>
    <row r="23" spans="1:11">
      <c r="A23" s="6"/>
      <c r="B23" s="6" t="str">
        <f>Assumptions!I83</f>
        <v>2029-30</v>
      </c>
      <c r="C23" s="375"/>
      <c r="D23" s="375"/>
      <c r="E23" s="375"/>
      <c r="F23" s="375"/>
      <c r="G23" s="462">
        <f>CFs!G45</f>
        <v>5010100000</v>
      </c>
      <c r="H23" s="461"/>
      <c r="I23" s="463"/>
    </row>
    <row r="24" spans="1:11">
      <c r="A24" s="6"/>
      <c r="B24" s="6"/>
      <c r="C24" s="375"/>
      <c r="D24" s="375"/>
      <c r="E24" s="375"/>
      <c r="F24" s="375"/>
      <c r="G24" s="462"/>
      <c r="H24" s="461"/>
      <c r="I24" s="463"/>
    </row>
    <row r="25" spans="1:11">
      <c r="A25" s="6"/>
      <c r="B25" s="6" t="str">
        <f>Assumptions!I84</f>
        <v>2030-31</v>
      </c>
      <c r="C25" s="375"/>
      <c r="D25" s="375"/>
      <c r="E25" s="375"/>
      <c r="F25" s="375"/>
      <c r="G25" s="462">
        <f>CFs!H45</f>
        <v>5341689999.9999981</v>
      </c>
      <c r="H25" s="461"/>
      <c r="I25" s="6"/>
    </row>
    <row r="26" spans="1:11">
      <c r="A26" s="6"/>
      <c r="B26" s="6"/>
      <c r="C26" s="375"/>
      <c r="D26" s="375"/>
      <c r="E26" s="375"/>
      <c r="F26" s="375"/>
      <c r="H26" s="461"/>
      <c r="I26" s="6"/>
    </row>
    <row r="27" spans="1:11">
      <c r="A27" s="6"/>
      <c r="B27" s="6" t="str">
        <f>Assumptions!I85</f>
        <v>2031-32</v>
      </c>
      <c r="C27" s="375"/>
      <c r="D27" s="375"/>
      <c r="E27" s="375"/>
      <c r="F27" s="375"/>
      <c r="G27" s="464">
        <f>CFs!I45</f>
        <v>5122130000.0000038</v>
      </c>
      <c r="H27" s="6"/>
      <c r="I27" s="6"/>
    </row>
    <row r="28" spans="1:11">
      <c r="A28" s="6"/>
      <c r="B28" s="375"/>
      <c r="C28" s="375"/>
      <c r="D28" s="375"/>
      <c r="E28" s="375"/>
      <c r="F28" s="375"/>
      <c r="G28" s="375"/>
      <c r="H28" s="6"/>
      <c r="I28" s="6"/>
    </row>
    <row r="29" spans="1:11" ht="18" customHeight="1">
      <c r="A29" s="6"/>
      <c r="B29" s="467" t="s">
        <v>495</v>
      </c>
      <c r="C29" s="467"/>
      <c r="D29" s="467"/>
      <c r="E29" s="467"/>
      <c r="F29" s="467"/>
      <c r="G29" s="468">
        <f>NPV(Assumptions!I45,NPV!G13:G28)</f>
        <v>23427830377.783775</v>
      </c>
      <c r="H29" s="463"/>
      <c r="I29" s="6"/>
      <c r="K29" s="2" t="s">
        <v>224</v>
      </c>
    </row>
    <row r="30" spans="1:11" ht="18" customHeight="1">
      <c r="A30" s="6"/>
      <c r="B30" s="375"/>
      <c r="C30" s="375"/>
      <c r="D30" s="375"/>
      <c r="E30" s="375"/>
      <c r="F30" s="375"/>
      <c r="G30" s="375"/>
      <c r="H30" s="6"/>
      <c r="I30" s="6"/>
    </row>
    <row r="31" spans="1:11">
      <c r="A31" s="6"/>
      <c r="B31" s="375" t="s">
        <v>223</v>
      </c>
      <c r="C31" s="375"/>
      <c r="D31" s="375"/>
      <c r="E31" s="375"/>
      <c r="F31" s="375"/>
      <c r="G31" s="460">
        <f>Assumptions!I41*100000</f>
        <v>57500000000</v>
      </c>
      <c r="H31" s="6"/>
      <c r="I31" s="6"/>
    </row>
    <row r="32" spans="1:11" ht="16.5" customHeight="1">
      <c r="A32" s="6"/>
      <c r="B32" s="6"/>
      <c r="C32" s="6"/>
      <c r="D32" s="6"/>
      <c r="E32" s="6"/>
      <c r="F32" s="6"/>
      <c r="G32" s="6"/>
      <c r="H32" s="6"/>
      <c r="I32" s="6"/>
    </row>
    <row r="33" spans="1:9">
      <c r="A33" s="6"/>
      <c r="B33" s="375" t="s">
        <v>496</v>
      </c>
      <c r="C33" s="6"/>
      <c r="D33" s="6"/>
      <c r="E33" s="6"/>
      <c r="F33" s="6"/>
      <c r="G33" s="469">
        <f>G29-G31</f>
        <v>-34072169622.216225</v>
      </c>
      <c r="H33" s="6"/>
      <c r="I33" s="6"/>
    </row>
    <row r="34" spans="1:9" ht="15" thickBot="1">
      <c r="A34" s="6"/>
      <c r="B34" s="3"/>
      <c r="C34" s="3"/>
      <c r="D34" s="3"/>
      <c r="E34" s="3"/>
      <c r="F34" s="3"/>
      <c r="G34" s="3"/>
      <c r="H34" s="6"/>
      <c r="I34" s="6"/>
    </row>
    <row r="35" spans="1:9">
      <c r="A35" s="6"/>
      <c r="B35" s="6"/>
      <c r="C35" s="6"/>
      <c r="D35" s="6"/>
      <c r="E35" s="6"/>
      <c r="F35" s="6"/>
      <c r="G35" s="6"/>
      <c r="H35" s="6"/>
      <c r="I35" s="6"/>
    </row>
    <row r="36" spans="1:9" ht="15">
      <c r="A36" s="6"/>
      <c r="B36" s="368" t="s">
        <v>517</v>
      </c>
      <c r="C36" s="6"/>
      <c r="D36" s="6"/>
      <c r="E36" s="6"/>
      <c r="F36" s="6"/>
      <c r="G36" s="6"/>
      <c r="H36" s="6"/>
      <c r="I36" s="6"/>
    </row>
    <row r="37" spans="1:9">
      <c r="B37" s="6" t="s">
        <v>518</v>
      </c>
      <c r="C37" s="6"/>
      <c r="D37" s="6"/>
    </row>
  </sheetData>
  <mergeCells count="5">
    <mergeCell ref="B2:G2"/>
    <mergeCell ref="B3:G3"/>
    <mergeCell ref="B4:G5"/>
    <mergeCell ref="B7:G7"/>
    <mergeCell ref="B9:F9"/>
  </mergeCells>
  <pageMargins left="0.37" right="0.17" top="0.74803149606299213" bottom="0.74803149606299213" header="0.31496062992125984" footer="0.31496062992125984"/>
  <pageSetup scale="111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35E2D-B44B-478F-B833-411F11BA81E9}">
  <sheetPr codeName="Sheet30"/>
  <dimension ref="A1:Y28"/>
  <sheetViews>
    <sheetView zoomScaleNormal="100" workbookViewId="0">
      <selection activeCell="R6" sqref="R6"/>
    </sheetView>
  </sheetViews>
  <sheetFormatPr defaultColWidth="9.21875" defaultRowHeight="14.4"/>
  <cols>
    <col min="1" max="1" width="2.44140625" style="2" customWidth="1"/>
    <col min="2" max="5" width="9.21875" style="2"/>
    <col min="6" max="6" width="12.21875" style="2" customWidth="1"/>
    <col min="7" max="7" width="18.44140625" style="2" customWidth="1"/>
    <col min="8" max="8" width="18.5546875" style="2" customWidth="1"/>
    <col min="9" max="9" width="4.77734375" style="2" customWidth="1"/>
    <col min="10" max="10" width="8.5546875" style="2" customWidth="1"/>
    <col min="11" max="16384" width="9.21875" style="2"/>
  </cols>
  <sheetData>
    <row r="1" spans="1:25">
      <c r="C1" s="457"/>
      <c r="D1" s="457"/>
      <c r="E1" s="457"/>
      <c r="F1" s="457"/>
      <c r="G1" s="457"/>
    </row>
    <row r="2" spans="1:25" ht="16.2">
      <c r="C2" s="928" t="str">
        <f>Assumptions!I17</f>
        <v>Doe Textiles</v>
      </c>
      <c r="D2" s="928"/>
      <c r="E2" s="928"/>
      <c r="F2" s="928"/>
      <c r="G2" s="928"/>
      <c r="H2" s="928"/>
    </row>
    <row r="3" spans="1:25" ht="16.2">
      <c r="C3" s="928" t="str">
        <f>Assumptions!I8</f>
        <v>John Doe</v>
      </c>
      <c r="D3" s="928"/>
      <c r="E3" s="928"/>
      <c r="F3" s="928"/>
      <c r="G3" s="928"/>
      <c r="H3" s="928"/>
    </row>
    <row r="4" spans="1:25" ht="18" customHeight="1">
      <c r="A4" s="442"/>
      <c r="B4" s="442"/>
      <c r="C4" s="929" t="str">
        <f>Assumptions!I16</f>
        <v>123 Industrial Area, City</v>
      </c>
      <c r="D4" s="929"/>
      <c r="E4" s="929"/>
      <c r="F4" s="929"/>
      <c r="G4" s="929"/>
      <c r="H4" s="929"/>
    </row>
    <row r="5" spans="1:25" ht="15.75" customHeight="1">
      <c r="C5" s="929"/>
      <c r="D5" s="929"/>
      <c r="E5" s="929"/>
      <c r="F5" s="929"/>
      <c r="G5" s="929"/>
      <c r="H5" s="929"/>
    </row>
    <row r="6" spans="1:25" ht="45" customHeight="1">
      <c r="A6" s="442"/>
      <c r="B6" s="442"/>
      <c r="C6" s="947" t="s">
        <v>619</v>
      </c>
      <c r="D6" s="947"/>
      <c r="E6" s="947"/>
      <c r="F6" s="947"/>
      <c r="G6" s="947"/>
      <c r="H6" s="947"/>
    </row>
    <row r="7" spans="1:25" ht="4.5" customHeight="1">
      <c r="A7" s="440"/>
      <c r="B7" s="440"/>
      <c r="C7" s="458"/>
      <c r="D7" s="458"/>
      <c r="E7" s="458"/>
      <c r="F7" s="458"/>
      <c r="G7" s="458"/>
      <c r="H7" s="440"/>
      <c r="I7" s="6"/>
    </row>
    <row r="8" spans="1:25" ht="34.5" customHeight="1" thickBot="1">
      <c r="A8" s="6"/>
      <c r="B8" s="491" t="s">
        <v>616</v>
      </c>
      <c r="C8" s="927" t="s">
        <v>0</v>
      </c>
      <c r="D8" s="927"/>
      <c r="E8" s="927"/>
      <c r="F8" s="927"/>
      <c r="G8" s="470" t="s">
        <v>225</v>
      </c>
      <c r="H8" s="471" t="s">
        <v>497</v>
      </c>
      <c r="I8" s="6"/>
    </row>
    <row r="9" spans="1:25" ht="15" thickTop="1">
      <c r="A9" s="6"/>
      <c r="B9" s="6"/>
      <c r="C9" s="375"/>
      <c r="D9" s="375"/>
      <c r="E9" s="375"/>
      <c r="F9" s="375"/>
      <c r="G9" s="375"/>
      <c r="H9" s="6"/>
      <c r="I9" s="6"/>
    </row>
    <row r="10" spans="1:25" ht="30" customHeight="1" thickBot="1">
      <c r="A10" s="6"/>
      <c r="B10" s="494">
        <v>0</v>
      </c>
      <c r="C10" s="467" t="s">
        <v>223</v>
      </c>
      <c r="D10" s="472"/>
      <c r="E10" s="472"/>
      <c r="F10" s="15"/>
      <c r="G10" s="623">
        <f>-'project cost'!C20*100000</f>
        <v>-57000000000</v>
      </c>
      <c r="H10" s="473"/>
      <c r="I10" s="6"/>
    </row>
    <row r="11" spans="1:25" ht="47.25" customHeight="1" thickBot="1">
      <c r="A11" s="6"/>
      <c r="B11" s="494">
        <v>1</v>
      </c>
      <c r="C11" s="936" t="s">
        <v>353</v>
      </c>
      <c r="D11" s="937"/>
      <c r="E11" s="6" t="str">
        <f>Assumptions!I78</f>
        <v>2024-25</v>
      </c>
      <c r="F11" s="375"/>
      <c r="G11" s="464">
        <f>CFs!B45</f>
        <v>4680810000</v>
      </c>
      <c r="H11" s="464">
        <f>G11+G10</f>
        <v>-52319190000</v>
      </c>
      <c r="I11" s="6"/>
    </row>
    <row r="12" spans="1:25" ht="47.25" customHeight="1" thickBot="1">
      <c r="A12" s="6"/>
      <c r="B12" s="494">
        <v>2</v>
      </c>
      <c r="C12" s="936"/>
      <c r="D12" s="937"/>
      <c r="E12" s="6" t="str">
        <f>Assumptions!I79</f>
        <v>2025-26</v>
      </c>
      <c r="F12" s="375"/>
      <c r="G12" s="464">
        <f>CFs!C45</f>
        <v>-6652740000</v>
      </c>
      <c r="H12" s="464">
        <f>H11+G12</f>
        <v>-58971930000</v>
      </c>
      <c r="I12" s="6"/>
      <c r="M12" s="938" t="s">
        <v>580</v>
      </c>
      <c r="N12" s="939"/>
      <c r="O12" s="939"/>
      <c r="P12" s="939"/>
      <c r="Q12" s="939"/>
      <c r="R12" s="939"/>
      <c r="S12" s="939"/>
      <c r="T12" s="939"/>
      <c r="U12" s="940"/>
    </row>
    <row r="13" spans="1:25" ht="46.5" customHeight="1">
      <c r="A13" s="6"/>
      <c r="B13" s="494">
        <v>3</v>
      </c>
      <c r="C13" s="936"/>
      <c r="D13" s="937"/>
      <c r="E13" s="6" t="str">
        <f>Assumptions!I80</f>
        <v>2026-27</v>
      </c>
      <c r="F13" s="375"/>
      <c r="G13" s="464">
        <f>CFs!D45</f>
        <v>15844490000</v>
      </c>
      <c r="H13" s="464">
        <f t="shared" ref="H13:H18" si="0">H12+G13</f>
        <v>-43127440000</v>
      </c>
      <c r="I13" s="6"/>
      <c r="M13" s="941" t="s">
        <v>519</v>
      </c>
      <c r="N13" s="942"/>
      <c r="O13" s="942"/>
      <c r="P13" s="942"/>
      <c r="Q13" s="942"/>
      <c r="R13" s="942"/>
      <c r="S13" s="942"/>
      <c r="T13" s="942"/>
      <c r="U13" s="943"/>
      <c r="V13" s="2" t="s">
        <v>612</v>
      </c>
      <c r="W13" s="474"/>
      <c r="X13" s="474"/>
      <c r="Y13" s="474"/>
    </row>
    <row r="14" spans="1:25" ht="40.5" customHeight="1" thickBot="1">
      <c r="A14" s="6"/>
      <c r="B14" s="494">
        <v>4</v>
      </c>
      <c r="C14" s="936"/>
      <c r="D14" s="937"/>
      <c r="E14" s="6" t="str">
        <f>Assumptions!I81</f>
        <v>2027-28</v>
      </c>
      <c r="F14" s="375"/>
      <c r="G14" s="464">
        <f>CFs!E45</f>
        <v>3920050000.0000019</v>
      </c>
      <c r="H14" s="464">
        <f t="shared" si="0"/>
        <v>-39207390000</v>
      </c>
      <c r="I14" s="6"/>
      <c r="M14" s="944"/>
      <c r="N14" s="945"/>
      <c r="O14" s="945"/>
      <c r="P14" s="945"/>
      <c r="Q14" s="945"/>
      <c r="R14" s="945"/>
      <c r="S14" s="945"/>
      <c r="T14" s="945"/>
      <c r="U14" s="946"/>
      <c r="V14" s="474"/>
      <c r="W14" s="474"/>
      <c r="X14" s="474"/>
      <c r="Y14" s="474"/>
    </row>
    <row r="15" spans="1:25" ht="40.5" customHeight="1">
      <c r="A15" s="6"/>
      <c r="B15" s="494">
        <v>5</v>
      </c>
      <c r="C15" s="936"/>
      <c r="D15" s="937"/>
      <c r="E15" s="6" t="str">
        <f>Assumptions!I82</f>
        <v>2028-29</v>
      </c>
      <c r="F15" s="375"/>
      <c r="G15" s="464">
        <f>CFs!F45</f>
        <v>4210280000</v>
      </c>
      <c r="H15" s="464">
        <f t="shared" si="0"/>
        <v>-34997110000</v>
      </c>
      <c r="I15" s="6"/>
      <c r="Q15" s="19" t="s">
        <v>520</v>
      </c>
    </row>
    <row r="16" spans="1:25" ht="32.25" customHeight="1" thickBot="1">
      <c r="A16" s="6"/>
      <c r="B16" s="494">
        <v>6</v>
      </c>
      <c r="C16" s="936"/>
      <c r="D16" s="937"/>
      <c r="E16" s="6" t="str">
        <f>Assumptions!I83</f>
        <v>2029-30</v>
      </c>
      <c r="F16" s="375"/>
      <c r="G16" s="464">
        <f>CFs!G45</f>
        <v>5010100000</v>
      </c>
      <c r="H16" s="464">
        <f t="shared" si="0"/>
        <v>-29987010000</v>
      </c>
      <c r="I16" s="463"/>
    </row>
    <row r="17" spans="1:25" ht="35.25" customHeight="1" thickBot="1">
      <c r="A17" s="6"/>
      <c r="B17" s="494">
        <v>7</v>
      </c>
      <c r="C17" s="936"/>
      <c r="D17" s="937"/>
      <c r="E17" s="6" t="str">
        <f>Assumptions!I84</f>
        <v>2030-31</v>
      </c>
      <c r="F17" s="375"/>
      <c r="G17" s="464">
        <f>CFs!H45</f>
        <v>5341689999.9999981</v>
      </c>
      <c r="H17" s="464">
        <f t="shared" si="0"/>
        <v>-24645320000</v>
      </c>
      <c r="I17" s="6"/>
      <c r="M17" s="938" t="s">
        <v>581</v>
      </c>
      <c r="N17" s="939"/>
      <c r="O17" s="939"/>
      <c r="P17" s="939"/>
      <c r="Q17" s="939"/>
      <c r="R17" s="939"/>
      <c r="S17" s="939"/>
      <c r="T17" s="939"/>
      <c r="U17" s="939"/>
      <c r="V17" s="939"/>
      <c r="W17" s="939"/>
      <c r="X17" s="939"/>
      <c r="Y17" s="940"/>
    </row>
    <row r="18" spans="1:25" ht="42.75" customHeight="1">
      <c r="A18" s="6"/>
      <c r="B18" s="494">
        <v>8</v>
      </c>
      <c r="C18" s="936"/>
      <c r="D18" s="937"/>
      <c r="E18" s="6" t="str">
        <f>Assumptions!I85</f>
        <v>2031-32</v>
      </c>
      <c r="F18" s="375"/>
      <c r="G18" s="464">
        <f>CFs!I45</f>
        <v>5122130000.0000038</v>
      </c>
      <c r="H18" s="464">
        <f t="shared" si="0"/>
        <v>-19523189999.999996</v>
      </c>
      <c r="I18" s="6"/>
      <c r="M18" s="475" t="s">
        <v>521</v>
      </c>
      <c r="N18" s="476"/>
      <c r="O18" s="476"/>
      <c r="P18" s="476"/>
      <c r="Q18" s="476"/>
      <c r="R18" s="476"/>
      <c r="S18" s="476"/>
      <c r="T18" s="476"/>
      <c r="U18" s="476"/>
      <c r="V18" s="476"/>
      <c r="W18" s="476"/>
      <c r="X18" s="476"/>
      <c r="Y18" s="477"/>
    </row>
    <row r="19" spans="1:25" ht="15" thickBot="1">
      <c r="A19" s="6"/>
      <c r="B19" s="6"/>
      <c r="C19" s="375"/>
      <c r="D19" s="375"/>
      <c r="E19" s="375"/>
      <c r="F19" s="375"/>
      <c r="G19" s="375"/>
      <c r="H19" s="6"/>
      <c r="I19" s="6"/>
      <c r="M19" s="478" t="s">
        <v>613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479"/>
    </row>
    <row r="20" spans="1:25" ht="30.75" customHeight="1" thickBot="1">
      <c r="A20" s="6"/>
      <c r="B20" s="6"/>
      <c r="C20" s="925" t="s">
        <v>621</v>
      </c>
      <c r="D20" s="926"/>
      <c r="E20" s="926"/>
      <c r="F20" s="926"/>
      <c r="G20" s="935"/>
      <c r="H20" s="466" t="e">
        <f t="array" ref="H20">(MATCH(TRUE,H10:H18&gt;0,0)-1) + ABS(INDEX(H10:H18,MATCH(TRUE,H10:H18&gt;0,0)-1))/INDEX(G10:G18,MATCH(TRUE,H10:H18&gt;0,0))</f>
        <v>#N/A</v>
      </c>
      <c r="I20" s="6"/>
      <c r="K20" s="2" t="s">
        <v>224</v>
      </c>
    </row>
    <row r="21" spans="1:25">
      <c r="A21" s="6"/>
      <c r="B21" s="6"/>
      <c r="C21" s="375"/>
      <c r="D21" s="375"/>
      <c r="E21" s="375"/>
      <c r="F21" s="375"/>
      <c r="G21" s="375"/>
      <c r="H21" s="6"/>
      <c r="I21" s="6"/>
    </row>
    <row r="22" spans="1:25" ht="15" thickBot="1">
      <c r="A22" s="6"/>
      <c r="B22" s="6"/>
      <c r="C22" s="3"/>
      <c r="D22" s="3"/>
      <c r="E22" s="3"/>
      <c r="F22" s="3"/>
      <c r="G22" s="3"/>
      <c r="H22" s="3"/>
      <c r="I22" s="6"/>
    </row>
    <row r="23" spans="1:25">
      <c r="A23" s="6"/>
      <c r="B23" s="6"/>
      <c r="C23" s="6"/>
      <c r="D23" s="6"/>
      <c r="E23" s="6"/>
      <c r="F23" s="6"/>
      <c r="G23" s="6"/>
      <c r="H23" s="6"/>
      <c r="I23" s="6"/>
    </row>
    <row r="24" spans="1:25">
      <c r="A24" s="6"/>
      <c r="B24" s="6"/>
      <c r="C24" s="6"/>
      <c r="D24" s="6"/>
      <c r="E24" s="6"/>
      <c r="F24" s="6"/>
      <c r="G24" s="6"/>
      <c r="H24" s="6"/>
      <c r="I24" s="6"/>
    </row>
    <row r="25" spans="1:25">
      <c r="A25" s="6"/>
      <c r="B25" s="6"/>
      <c r="C25" s="6"/>
      <c r="D25" s="6"/>
      <c r="E25" s="6"/>
      <c r="F25" s="6"/>
      <c r="G25" s="6"/>
      <c r="H25" s="6"/>
      <c r="I25" s="6"/>
    </row>
    <row r="26" spans="1:25">
      <c r="A26" s="6"/>
      <c r="B26" s="6"/>
      <c r="C26" s="6"/>
      <c r="D26" s="6"/>
      <c r="E26" s="6"/>
      <c r="F26" s="6"/>
      <c r="G26" s="6"/>
      <c r="H26" s="6"/>
      <c r="I26" s="6"/>
    </row>
    <row r="27" spans="1:25">
      <c r="A27" s="6"/>
      <c r="B27" s="6"/>
      <c r="C27" s="6"/>
      <c r="D27" s="6"/>
      <c r="E27" s="6"/>
      <c r="F27" s="6"/>
      <c r="G27" s="6"/>
      <c r="H27" s="6"/>
      <c r="I27" s="6"/>
    </row>
    <row r="28" spans="1:25">
      <c r="A28" s="6"/>
      <c r="B28" s="6"/>
      <c r="C28" s="6"/>
      <c r="D28" s="6"/>
      <c r="E28" s="6"/>
      <c r="F28" s="6"/>
      <c r="G28" s="6"/>
      <c r="H28" s="6"/>
      <c r="I28" s="6"/>
    </row>
  </sheetData>
  <mergeCells count="10">
    <mergeCell ref="C20:G20"/>
    <mergeCell ref="C2:H2"/>
    <mergeCell ref="C3:H3"/>
    <mergeCell ref="C4:H5"/>
    <mergeCell ref="C11:D18"/>
    <mergeCell ref="M12:U12"/>
    <mergeCell ref="M13:U14"/>
    <mergeCell ref="M17:Y17"/>
    <mergeCell ref="C6:H6"/>
    <mergeCell ref="C8:F8"/>
  </mergeCells>
  <pageMargins left="0.19685039370078741" right="0.28000000000000003" top="0.74803149606299213" bottom="0.74803149606299213" header="0.31496062992125984" footer="0.31496062992125984"/>
  <pageSetup scale="105" orientation="portrait" horizontalDpi="0" verticalDpi="0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2302B-5400-4419-83FE-E378EC344B58}">
  <sheetPr codeName="Sheet31"/>
  <dimension ref="B1:Y27"/>
  <sheetViews>
    <sheetView zoomScaleNormal="100" workbookViewId="0">
      <selection activeCell="L8" sqref="L8"/>
    </sheetView>
  </sheetViews>
  <sheetFormatPr defaultColWidth="9.21875" defaultRowHeight="14.4"/>
  <cols>
    <col min="1" max="1" width="7.21875" style="2" customWidth="1"/>
    <col min="2" max="2" width="9" style="2" customWidth="1"/>
    <col min="3" max="3" width="12.21875" style="2" customWidth="1"/>
    <col min="4" max="4" width="9.21875" style="2"/>
    <col min="5" max="5" width="11.5546875" style="2" customWidth="1"/>
    <col min="6" max="6" width="15.21875" style="2" customWidth="1"/>
    <col min="7" max="7" width="16.44140625" style="2" customWidth="1"/>
    <col min="8" max="8" width="15.5546875" style="2" customWidth="1"/>
    <col min="9" max="9" width="3" style="2" customWidth="1"/>
    <col min="10" max="16384" width="9.21875" style="2"/>
  </cols>
  <sheetData>
    <row r="1" spans="2:25">
      <c r="C1" s="457"/>
      <c r="D1" s="457"/>
      <c r="E1" s="457"/>
      <c r="F1" s="457"/>
    </row>
    <row r="2" spans="2:25" ht="16.2">
      <c r="B2" s="928" t="str">
        <f>Assumptions!I17</f>
        <v>Doe Textiles</v>
      </c>
      <c r="C2" s="928"/>
      <c r="D2" s="928"/>
      <c r="E2" s="928"/>
      <c r="F2" s="928"/>
      <c r="G2" s="928"/>
      <c r="H2" s="928"/>
    </row>
    <row r="3" spans="2:25" ht="16.2">
      <c r="B3" s="928" t="str">
        <f>Assumptions!I8</f>
        <v>John Doe</v>
      </c>
      <c r="C3" s="928"/>
      <c r="D3" s="928"/>
      <c r="E3" s="928"/>
      <c r="F3" s="928"/>
      <c r="G3" s="928"/>
      <c r="H3" s="928"/>
    </row>
    <row r="4" spans="2:25" ht="18" customHeight="1">
      <c r="B4" s="929" t="str">
        <f>Assumptions!I16</f>
        <v>123 Industrial Area, City</v>
      </c>
      <c r="C4" s="929"/>
      <c r="D4" s="929"/>
      <c r="E4" s="929"/>
      <c r="F4" s="929"/>
      <c r="G4" s="929"/>
      <c r="H4" s="929"/>
    </row>
    <row r="5" spans="2:25" ht="15" customHeight="1">
      <c r="B5" s="929"/>
      <c r="C5" s="929"/>
      <c r="D5" s="929"/>
      <c r="E5" s="929"/>
      <c r="F5" s="929"/>
      <c r="G5" s="929"/>
      <c r="H5" s="929"/>
    </row>
    <row r="6" spans="2:25" ht="45" customHeight="1">
      <c r="B6" s="947" t="s">
        <v>620</v>
      </c>
      <c r="C6" s="947"/>
      <c r="D6" s="947"/>
      <c r="E6" s="947"/>
      <c r="F6" s="947"/>
      <c r="G6" s="947"/>
      <c r="H6" s="947"/>
    </row>
    <row r="7" spans="2:25" ht="4.5" customHeight="1">
      <c r="B7" s="440"/>
      <c r="C7" s="458"/>
      <c r="D7" s="458"/>
      <c r="E7" s="458"/>
      <c r="F7" s="458"/>
    </row>
    <row r="8" spans="2:25" ht="46.5" customHeight="1" thickBot="1">
      <c r="B8" s="470" t="s">
        <v>616</v>
      </c>
      <c r="C8" s="927" t="s">
        <v>0</v>
      </c>
      <c r="D8" s="927"/>
      <c r="E8" s="927"/>
      <c r="F8" s="459" t="s">
        <v>225</v>
      </c>
      <c r="G8" s="495" t="s">
        <v>617</v>
      </c>
      <c r="H8" s="495" t="s">
        <v>618</v>
      </c>
    </row>
    <row r="9" spans="2:25" ht="15" thickTop="1">
      <c r="B9" s="6"/>
      <c r="C9" s="375"/>
      <c r="D9" s="375"/>
      <c r="E9" s="375"/>
      <c r="F9" s="375"/>
    </row>
    <row r="10" spans="2:25" ht="30.75" customHeight="1" thickBot="1">
      <c r="B10" s="494">
        <v>0</v>
      </c>
      <c r="C10" s="15" t="s">
        <v>223</v>
      </c>
      <c r="D10" s="15"/>
      <c r="E10" s="15"/>
      <c r="F10" s="624">
        <f>-'project cost'!C20*100000</f>
        <v>-57000000000</v>
      </c>
      <c r="G10" s="624">
        <f>F10</f>
        <v>-57000000000</v>
      </c>
      <c r="H10" s="3"/>
    </row>
    <row r="11" spans="2:25" ht="42" customHeight="1">
      <c r="B11" s="494">
        <v>1</v>
      </c>
      <c r="C11" s="957" t="s">
        <v>353</v>
      </c>
      <c r="D11" s="496" t="str">
        <f>Assumptions!I78</f>
        <v>2024-25</v>
      </c>
      <c r="E11" s="6"/>
      <c r="F11" s="462">
        <f>CFs!B45</f>
        <v>4680810000</v>
      </c>
      <c r="G11" s="482">
        <f t="shared" ref="G11:G18" si="0">F11/POWER(1.1,B11)</f>
        <v>4255281818.181818</v>
      </c>
      <c r="H11" s="482">
        <f>G10+G11</f>
        <v>-52744718181.818184</v>
      </c>
    </row>
    <row r="12" spans="2:25" ht="40.5" customHeight="1">
      <c r="B12" s="494">
        <v>2</v>
      </c>
      <c r="C12" s="957"/>
      <c r="D12" s="497" t="str">
        <f>Assumptions!I79</f>
        <v>2025-26</v>
      </c>
      <c r="E12" s="6"/>
      <c r="F12" s="462">
        <f>CFs!C45</f>
        <v>-6652740000</v>
      </c>
      <c r="G12" s="482">
        <f t="shared" si="0"/>
        <v>-5498132231.4049578</v>
      </c>
      <c r="H12" s="482">
        <f>H11+G12</f>
        <v>-58242850413.223145</v>
      </c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</row>
    <row r="13" spans="2:25" ht="41.25" customHeight="1" thickBot="1">
      <c r="B13" s="494">
        <v>3</v>
      </c>
      <c r="C13" s="957"/>
      <c r="D13" s="497" t="str">
        <f>Assumptions!I80</f>
        <v>2026-27</v>
      </c>
      <c r="E13" s="6"/>
      <c r="F13" s="462">
        <f>CFs!D45</f>
        <v>15844490000</v>
      </c>
      <c r="G13" s="482">
        <f t="shared" si="0"/>
        <v>11904199849.737036</v>
      </c>
      <c r="H13" s="482">
        <f t="shared" ref="H13:H18" si="1">H12+G13</f>
        <v>-46338650563.486107</v>
      </c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</row>
    <row r="14" spans="2:25" ht="42" customHeight="1" thickBot="1">
      <c r="B14" s="494">
        <v>4</v>
      </c>
      <c r="C14" s="957"/>
      <c r="D14" s="497" t="str">
        <f>Assumptions!I81</f>
        <v>2027-28</v>
      </c>
      <c r="E14" s="6"/>
      <c r="F14" s="462">
        <f>CFs!E45</f>
        <v>3920050000.0000019</v>
      </c>
      <c r="G14" s="482">
        <f t="shared" si="0"/>
        <v>2677446895.703846</v>
      </c>
      <c r="H14" s="482">
        <f t="shared" si="1"/>
        <v>-43661203667.782257</v>
      </c>
      <c r="K14" s="948" t="s">
        <v>663</v>
      </c>
      <c r="L14" s="949"/>
      <c r="M14" s="949"/>
      <c r="N14" s="949"/>
      <c r="O14" s="949"/>
      <c r="P14" s="949"/>
      <c r="Q14" s="949"/>
      <c r="R14" s="949"/>
      <c r="S14" s="950"/>
      <c r="T14"/>
      <c r="U14"/>
      <c r="V14"/>
      <c r="W14"/>
      <c r="X14"/>
      <c r="Y14"/>
    </row>
    <row r="15" spans="2:25" ht="42.75" customHeight="1">
      <c r="B15" s="494">
        <v>5</v>
      </c>
      <c r="C15" s="957"/>
      <c r="D15" s="497" t="str">
        <f>Assumptions!I82</f>
        <v>2028-29</v>
      </c>
      <c r="E15" s="6"/>
      <c r="F15" s="462">
        <f>CFs!F45</f>
        <v>4210280000</v>
      </c>
      <c r="G15" s="482">
        <f t="shared" si="0"/>
        <v>2614252628.049499</v>
      </c>
      <c r="H15" s="482">
        <f t="shared" si="1"/>
        <v>-41046951039.732758</v>
      </c>
      <c r="K15" s="951" t="s">
        <v>519</v>
      </c>
      <c r="L15" s="952"/>
      <c r="M15" s="952"/>
      <c r="N15" s="952"/>
      <c r="O15" s="952"/>
      <c r="P15" s="952"/>
      <c r="Q15" s="952"/>
      <c r="R15" s="952"/>
      <c r="S15" s="953"/>
      <c r="T15" s="168" t="s">
        <v>664</v>
      </c>
      <c r="U15" s="519"/>
      <c r="V15" s="519"/>
      <c r="W15" s="519"/>
      <c r="X15"/>
      <c r="Y15"/>
    </row>
    <row r="16" spans="2:25" ht="38.25" customHeight="1" thickBot="1">
      <c r="B16" s="494">
        <v>6</v>
      </c>
      <c r="C16" s="957"/>
      <c r="D16" s="497" t="str">
        <f>Assumptions!I83</f>
        <v>2029-30</v>
      </c>
      <c r="E16" s="6"/>
      <c r="F16" s="462">
        <f>CFs!G45</f>
        <v>5010100000</v>
      </c>
      <c r="G16" s="482">
        <f t="shared" si="0"/>
        <v>2828070836.962429</v>
      </c>
      <c r="H16" s="482">
        <f t="shared" si="1"/>
        <v>-38218880202.770325</v>
      </c>
      <c r="K16" s="954"/>
      <c r="L16" s="955"/>
      <c r="M16" s="955"/>
      <c r="N16" s="955"/>
      <c r="O16" s="955"/>
      <c r="P16" s="955"/>
      <c r="Q16" s="955"/>
      <c r="R16" s="955"/>
      <c r="S16" s="956"/>
      <c r="T16" s="519"/>
      <c r="U16" s="519"/>
      <c r="V16" s="519"/>
      <c r="W16" s="519"/>
      <c r="X16"/>
      <c r="Y16"/>
    </row>
    <row r="17" spans="2:25" ht="38.25" customHeight="1">
      <c r="B17" s="494">
        <v>7</v>
      </c>
      <c r="C17" s="957"/>
      <c r="D17" s="497" t="str">
        <f>Assumptions!I84</f>
        <v>2030-31</v>
      </c>
      <c r="E17" s="6"/>
      <c r="F17" s="462">
        <f>CFs!H45</f>
        <v>5341689999.9999981</v>
      </c>
      <c r="G17" s="482">
        <f t="shared" si="0"/>
        <v>2741131588.5717812</v>
      </c>
      <c r="H17" s="482">
        <f t="shared" si="1"/>
        <v>-35477748614.198547</v>
      </c>
      <c r="K17"/>
      <c r="L17"/>
      <c r="M17"/>
      <c r="N17"/>
      <c r="O17" s="121" t="s">
        <v>520</v>
      </c>
      <c r="P17"/>
      <c r="Q17"/>
      <c r="R17"/>
      <c r="S17"/>
      <c r="T17"/>
      <c r="U17"/>
      <c r="V17"/>
      <c r="W17"/>
      <c r="X17"/>
      <c r="Y17"/>
    </row>
    <row r="18" spans="2:25" ht="39" customHeight="1" thickBot="1">
      <c r="B18" s="494">
        <v>8</v>
      </c>
      <c r="C18" s="957"/>
      <c r="D18" s="497" t="str">
        <f>Assumptions!I85</f>
        <v>2031-32</v>
      </c>
      <c r="E18" s="6"/>
      <c r="F18" s="464">
        <f>CFs!I45</f>
        <v>5122130000.0000038</v>
      </c>
      <c r="G18" s="482">
        <f t="shared" si="0"/>
        <v>2389511447.3936825</v>
      </c>
      <c r="H18" s="482">
        <f t="shared" si="1"/>
        <v>-33088237166.804863</v>
      </c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</row>
    <row r="19" spans="2:25" ht="18.600000000000001" thickBot="1">
      <c r="B19" s="494"/>
      <c r="C19" s="375"/>
      <c r="D19" s="375"/>
      <c r="E19" s="375"/>
      <c r="F19" s="375"/>
      <c r="K19" s="948" t="s">
        <v>665</v>
      </c>
      <c r="L19" s="949"/>
      <c r="M19" s="949"/>
      <c r="N19" s="949"/>
      <c r="O19" s="949"/>
      <c r="P19" s="949"/>
      <c r="Q19" s="949"/>
      <c r="R19" s="949"/>
      <c r="S19" s="949"/>
      <c r="T19" s="949"/>
      <c r="U19" s="949"/>
      <c r="V19" s="949"/>
      <c r="W19" s="950"/>
      <c r="X19"/>
      <c r="Y19"/>
    </row>
    <row r="20" spans="2:25" ht="24" customHeight="1" thickBot="1">
      <c r="B20" s="6"/>
      <c r="C20" s="925" t="s">
        <v>621</v>
      </c>
      <c r="D20" s="926"/>
      <c r="E20" s="926"/>
      <c r="F20" s="926"/>
      <c r="G20" s="935"/>
      <c r="H20" s="466" t="e">
        <f t="array" ref="H20">(MATCH(TRUE,H10:H18&gt;0,0)-1) + ABS(INDEX(H10:H18,MATCH(TRUE,H10:H18&gt;0,0)-1))/INDEX(G10:G18,MATCH(TRUE,H10:H18&gt;0,0))</f>
        <v>#N/A</v>
      </c>
      <c r="K20" s="520" t="s">
        <v>521</v>
      </c>
      <c r="L20" s="521"/>
      <c r="M20" s="521"/>
      <c r="N20" s="521"/>
      <c r="O20" s="521"/>
      <c r="P20" s="521"/>
      <c r="Q20" s="521"/>
      <c r="R20" s="521"/>
      <c r="S20" s="521"/>
      <c r="T20" s="521"/>
      <c r="U20" s="521"/>
      <c r="V20" s="521"/>
      <c r="W20" s="522"/>
      <c r="X20"/>
      <c r="Y20"/>
    </row>
    <row r="21" spans="2:25" ht="15" thickBot="1">
      <c r="B21" s="3"/>
      <c r="C21" s="3"/>
      <c r="D21" s="3"/>
      <c r="E21" s="3"/>
      <c r="F21" s="3"/>
      <c r="G21" s="3"/>
      <c r="H21" s="3"/>
      <c r="K21" s="523" t="s">
        <v>666</v>
      </c>
      <c r="L21" s="136"/>
      <c r="M21" s="136"/>
      <c r="N21" s="136"/>
      <c r="O21" s="136"/>
      <c r="P21" s="136"/>
      <c r="Q21" s="136"/>
      <c r="R21" s="136"/>
      <c r="S21" s="136"/>
      <c r="T21" s="136"/>
      <c r="U21" s="136"/>
      <c r="V21" s="136"/>
      <c r="W21" s="524"/>
      <c r="X21"/>
      <c r="Y21"/>
    </row>
    <row r="22" spans="2:25">
      <c r="B22" s="6"/>
      <c r="C22" s="6"/>
      <c r="D22" s="6"/>
      <c r="E22" s="6"/>
      <c r="F22" s="6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</row>
    <row r="23" spans="2:25">
      <c r="B23" s="6"/>
      <c r="C23" s="6"/>
      <c r="D23" s="6"/>
      <c r="E23" s="6"/>
      <c r="F23" s="6"/>
    </row>
    <row r="24" spans="2:25">
      <c r="B24" s="6"/>
      <c r="C24" s="6"/>
      <c r="D24" s="6"/>
      <c r="E24" s="6"/>
      <c r="F24" s="6"/>
    </row>
    <row r="25" spans="2:25">
      <c r="B25" s="6"/>
      <c r="C25" s="6"/>
      <c r="D25" s="6"/>
      <c r="E25" s="6"/>
      <c r="F25" s="6"/>
    </row>
    <row r="26" spans="2:25">
      <c r="B26" s="6"/>
      <c r="C26" s="6"/>
      <c r="D26" s="6"/>
      <c r="E26" s="6"/>
      <c r="F26" s="6"/>
    </row>
    <row r="27" spans="2:25">
      <c r="B27" s="6"/>
      <c r="C27" s="6"/>
      <c r="D27" s="6"/>
      <c r="E27" s="6"/>
      <c r="F27" s="6"/>
    </row>
  </sheetData>
  <mergeCells count="10">
    <mergeCell ref="C20:G20"/>
    <mergeCell ref="C8:E8"/>
    <mergeCell ref="K14:S14"/>
    <mergeCell ref="K15:S16"/>
    <mergeCell ref="K19:W19"/>
    <mergeCell ref="C11:C18"/>
    <mergeCell ref="B2:H2"/>
    <mergeCell ref="B3:H3"/>
    <mergeCell ref="B4:H5"/>
    <mergeCell ref="B6:H6"/>
  </mergeCells>
  <pageMargins left="0.42" right="0.36" top="0.75" bottom="0.75" header="0.3" footer="0.3"/>
  <pageSetup orientation="portrait" horizontalDpi="0" verticalDpi="0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6D838-F0EE-4D71-A3B0-B572887E9AFA}">
  <sheetPr codeName="Sheet32"/>
  <dimension ref="B2:E30"/>
  <sheetViews>
    <sheetView zoomScaleNormal="100" workbookViewId="0">
      <selection activeCell="P22" sqref="P22"/>
    </sheetView>
  </sheetViews>
  <sheetFormatPr defaultColWidth="9.21875" defaultRowHeight="14.4"/>
  <cols>
    <col min="1" max="1" width="6" style="2" customWidth="1"/>
    <col min="2" max="2" width="34.21875" style="2" customWidth="1"/>
    <col min="3" max="3" width="9.21875" style="2"/>
    <col min="4" max="4" width="17.77734375" style="2" customWidth="1"/>
    <col min="5" max="5" width="15.77734375" style="2" customWidth="1"/>
    <col min="6" max="6" width="3.21875" style="2" customWidth="1"/>
    <col min="7" max="16384" width="9.21875" style="2"/>
  </cols>
  <sheetData>
    <row r="2" spans="2:5" ht="15">
      <c r="B2" s="915" t="str">
        <f>Assumptions!I17</f>
        <v>Doe Textiles</v>
      </c>
      <c r="C2" s="915"/>
      <c r="D2" s="915"/>
      <c r="E2" s="915"/>
    </row>
    <row r="3" spans="2:5" ht="15">
      <c r="B3" s="915" t="str">
        <f>Assumptions!I8</f>
        <v>John Doe</v>
      </c>
      <c r="C3" s="915"/>
      <c r="D3" s="915"/>
      <c r="E3" s="915"/>
    </row>
    <row r="4" spans="2:5" ht="15" customHeight="1">
      <c r="B4" s="917" t="str">
        <f>Assumptions!I16</f>
        <v>123 Industrial Area, City</v>
      </c>
      <c r="C4" s="917"/>
      <c r="D4" s="917"/>
      <c r="E4" s="917"/>
    </row>
    <row r="5" spans="2:5">
      <c r="B5" s="917"/>
      <c r="C5" s="917"/>
      <c r="D5" s="917"/>
      <c r="E5" s="917"/>
    </row>
    <row r="8" spans="2:5" ht="18">
      <c r="B8" s="947" t="s">
        <v>473</v>
      </c>
      <c r="C8" s="947"/>
      <c r="D8" s="947"/>
      <c r="E8" s="947"/>
    </row>
    <row r="10" spans="2:5" ht="18" customHeight="1">
      <c r="B10" s="228"/>
      <c r="C10" s="228"/>
      <c r="D10" s="958" t="s">
        <v>483</v>
      </c>
      <c r="E10" s="958"/>
    </row>
    <row r="11" spans="2:5" ht="47.25" customHeight="1">
      <c r="B11" s="480" t="s">
        <v>14</v>
      </c>
      <c r="C11" s="480"/>
      <c r="D11" s="441" t="s">
        <v>474</v>
      </c>
      <c r="E11" s="518" t="s">
        <v>667</v>
      </c>
    </row>
    <row r="12" spans="2:5" ht="15" thickBot="1">
      <c r="B12" s="232"/>
      <c r="C12" s="232"/>
      <c r="D12" s="481">
        <f>'Final workings'!I54</f>
        <v>0</v>
      </c>
      <c r="E12" s="481">
        <f>'Final workings'!I55</f>
        <v>0</v>
      </c>
    </row>
    <row r="13" spans="2:5" ht="15" thickTop="1"/>
    <row r="14" spans="2:5" ht="30.75" customHeight="1">
      <c r="B14" s="2" t="str">
        <f>Assumptions!I78</f>
        <v>2024-25</v>
      </c>
      <c r="D14" s="482">
        <f>'workings-Sensitivity Analysis1'!D37</f>
        <v>5959268333.333334</v>
      </c>
      <c r="E14" s="482">
        <f>'Workings-Sensitivity Analysis2'!D37</f>
        <v>5959268333.333334</v>
      </c>
    </row>
    <row r="15" spans="2:5">
      <c r="D15" s="482"/>
      <c r="E15" s="482"/>
    </row>
    <row r="16" spans="2:5" ht="29.25" customHeight="1">
      <c r="B16" s="2" t="str">
        <f>Assumptions!I79</f>
        <v>2025-26</v>
      </c>
      <c r="D16" s="482">
        <f>'workings-Sensitivity Analysis1'!E37</f>
        <v>8299551666.6666679</v>
      </c>
      <c r="E16" s="482">
        <f>'Workings-Sensitivity Analysis2'!E37</f>
        <v>8299551666.6666679</v>
      </c>
    </row>
    <row r="17" spans="2:5">
      <c r="D17" s="482"/>
      <c r="E17" s="482"/>
    </row>
    <row r="18" spans="2:5" ht="31.5" customHeight="1">
      <c r="B18" s="2" t="str">
        <f>Assumptions!I80</f>
        <v>2026-27</v>
      </c>
      <c r="D18" s="482">
        <f>'workings-Sensitivity Analysis1'!F37</f>
        <v>9316347500</v>
      </c>
      <c r="E18" s="482">
        <f>'Workings-Sensitivity Analysis2'!F37</f>
        <v>9316347500</v>
      </c>
    </row>
    <row r="19" spans="2:5">
      <c r="D19" s="482"/>
      <c r="E19" s="482"/>
    </row>
    <row r="20" spans="2:5" ht="31.5" customHeight="1">
      <c r="B20" s="2" t="str">
        <f>Assumptions!I81</f>
        <v>2027-28</v>
      </c>
      <c r="D20" s="482">
        <f>'workings-Sensitivity Analysis1'!G37</f>
        <v>10284888125.000002</v>
      </c>
      <c r="E20" s="482">
        <f>'Workings-Sensitivity Analysis2'!G37</f>
        <v>10284888125.000002</v>
      </c>
    </row>
    <row r="21" spans="2:5">
      <c r="D21" s="482"/>
      <c r="E21" s="482"/>
    </row>
    <row r="22" spans="2:5" ht="29.25" customHeight="1">
      <c r="B22" s="2" t="str">
        <f>Assumptions!I82</f>
        <v>2028-29</v>
      </c>
      <c r="D22" s="482">
        <f>'workings-Sensitivity Analysis1'!H37</f>
        <v>11220006981.250004</v>
      </c>
      <c r="E22" s="482">
        <f>'Workings-Sensitivity Analysis2'!H37</f>
        <v>11220006981.250004</v>
      </c>
    </row>
    <row r="23" spans="2:5">
      <c r="D23" s="482"/>
      <c r="E23" s="482"/>
    </row>
    <row r="24" spans="2:5" ht="30.75" customHeight="1">
      <c r="B24" s="2" t="str">
        <f>Assumptions!I83</f>
        <v>2029-30</v>
      </c>
      <c r="D24" s="482">
        <f>'workings-Sensitivity Analysis1'!I37</f>
        <v>12029412804.437504</v>
      </c>
      <c r="E24" s="482">
        <f>'Workings-Sensitivity Analysis2'!I37</f>
        <v>12029412804.437504</v>
      </c>
    </row>
    <row r="25" spans="2:5">
      <c r="D25" s="482"/>
      <c r="E25" s="482"/>
    </row>
    <row r="26" spans="2:5" ht="30" customHeight="1">
      <c r="B26" s="2" t="str">
        <f>Assumptions!I84</f>
        <v>2030-31</v>
      </c>
      <c r="D26" s="482">
        <f>'workings-Sensitivity Analysis1'!J37</f>
        <v>12804244852.248755</v>
      </c>
      <c r="E26" s="482">
        <f>'Workings-Sensitivity Analysis2'!J37</f>
        <v>12804244852.248755</v>
      </c>
    </row>
    <row r="27" spans="2:5">
      <c r="D27" s="482"/>
      <c r="E27" s="482"/>
    </row>
    <row r="28" spans="2:5" ht="29.25" customHeight="1">
      <c r="B28" s="2" t="str">
        <f>Assumptions!I85</f>
        <v>2031-32</v>
      </c>
      <c r="D28" s="482">
        <f>'workings-Sensitivity Analysis1'!K37</f>
        <v>13567817619.293201</v>
      </c>
      <c r="E28" s="482">
        <f>'Workings-Sensitivity Analysis2'!K37</f>
        <v>13567817619.293201</v>
      </c>
    </row>
    <row r="30" spans="2:5" ht="15" thickBot="1">
      <c r="B30" s="3"/>
      <c r="C30" s="3"/>
      <c r="D30" s="3"/>
      <c r="E30" s="3"/>
    </row>
  </sheetData>
  <mergeCells count="5">
    <mergeCell ref="B2:E2"/>
    <mergeCell ref="B3:E3"/>
    <mergeCell ref="B8:E8"/>
    <mergeCell ref="D10:E10"/>
    <mergeCell ref="B4:E5"/>
  </mergeCells>
  <pageMargins left="0.23622047244094491" right="0.15748031496062992" top="0.74803149606299213" bottom="0.74803149606299213" header="0.31496062992125984" footer="0.31496062992125984"/>
  <pageSetup scale="115" orientation="portrait" horizontalDpi="0" verticalDpi="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5415A-484D-4216-9C76-2465B4C346E9}">
  <sheetPr codeName="Sheet33"/>
  <dimension ref="A2:L48"/>
  <sheetViews>
    <sheetView topLeftCell="A22" zoomScaleNormal="100" workbookViewId="0">
      <selection activeCell="M23" sqref="M23"/>
    </sheetView>
  </sheetViews>
  <sheetFormatPr defaultColWidth="9.21875" defaultRowHeight="14.4"/>
  <cols>
    <col min="1" max="1" width="41" style="2" customWidth="1"/>
    <col min="2" max="2" width="12.44140625" style="2" customWidth="1"/>
    <col min="3" max="5" width="11.77734375" style="2" bestFit="1" customWidth="1"/>
    <col min="6" max="6" width="12.21875" style="2" bestFit="1" customWidth="1"/>
    <col min="7" max="9" width="11.77734375" style="2" bestFit="1" customWidth="1"/>
    <col min="10" max="10" width="3.44140625" style="2" customWidth="1"/>
    <col min="11" max="16384" width="9.21875" style="2"/>
  </cols>
  <sheetData>
    <row r="2" spans="1:12" ht="18">
      <c r="A2" s="947" t="str">
        <f>Assumptions!I17</f>
        <v>Doe Textiles</v>
      </c>
      <c r="B2" s="947"/>
      <c r="C2" s="947"/>
      <c r="D2" s="947"/>
      <c r="E2" s="947"/>
      <c r="F2" s="947"/>
      <c r="G2" s="947"/>
      <c r="H2" s="947"/>
      <c r="I2" s="947"/>
    </row>
    <row r="3" spans="1:12" ht="18">
      <c r="A3" s="947" t="str">
        <f>Assumptions!I8</f>
        <v>John Doe</v>
      </c>
      <c r="B3" s="947"/>
      <c r="C3" s="947"/>
      <c r="D3" s="947"/>
      <c r="E3" s="947"/>
      <c r="F3" s="947"/>
      <c r="G3" s="947"/>
      <c r="H3" s="947"/>
      <c r="I3" s="947"/>
    </row>
    <row r="4" spans="1:12" ht="18">
      <c r="A4" s="947" t="str">
        <f>Assumptions!I16</f>
        <v>123 Industrial Area, City</v>
      </c>
      <c r="B4" s="947"/>
      <c r="C4" s="947"/>
      <c r="D4" s="947"/>
      <c r="E4" s="947"/>
      <c r="F4" s="947"/>
      <c r="G4" s="947"/>
      <c r="H4" s="947"/>
      <c r="I4" s="947"/>
    </row>
    <row r="6" spans="1:12" ht="18" customHeight="1"/>
    <row r="7" spans="1:12" ht="25.5" customHeight="1">
      <c r="A7" s="959" t="s">
        <v>628</v>
      </c>
      <c r="B7" s="959"/>
      <c r="C7" s="959"/>
      <c r="D7" s="959"/>
      <c r="E7" s="959"/>
      <c r="F7" s="959"/>
      <c r="G7" s="959"/>
      <c r="H7" s="959"/>
      <c r="I7" s="959"/>
    </row>
    <row r="8" spans="1:12" ht="51" customHeight="1" thickBot="1">
      <c r="A8" s="235" t="s">
        <v>14</v>
      </c>
      <c r="B8" s="406" t="str">
        <f>IF('Final workings'!B7=0,"",Assumptions!I78)</f>
        <v>2024-25</v>
      </c>
      <c r="C8" s="406" t="str">
        <f>IF('Final workings'!C7=0,"",Assumptions!I79)</f>
        <v>2025-26</v>
      </c>
      <c r="D8" s="406" t="str">
        <f>Assumptions!I80</f>
        <v>2026-27</v>
      </c>
      <c r="E8" s="406" t="str">
        <f>Assumptions!I81</f>
        <v>2027-28</v>
      </c>
      <c r="F8" s="406" t="str">
        <f>Assumptions!I82</f>
        <v>2028-29</v>
      </c>
      <c r="G8" s="406" t="str">
        <f>Assumptions!I83</f>
        <v>2029-30</v>
      </c>
      <c r="H8" s="406" t="str">
        <f>Assumptions!I84</f>
        <v>2030-31</v>
      </c>
      <c r="I8" s="406" t="str">
        <f>Assumptions!I85</f>
        <v>2031-32</v>
      </c>
    </row>
    <row r="9" spans="1:12" ht="18.75" customHeight="1" thickTop="1"/>
    <row r="10" spans="1:12">
      <c r="A10" s="2" t="s">
        <v>333</v>
      </c>
      <c r="B10" s="14">
        <f>IF('Final workings'!B7=0,"",'PL BS'!D14)</f>
        <v>27534150000</v>
      </c>
      <c r="C10" s="14">
        <f>IF('Final workings'!C7=0,"",'PL BS'!E14)</f>
        <v>-8573600000</v>
      </c>
      <c r="D10" s="14">
        <f>'PL BS'!F14</f>
        <v>44750180000</v>
      </c>
      <c r="E10" s="14">
        <f>'PL BS'!G14</f>
        <v>46822650000</v>
      </c>
      <c r="F10" s="14">
        <f>'PL BS'!H14</f>
        <v>48895300000</v>
      </c>
      <c r="G10" s="14">
        <f>'PL BS'!I14</f>
        <v>50967900000</v>
      </c>
      <c r="H10" s="14">
        <f>'PL BS'!J14</f>
        <v>53040460000</v>
      </c>
      <c r="I10" s="14">
        <f>'PL BS'!K14</f>
        <v>55112960000</v>
      </c>
    </row>
    <row r="12" spans="1:12">
      <c r="A12" s="2" t="s">
        <v>582</v>
      </c>
      <c r="B12" s="14">
        <f>IF('Final workings'!B7=0,"",'PL BS'!D27)</f>
        <v>15562780000</v>
      </c>
      <c r="C12" s="14">
        <f>IF('Final workings'!C7=0,"",'PL BS'!E27)</f>
        <v>-23713430000</v>
      </c>
      <c r="D12" s="14">
        <f>'PL BS'!F27</f>
        <v>28882870000</v>
      </c>
      <c r="E12" s="14">
        <f>'PL BS'!G27</f>
        <v>30227930000</v>
      </c>
      <c r="F12" s="14">
        <f>'PL BS'!H27</f>
        <v>31573080000</v>
      </c>
      <c r="G12" s="14">
        <f>'PL BS'!I27</f>
        <v>32918190000</v>
      </c>
      <c r="H12" s="14">
        <f>'PL BS'!J27</f>
        <v>34263230000</v>
      </c>
      <c r="I12" s="14">
        <f>'PL BS'!K27</f>
        <v>35608230000</v>
      </c>
    </row>
    <row r="14" spans="1:12" ht="20.25" customHeight="1">
      <c r="A14" s="19" t="s">
        <v>879</v>
      </c>
      <c r="B14" s="11">
        <f>IF('Final workings'!B7=0,"",B10-B12)</f>
        <v>11971370000</v>
      </c>
      <c r="C14" s="11">
        <f>IF('Final workings'!C7=0,"",C10-C12)</f>
        <v>15139830000</v>
      </c>
      <c r="D14" s="11">
        <f t="shared" ref="D14:I14" si="0">D10-D12</f>
        <v>15867310000</v>
      </c>
      <c r="E14" s="11">
        <f t="shared" si="0"/>
        <v>16594720000</v>
      </c>
      <c r="F14" s="11">
        <f t="shared" si="0"/>
        <v>17322220000</v>
      </c>
      <c r="G14" s="11">
        <f t="shared" si="0"/>
        <v>18049710000</v>
      </c>
      <c r="H14" s="11">
        <f t="shared" si="0"/>
        <v>18777230000</v>
      </c>
      <c r="I14" s="11">
        <f t="shared" si="0"/>
        <v>19504730000</v>
      </c>
    </row>
    <row r="16" spans="1:12">
      <c r="A16" s="2" t="s">
        <v>585</v>
      </c>
      <c r="B16" s="8">
        <f>'Final workings'!B70</f>
        <v>0</v>
      </c>
      <c r="C16" s="8">
        <f>'Final workings'!C70</f>
        <v>0</v>
      </c>
      <c r="D16" s="8">
        <f>'Final workings'!D70</f>
        <v>0</v>
      </c>
      <c r="E16" s="8">
        <f>'Final workings'!E70</f>
        <v>0</v>
      </c>
      <c r="F16" s="8">
        <f>'Final workings'!F70</f>
        <v>0</v>
      </c>
      <c r="G16" s="8">
        <f>'Final workings'!G70</f>
        <v>0</v>
      </c>
      <c r="H16" s="8">
        <f>'Final workings'!H70</f>
        <v>0</v>
      </c>
      <c r="I16" s="8">
        <f>'Final workings'!I70</f>
        <v>0</v>
      </c>
      <c r="L16" s="14"/>
    </row>
    <row r="17" spans="1:12">
      <c r="L17" s="14"/>
    </row>
    <row r="18" spans="1:12">
      <c r="A18" s="2" t="s">
        <v>878</v>
      </c>
      <c r="B18" s="14" t="e">
        <f>IF('Final workings'!B7=0,"",B10/B16)</f>
        <v>#DIV/0!</v>
      </c>
      <c r="C18" s="14" t="e">
        <f>IF(Assumptions!I63=0,"",C10/C16)</f>
        <v>#DIV/0!</v>
      </c>
      <c r="D18" s="14" t="e">
        <f t="shared" ref="D18:I18" si="1">D10/D16</f>
        <v>#DIV/0!</v>
      </c>
      <c r="E18" s="14" t="e">
        <f t="shared" si="1"/>
        <v>#DIV/0!</v>
      </c>
      <c r="F18" s="14" t="e">
        <f t="shared" si="1"/>
        <v>#DIV/0!</v>
      </c>
      <c r="G18" s="14" t="e">
        <f t="shared" si="1"/>
        <v>#DIV/0!</v>
      </c>
      <c r="H18" s="14" t="e">
        <f t="shared" si="1"/>
        <v>#DIV/0!</v>
      </c>
      <c r="I18" s="14" t="e">
        <f t="shared" si="1"/>
        <v>#DIV/0!</v>
      </c>
    </row>
    <row r="20" spans="1:12">
      <c r="A20" s="2" t="s">
        <v>880</v>
      </c>
      <c r="B20" s="14" t="e">
        <f>IF('Final workings'!B7=0,"",B14/B18)</f>
        <v>#DIV/0!</v>
      </c>
      <c r="C20" s="14" t="e">
        <f>IF(Assumptions!I63=0,"",C14/C18)</f>
        <v>#DIV/0!</v>
      </c>
      <c r="D20" s="14" t="e">
        <f t="shared" ref="D20:I20" si="2">D14/D18</f>
        <v>#DIV/0!</v>
      </c>
      <c r="E20" s="14" t="e">
        <f t="shared" si="2"/>
        <v>#DIV/0!</v>
      </c>
      <c r="F20" s="14" t="e">
        <f t="shared" si="2"/>
        <v>#DIV/0!</v>
      </c>
      <c r="G20" s="14" t="e">
        <f t="shared" si="2"/>
        <v>#DIV/0!</v>
      </c>
      <c r="H20" s="14" t="e">
        <f t="shared" si="2"/>
        <v>#DIV/0!</v>
      </c>
      <c r="I20" s="14" t="e">
        <f t="shared" si="2"/>
        <v>#DIV/0!</v>
      </c>
    </row>
    <row r="22" spans="1:12">
      <c r="A22" s="2" t="s">
        <v>586</v>
      </c>
      <c r="B22" s="14">
        <f>'Final workings'!B71</f>
        <v>0</v>
      </c>
      <c r="C22" s="14">
        <f>'Final workings'!C71</f>
        <v>0</v>
      </c>
      <c r="D22" s="14">
        <f>'Final workings'!D71</f>
        <v>0</v>
      </c>
      <c r="E22" s="14">
        <f>'Final workings'!E71</f>
        <v>0</v>
      </c>
      <c r="F22" s="14">
        <f>'Final workings'!F71</f>
        <v>0</v>
      </c>
      <c r="G22" s="14">
        <f>'Final workings'!G71</f>
        <v>0</v>
      </c>
      <c r="H22" s="14">
        <f>'Final workings'!H71</f>
        <v>0</v>
      </c>
      <c r="I22" s="14">
        <f>'Final workings'!I71</f>
        <v>0</v>
      </c>
    </row>
    <row r="24" spans="1:12" ht="16.5" customHeight="1">
      <c r="A24" s="483" t="s">
        <v>881</v>
      </c>
      <c r="B24" s="484" t="e">
        <f>IF('Final workings'!B7=0,"",B22/B20)</f>
        <v>#DIV/0!</v>
      </c>
      <c r="C24" s="484" t="e">
        <f>IF(Assumptions!I63=0,"",C22/C20)</f>
        <v>#DIV/0!</v>
      </c>
      <c r="D24" s="484" t="e">
        <f t="shared" ref="D24:I24" si="3">D22/D20</f>
        <v>#DIV/0!</v>
      </c>
      <c r="E24" s="484" t="e">
        <f t="shared" si="3"/>
        <v>#DIV/0!</v>
      </c>
      <c r="F24" s="484" t="e">
        <f t="shared" si="3"/>
        <v>#DIV/0!</v>
      </c>
      <c r="G24" s="484" t="e">
        <f t="shared" si="3"/>
        <v>#DIV/0!</v>
      </c>
      <c r="H24" s="484" t="e">
        <f t="shared" si="3"/>
        <v>#DIV/0!</v>
      </c>
      <c r="I24" s="484" t="e">
        <f t="shared" si="3"/>
        <v>#DIV/0!</v>
      </c>
    </row>
    <row r="25" spans="1:12" ht="15" customHeight="1">
      <c r="A25" s="485"/>
      <c r="B25" s="486"/>
      <c r="C25" s="486"/>
      <c r="D25" s="486"/>
      <c r="E25" s="486"/>
      <c r="F25" s="486"/>
      <c r="G25" s="486"/>
      <c r="H25" s="486"/>
      <c r="I25" s="486"/>
    </row>
    <row r="26" spans="1:12" ht="20.25" customHeight="1">
      <c r="A26" s="485" t="s">
        <v>882</v>
      </c>
      <c r="B26" s="486">
        <f>IF('Final workings'!B7=0,"",'Final workings'!E68*12)</f>
        <v>0</v>
      </c>
      <c r="C26" s="486">
        <f>IF(Assumptions!I63=0,"",'Final workings'!E68*12)</f>
        <v>0</v>
      </c>
      <c r="D26" s="486">
        <f>'Final workings'!E68*12</f>
        <v>0</v>
      </c>
      <c r="E26" s="486">
        <f>D26</f>
        <v>0</v>
      </c>
      <c r="F26" s="486">
        <f>E26</f>
        <v>0</v>
      </c>
      <c r="G26" s="486">
        <f>F26</f>
        <v>0</v>
      </c>
      <c r="H26" s="486">
        <f>G26</f>
        <v>0</v>
      </c>
      <c r="I26" s="486">
        <f>H26</f>
        <v>0</v>
      </c>
    </row>
    <row r="27" spans="1:12" ht="16.5" customHeight="1">
      <c r="A27" s="485"/>
      <c r="B27" s="486"/>
      <c r="C27" s="486"/>
      <c r="D27" s="486"/>
      <c r="E27" s="486"/>
      <c r="F27" s="486"/>
      <c r="G27" s="486"/>
      <c r="H27" s="486"/>
      <c r="I27" s="486"/>
    </row>
    <row r="28" spans="1:12" ht="17.25" customHeight="1">
      <c r="A28" s="485" t="s">
        <v>883</v>
      </c>
      <c r="B28" s="486" t="e">
        <f>B18</f>
        <v>#DIV/0!</v>
      </c>
      <c r="C28" s="486" t="e">
        <f t="shared" ref="C28:I28" si="4">C18</f>
        <v>#DIV/0!</v>
      </c>
      <c r="D28" s="486" t="e">
        <f t="shared" si="4"/>
        <v>#DIV/0!</v>
      </c>
      <c r="E28" s="486" t="e">
        <f t="shared" si="4"/>
        <v>#DIV/0!</v>
      </c>
      <c r="F28" s="486" t="e">
        <f t="shared" si="4"/>
        <v>#DIV/0!</v>
      </c>
      <c r="G28" s="486" t="e">
        <f t="shared" si="4"/>
        <v>#DIV/0!</v>
      </c>
      <c r="H28" s="486" t="e">
        <f t="shared" si="4"/>
        <v>#DIV/0!</v>
      </c>
      <c r="I28" s="486" t="e">
        <f t="shared" si="4"/>
        <v>#DIV/0!</v>
      </c>
    </row>
    <row r="29" spans="1:12" ht="17.25" customHeight="1">
      <c r="A29" s="483"/>
      <c r="B29" s="487"/>
      <c r="C29" s="487"/>
      <c r="D29" s="487"/>
      <c r="E29" s="487"/>
      <c r="F29" s="487"/>
      <c r="G29" s="487"/>
      <c r="H29" s="487"/>
      <c r="I29" s="487"/>
    </row>
    <row r="30" spans="1:12" ht="16.5" customHeight="1">
      <c r="A30" s="488" t="s">
        <v>914</v>
      </c>
      <c r="B30" s="533" t="e">
        <f>IF('Final workings'!B7=0,"",B28/B26*100*Assumptions!F130/Assumptions!I62)</f>
        <v>#DIV/0!</v>
      </c>
      <c r="C30" s="489" t="e">
        <f>IF(Assumptions!I63=0,"",C28/C26*100*Assumptions!F130/Assumptions!I63)</f>
        <v>#DIV/0!</v>
      </c>
      <c r="D30" s="489" t="e">
        <f t="shared" ref="D30:I30" si="5">D28/D26*100</f>
        <v>#DIV/0!</v>
      </c>
      <c r="E30" s="489" t="e">
        <f t="shared" si="5"/>
        <v>#DIV/0!</v>
      </c>
      <c r="F30" s="489" t="e">
        <f t="shared" si="5"/>
        <v>#DIV/0!</v>
      </c>
      <c r="G30" s="489" t="e">
        <f t="shared" si="5"/>
        <v>#DIV/0!</v>
      </c>
      <c r="H30" s="489" t="e">
        <f t="shared" si="5"/>
        <v>#DIV/0!</v>
      </c>
      <c r="I30" s="489" t="e">
        <f t="shared" si="5"/>
        <v>#DIV/0!</v>
      </c>
    </row>
    <row r="31" spans="1:12" ht="15" thickBot="1">
      <c r="A31" s="3"/>
      <c r="B31" s="3"/>
      <c r="C31" s="3"/>
      <c r="D31" s="3"/>
      <c r="E31" s="3"/>
      <c r="F31" s="3"/>
      <c r="G31" s="3"/>
      <c r="H31" s="3"/>
      <c r="I31" s="3"/>
    </row>
    <row r="33" spans="1:9" ht="18">
      <c r="A33" s="960" t="s">
        <v>626</v>
      </c>
      <c r="B33" s="960"/>
      <c r="C33" s="960"/>
      <c r="D33" s="960"/>
      <c r="E33" s="960"/>
      <c r="F33" s="960"/>
      <c r="G33" s="960"/>
      <c r="H33" s="960"/>
      <c r="I33" s="960"/>
    </row>
    <row r="35" spans="1:9" ht="39" customHeight="1" thickBot="1">
      <c r="A35" s="235" t="str">
        <f>A8</f>
        <v>Particulars</v>
      </c>
      <c r="B35" s="236" t="str">
        <f>B8</f>
        <v>2024-25</v>
      </c>
      <c r="C35" s="539" t="str">
        <f t="shared" ref="C35:I35" si="6">C8</f>
        <v>2025-26</v>
      </c>
      <c r="D35" s="539" t="str">
        <f t="shared" si="6"/>
        <v>2026-27</v>
      </c>
      <c r="E35" s="539" t="str">
        <f t="shared" si="6"/>
        <v>2027-28</v>
      </c>
      <c r="F35" s="539" t="str">
        <f t="shared" si="6"/>
        <v>2028-29</v>
      </c>
      <c r="G35" s="539" t="str">
        <f t="shared" si="6"/>
        <v>2029-30</v>
      </c>
      <c r="H35" s="539" t="str">
        <f t="shared" si="6"/>
        <v>2030-31</v>
      </c>
      <c r="I35" s="539" t="str">
        <f t="shared" si="6"/>
        <v>2031-32</v>
      </c>
    </row>
    <row r="36" spans="1:9" ht="15" thickTop="1"/>
    <row r="37" spans="1:9">
      <c r="A37" s="2" t="s">
        <v>622</v>
      </c>
      <c r="B37" s="14">
        <f>B10</f>
        <v>27534150000</v>
      </c>
      <c r="C37" s="14">
        <f t="shared" ref="C37:I37" si="7">C10</f>
        <v>-8573600000</v>
      </c>
      <c r="D37" s="14">
        <f t="shared" si="7"/>
        <v>44750180000</v>
      </c>
      <c r="E37" s="14">
        <f t="shared" si="7"/>
        <v>46822650000</v>
      </c>
      <c r="F37" s="14">
        <f t="shared" si="7"/>
        <v>48895300000</v>
      </c>
      <c r="G37" s="14">
        <f t="shared" si="7"/>
        <v>50967900000</v>
      </c>
      <c r="H37" s="14">
        <f t="shared" si="7"/>
        <v>53040460000</v>
      </c>
      <c r="I37" s="14">
        <f t="shared" si="7"/>
        <v>55112960000</v>
      </c>
    </row>
    <row r="39" spans="1:9">
      <c r="A39" s="2" t="s">
        <v>913</v>
      </c>
      <c r="B39" s="14" t="e">
        <f>IF('Final workings'!B7=0,"",B24*B16)</f>
        <v>#DIV/0!</v>
      </c>
      <c r="C39" s="14" t="e">
        <f>IF(Assumptions!I63=0,"",C24*C16)</f>
        <v>#DIV/0!</v>
      </c>
      <c r="D39" s="14" t="e">
        <f t="shared" ref="D39:I39" si="8">D24*D16</f>
        <v>#DIV/0!</v>
      </c>
      <c r="E39" s="14" t="e">
        <f t="shared" si="8"/>
        <v>#DIV/0!</v>
      </c>
      <c r="F39" s="14" t="e">
        <f t="shared" si="8"/>
        <v>#DIV/0!</v>
      </c>
      <c r="G39" s="14" t="e">
        <f t="shared" si="8"/>
        <v>#DIV/0!</v>
      </c>
      <c r="H39" s="14" t="e">
        <f t="shared" si="8"/>
        <v>#DIV/0!</v>
      </c>
      <c r="I39" s="14" t="e">
        <f t="shared" si="8"/>
        <v>#DIV/0!</v>
      </c>
    </row>
    <row r="41" spans="1:9">
      <c r="A41" s="214" t="s">
        <v>627</v>
      </c>
    </row>
    <row r="43" spans="1:9">
      <c r="A43" s="2" t="s">
        <v>623</v>
      </c>
      <c r="B43" s="14" t="e">
        <f>IF('Final workings'!B7=0,"",B37-B39)</f>
        <v>#DIV/0!</v>
      </c>
      <c r="C43" s="14" t="e">
        <f>IF(Assumptions!I63=0,"",C37-C39)</f>
        <v>#DIV/0!</v>
      </c>
      <c r="D43" s="14" t="e">
        <f t="shared" ref="D43:I43" si="9">D37-D39</f>
        <v>#DIV/0!</v>
      </c>
      <c r="E43" s="14" t="e">
        <f t="shared" si="9"/>
        <v>#DIV/0!</v>
      </c>
      <c r="F43" s="14" t="e">
        <f t="shared" si="9"/>
        <v>#DIV/0!</v>
      </c>
      <c r="G43" s="14" t="e">
        <f t="shared" si="9"/>
        <v>#DIV/0!</v>
      </c>
      <c r="H43" s="14" t="e">
        <f t="shared" si="9"/>
        <v>#DIV/0!</v>
      </c>
      <c r="I43" s="14" t="e">
        <f t="shared" si="9"/>
        <v>#DIV/0!</v>
      </c>
    </row>
    <row r="45" spans="1:9">
      <c r="A45" s="2" t="s">
        <v>624</v>
      </c>
      <c r="B45" s="8" t="e">
        <f>IF('Final workings'!B7=0,"",B43/B37)</f>
        <v>#DIV/0!</v>
      </c>
      <c r="C45" s="8" t="e">
        <f>IF(Assumptions!I63=0,"",C43/C37)</f>
        <v>#DIV/0!</v>
      </c>
      <c r="D45" s="8" t="e">
        <f t="shared" ref="D45:I45" si="10">D43/D37</f>
        <v>#DIV/0!</v>
      </c>
      <c r="E45" s="8" t="e">
        <f t="shared" si="10"/>
        <v>#DIV/0!</v>
      </c>
      <c r="F45" s="8" t="e">
        <f t="shared" si="10"/>
        <v>#DIV/0!</v>
      </c>
      <c r="G45" s="8" t="e">
        <f t="shared" si="10"/>
        <v>#DIV/0!</v>
      </c>
      <c r="H45" s="8" t="e">
        <f t="shared" si="10"/>
        <v>#DIV/0!</v>
      </c>
      <c r="I45" s="8" t="e">
        <f t="shared" si="10"/>
        <v>#DIV/0!</v>
      </c>
    </row>
    <row r="47" spans="1:9">
      <c r="A47" s="2" t="s">
        <v>625</v>
      </c>
      <c r="B47" s="8" t="e">
        <f>IF('Final workings'!B7=0,"",B45*100)</f>
        <v>#DIV/0!</v>
      </c>
      <c r="C47" s="8" t="e">
        <f>IF(Assumptions!I63=0,"",C45*100)</f>
        <v>#DIV/0!</v>
      </c>
      <c r="D47" s="8" t="e">
        <f t="shared" ref="D47:I47" si="11">D45*100</f>
        <v>#DIV/0!</v>
      </c>
      <c r="E47" s="8" t="e">
        <f t="shared" si="11"/>
        <v>#DIV/0!</v>
      </c>
      <c r="F47" s="8" t="e">
        <f t="shared" si="11"/>
        <v>#DIV/0!</v>
      </c>
      <c r="G47" s="8" t="e">
        <f t="shared" si="11"/>
        <v>#DIV/0!</v>
      </c>
      <c r="H47" s="8" t="e">
        <f t="shared" si="11"/>
        <v>#DIV/0!</v>
      </c>
      <c r="I47" s="8" t="e">
        <f t="shared" si="11"/>
        <v>#DIV/0!</v>
      </c>
    </row>
    <row r="48" spans="1:9" ht="15" thickBot="1">
      <c r="A48" s="3"/>
      <c r="B48" s="3"/>
      <c r="C48" s="3"/>
      <c r="D48" s="3"/>
      <c r="E48" s="3"/>
      <c r="F48" s="3"/>
      <c r="G48" s="3"/>
      <c r="H48" s="3"/>
      <c r="I48" s="3"/>
    </row>
  </sheetData>
  <mergeCells count="5">
    <mergeCell ref="A2:I2"/>
    <mergeCell ref="A3:I3"/>
    <mergeCell ref="A4:I4"/>
    <mergeCell ref="A7:I7"/>
    <mergeCell ref="A33:I33"/>
  </mergeCells>
  <pageMargins left="0.17" right="0.17" top="0.75" bottom="0.75" header="0.3" footer="0.3"/>
  <pageSetup scale="76" orientation="portrait" horizontalDpi="0" verticalDpi="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0A6D5-42E9-49C4-9CCA-6FD517E42184}">
  <sheetPr codeName="Sheet34"/>
  <dimension ref="B1:D62"/>
  <sheetViews>
    <sheetView workbookViewId="0">
      <selection activeCell="K27" sqref="K27"/>
    </sheetView>
  </sheetViews>
  <sheetFormatPr defaultRowHeight="27" customHeight="1"/>
  <cols>
    <col min="1" max="1" width="5.77734375" customWidth="1"/>
    <col min="2" max="2" width="47" customWidth="1"/>
    <col min="3" max="3" width="17.5546875" customWidth="1"/>
    <col min="4" max="4" width="16.77734375" customWidth="1"/>
  </cols>
  <sheetData>
    <row r="1" spans="2:4" ht="13.2"/>
    <row r="2" spans="2:4" ht="18">
      <c r="B2" s="947" t="str">
        <f>Assumptions!I17</f>
        <v>Doe Textiles</v>
      </c>
      <c r="C2" s="947"/>
      <c r="D2" s="947"/>
    </row>
    <row r="3" spans="2:4" ht="18">
      <c r="B3" s="947" t="str">
        <f>Assumptions!I8</f>
        <v>John Doe</v>
      </c>
      <c r="C3" s="947"/>
      <c r="D3" s="947"/>
    </row>
    <row r="4" spans="2:4" ht="18">
      <c r="B4" s="947" t="str">
        <f>Assumptions!I16</f>
        <v>123 Industrial Area, City</v>
      </c>
      <c r="C4" s="947"/>
      <c r="D4" s="947"/>
    </row>
    <row r="5" spans="2:4" ht="13.2"/>
    <row r="6" spans="2:4" ht="13.2"/>
    <row r="7" spans="2:4" ht="18">
      <c r="B7" s="960" t="s">
        <v>591</v>
      </c>
      <c r="C7" s="960"/>
      <c r="D7" s="960"/>
    </row>
    <row r="8" spans="2:4" ht="27" customHeight="1">
      <c r="D8" s="436" t="s">
        <v>390</v>
      </c>
    </row>
    <row r="9" spans="2:4" ht="33" customHeight="1" thickBot="1">
      <c r="B9" s="355" t="s">
        <v>14</v>
      </c>
      <c r="C9" s="356" t="s">
        <v>225</v>
      </c>
      <c r="D9" s="356" t="s">
        <v>225</v>
      </c>
    </row>
    <row r="10" spans="2:4" ht="14.4">
      <c r="B10" s="2"/>
      <c r="C10" s="2"/>
      <c r="D10" s="2"/>
    </row>
    <row r="11" spans="2:4" ht="16.2">
      <c r="B11" s="422" t="str">
        <f>Assumptions!B134</f>
        <v>Plant and Machinery</v>
      </c>
      <c r="C11" s="2"/>
      <c r="D11" s="377">
        <f>SUM(C12:C17)</f>
        <v>70000</v>
      </c>
    </row>
    <row r="12" spans="2:4" ht="14.4">
      <c r="B12" s="2">
        <f>Assumptions!D134</f>
        <v>0</v>
      </c>
      <c r="C12" s="8">
        <f>Assumptions!E134</f>
        <v>0</v>
      </c>
      <c r="D12" s="2"/>
    </row>
    <row r="13" spans="2:4" ht="14.4">
      <c r="B13" s="2" t="str">
        <f>Assumptions!D135</f>
        <v>Sewing Machine</v>
      </c>
      <c r="C13" s="8">
        <f>Assumptions!E135</f>
        <v>50000</v>
      </c>
      <c r="D13" s="2"/>
    </row>
    <row r="14" spans="2:4" ht="14.4">
      <c r="B14" s="2" t="str">
        <f>Assumptions!D136</f>
        <v>Cutting Table</v>
      </c>
      <c r="C14" s="8">
        <f>Assumptions!E136</f>
        <v>20000</v>
      </c>
      <c r="D14" s="2"/>
    </row>
    <row r="15" spans="2:4" ht="14.4">
      <c r="B15" s="2"/>
      <c r="C15" s="2"/>
      <c r="D15" s="2"/>
    </row>
    <row r="16" spans="2:4" ht="14.4">
      <c r="B16" s="2"/>
      <c r="C16" s="2"/>
      <c r="D16" s="2"/>
    </row>
    <row r="17" spans="2:4" ht="14.4">
      <c r="B17" s="2"/>
      <c r="C17" s="2"/>
      <c r="D17" s="2"/>
    </row>
    <row r="18" spans="2:4" ht="16.2">
      <c r="B18" s="423" t="str">
        <f>Assumptions!B144</f>
        <v>Service Equipment</v>
      </c>
      <c r="C18" s="2"/>
      <c r="D18" s="2"/>
    </row>
    <row r="19" spans="2:4" ht="15">
      <c r="B19" s="421"/>
      <c r="C19" s="2"/>
      <c r="D19" s="2"/>
    </row>
    <row r="20" spans="2:4" ht="15">
      <c r="B20" s="421"/>
      <c r="C20" s="2"/>
      <c r="D20" s="2"/>
    </row>
    <row r="21" spans="2:4" ht="14.4">
      <c r="B21" s="2"/>
      <c r="C21" s="2"/>
      <c r="D21" s="2"/>
    </row>
    <row r="22" spans="2:4" ht="16.2">
      <c r="B22" s="422" t="str">
        <f>Assumptions!B154</f>
        <v>Shed Construction and Civil works</v>
      </c>
      <c r="C22" s="2"/>
      <c r="D22" s="2"/>
    </row>
    <row r="23" spans="2:4" ht="15">
      <c r="B23" s="420"/>
      <c r="C23" s="2"/>
      <c r="D23" s="2"/>
    </row>
    <row r="24" spans="2:4" ht="15">
      <c r="B24" s="420"/>
      <c r="C24" s="2"/>
      <c r="D24" s="2"/>
    </row>
    <row r="25" spans="2:4" ht="15">
      <c r="B25" s="420"/>
      <c r="C25" s="2"/>
      <c r="D25" s="2"/>
    </row>
    <row r="26" spans="2:4" ht="16.2">
      <c r="B26" s="422" t="str">
        <f>Assumptions!B164</f>
        <v>Land</v>
      </c>
      <c r="C26" s="2"/>
      <c r="D26" s="2"/>
    </row>
    <row r="27" spans="2:4" ht="15">
      <c r="B27" s="420"/>
      <c r="C27" s="2"/>
      <c r="D27" s="2"/>
    </row>
    <row r="28" spans="2:4" ht="15">
      <c r="B28" s="420"/>
      <c r="C28" s="2"/>
      <c r="D28" s="2"/>
    </row>
    <row r="29" spans="2:4" ht="15">
      <c r="B29" s="420"/>
      <c r="C29" s="2"/>
      <c r="D29" s="2"/>
    </row>
    <row r="30" spans="2:4" ht="16.2">
      <c r="B30" s="422" t="str">
        <f>Assumptions!B167</f>
        <v xml:space="preserve">Electrical Items &amp; fittings                    </v>
      </c>
      <c r="C30" s="2"/>
      <c r="D30" s="2"/>
    </row>
    <row r="31" spans="2:4" ht="15">
      <c r="B31" s="420"/>
      <c r="C31" s="2"/>
      <c r="D31" s="2"/>
    </row>
    <row r="32" spans="2:4" ht="15">
      <c r="B32" s="420"/>
      <c r="C32" s="2"/>
      <c r="D32" s="2"/>
    </row>
    <row r="33" spans="2:4" ht="15">
      <c r="B33" s="420"/>
      <c r="C33" s="2"/>
      <c r="D33" s="2"/>
    </row>
    <row r="34" spans="2:4" ht="16.2">
      <c r="B34" s="422" t="str">
        <f>Assumptions!B177</f>
        <v>Electronic Items</v>
      </c>
      <c r="C34" s="2"/>
      <c r="D34" s="2"/>
    </row>
    <row r="35" spans="2:4" ht="15">
      <c r="B35" s="420"/>
      <c r="C35" s="2"/>
      <c r="D35" s="2"/>
    </row>
    <row r="36" spans="2:4" ht="15">
      <c r="B36" s="420"/>
      <c r="C36" s="2"/>
      <c r="D36" s="2"/>
    </row>
    <row r="37" spans="2:4" ht="15">
      <c r="B37" s="420"/>
      <c r="C37" s="2"/>
      <c r="D37" s="2"/>
    </row>
    <row r="38" spans="2:4" ht="15">
      <c r="B38" s="420"/>
      <c r="C38" s="2"/>
      <c r="D38" s="2"/>
    </row>
    <row r="39" spans="2:4" ht="16.2">
      <c r="B39" s="422" t="str">
        <f>Assumptions!B187</f>
        <v>Furniture and Fittings</v>
      </c>
      <c r="C39" s="2"/>
      <c r="D39" s="2"/>
    </row>
    <row r="40" spans="2:4" ht="15">
      <c r="B40" s="420"/>
      <c r="C40" s="2"/>
      <c r="D40" s="2"/>
    </row>
    <row r="41" spans="2:4" ht="15">
      <c r="B41" s="420"/>
      <c r="C41" s="2"/>
      <c r="D41" s="2"/>
    </row>
    <row r="42" spans="2:4" ht="15">
      <c r="B42" s="420"/>
      <c r="C42" s="2"/>
      <c r="D42" s="2"/>
    </row>
    <row r="43" spans="2:4" ht="16.2">
      <c r="B43" s="422" t="str">
        <f>Assumptions!B197</f>
        <v>Vehicles</v>
      </c>
      <c r="C43" s="2"/>
      <c r="D43" s="2"/>
    </row>
    <row r="44" spans="2:4" ht="15">
      <c r="B44" s="420"/>
      <c r="C44" s="2"/>
      <c r="D44" s="2"/>
    </row>
    <row r="45" spans="2:4" ht="15">
      <c r="B45" s="420"/>
      <c r="C45" s="2"/>
      <c r="D45" s="2"/>
    </row>
    <row r="46" spans="2:4" ht="15">
      <c r="B46" s="420"/>
      <c r="C46" s="2"/>
      <c r="D46" s="2"/>
    </row>
    <row r="47" spans="2:4" ht="16.2">
      <c r="B47" s="422" t="str">
        <f>Assumptions!B206</f>
        <v>Live stock</v>
      </c>
      <c r="C47" s="2"/>
      <c r="D47" s="2"/>
    </row>
    <row r="48" spans="2:4" ht="15">
      <c r="B48" s="420"/>
      <c r="C48" s="2"/>
      <c r="D48" s="2"/>
    </row>
    <row r="49" spans="2:4" ht="15">
      <c r="B49" s="420"/>
      <c r="C49" s="2"/>
      <c r="D49" s="2"/>
    </row>
    <row r="50" spans="2:4" ht="15">
      <c r="B50" s="420"/>
      <c r="C50" s="2"/>
      <c r="D50" s="2"/>
    </row>
    <row r="51" spans="2:4" ht="16.2">
      <c r="B51" s="422" t="str">
        <f>Assumptions!B216</f>
        <v>Other Assets</v>
      </c>
      <c r="C51" s="2"/>
      <c r="D51" s="2"/>
    </row>
    <row r="52" spans="2:4" ht="15">
      <c r="B52" s="420"/>
      <c r="C52" s="2"/>
      <c r="D52" s="2"/>
    </row>
    <row r="53" spans="2:4" ht="15">
      <c r="B53" s="420"/>
      <c r="C53" s="2"/>
      <c r="D53" s="2"/>
    </row>
    <row r="54" spans="2:4" ht="15">
      <c r="B54" s="420"/>
      <c r="C54" s="2"/>
      <c r="D54" s="2"/>
    </row>
    <row r="55" spans="2:4" ht="15">
      <c r="B55" s="420" t="str">
        <f>Assumptions!C38</f>
        <v>Other Assets (Nil Depreciation)</v>
      </c>
      <c r="C55" s="2"/>
      <c r="D55" s="2"/>
    </row>
    <row r="56" spans="2:4" ht="15">
      <c r="B56" s="420"/>
      <c r="C56" s="2"/>
      <c r="D56" s="2"/>
    </row>
    <row r="57" spans="2:4" ht="15">
      <c r="B57" s="420"/>
      <c r="C57" s="2"/>
      <c r="D57" s="2"/>
    </row>
    <row r="58" spans="2:4" ht="14.4">
      <c r="B58" s="2"/>
      <c r="C58" s="2"/>
      <c r="D58" s="2"/>
    </row>
    <row r="59" spans="2:4" ht="27" customHeight="1">
      <c r="B59" s="2"/>
      <c r="C59" s="2"/>
      <c r="D59" s="2"/>
    </row>
    <row r="60" spans="2:4" ht="27" customHeight="1" thickBot="1">
      <c r="B60" s="357" t="s">
        <v>592</v>
      </c>
      <c r="C60" s="32"/>
      <c r="D60" s="328">
        <f>SUM(D10:D58)</f>
        <v>70000</v>
      </c>
    </row>
    <row r="62" spans="2:4" ht="27" customHeight="1" thickBot="1">
      <c r="B62" s="136"/>
      <c r="C62" s="136"/>
      <c r="D62" s="136"/>
    </row>
  </sheetData>
  <mergeCells count="4">
    <mergeCell ref="B2:D2"/>
    <mergeCell ref="B3:D3"/>
    <mergeCell ref="B4:D4"/>
    <mergeCell ref="B7:D7"/>
  </mergeCells>
  <pageMargins left="0.7" right="0.7" top="0.75" bottom="0.75" header="0.3" footer="0.3"/>
  <pageSetup orientation="portrait" horizontalDpi="0" verticalDpi="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8AB6D-A047-4519-8C3C-0804F82B434C}">
  <sheetPr codeName="Sheet35"/>
  <dimension ref="A2:K40"/>
  <sheetViews>
    <sheetView topLeftCell="A22" zoomScaleNormal="100" workbookViewId="0">
      <selection activeCell="Q43" sqref="Q43"/>
    </sheetView>
  </sheetViews>
  <sheetFormatPr defaultRowHeight="13.2"/>
  <cols>
    <col min="1" max="1" width="2.77734375" customWidth="1"/>
    <col min="2" max="2" width="30.44140625" bestFit="1" customWidth="1"/>
    <col min="3" max="3" width="12.21875" customWidth="1"/>
    <col min="4" max="4" width="11.77734375" customWidth="1"/>
    <col min="5" max="5" width="12.44140625" customWidth="1"/>
    <col min="6" max="8" width="12.21875" customWidth="1"/>
    <col min="9" max="9" width="12" customWidth="1"/>
    <col min="10" max="10" width="12.21875" customWidth="1"/>
    <col min="11" max="11" width="3" customWidth="1"/>
  </cols>
  <sheetData>
    <row r="2" spans="1:11" ht="14.4">
      <c r="B2" s="915" t="str">
        <f>Assumptions!I17</f>
        <v>Doe Textiles</v>
      </c>
      <c r="C2" s="915"/>
      <c r="D2" s="915"/>
      <c r="E2" s="915"/>
      <c r="F2" s="915"/>
      <c r="G2" s="915"/>
      <c r="H2" s="915"/>
      <c r="I2" s="915"/>
      <c r="J2" s="915"/>
    </row>
    <row r="3" spans="1:11" ht="14.4">
      <c r="B3" s="915" t="str">
        <f>Assumptions!I8</f>
        <v>John Doe</v>
      </c>
      <c r="C3" s="915"/>
      <c r="D3" s="915"/>
      <c r="E3" s="915"/>
      <c r="F3" s="915"/>
      <c r="G3" s="915"/>
      <c r="H3" s="915"/>
      <c r="I3" s="915"/>
      <c r="J3" s="915"/>
    </row>
    <row r="4" spans="1:11" ht="14.4">
      <c r="B4" s="915" t="str">
        <f>Assumptions!I16</f>
        <v>123 Industrial Area, City</v>
      </c>
      <c r="C4" s="915"/>
      <c r="D4" s="915"/>
      <c r="E4" s="915"/>
      <c r="F4" s="915"/>
      <c r="G4" s="915"/>
      <c r="H4" s="915"/>
      <c r="I4" s="915"/>
      <c r="J4" s="915"/>
    </row>
    <row r="6" spans="1:11" ht="16.2">
      <c r="A6" s="168"/>
      <c r="B6" s="880" t="s">
        <v>660</v>
      </c>
      <c r="C6" s="880"/>
      <c r="D6" s="880"/>
      <c r="E6" s="880"/>
      <c r="F6" s="880"/>
      <c r="G6" s="880"/>
      <c r="H6" s="880"/>
      <c r="I6" s="880"/>
      <c r="J6" s="880"/>
      <c r="K6" s="168"/>
    </row>
    <row r="7" spans="1:11" ht="14.4">
      <c r="A7" s="168"/>
      <c r="B7" s="961" t="s">
        <v>659</v>
      </c>
      <c r="C7" s="961"/>
      <c r="D7" s="961"/>
      <c r="E7" s="961"/>
      <c r="F7" s="961"/>
      <c r="G7" s="961"/>
      <c r="H7" s="961"/>
      <c r="I7" s="961"/>
      <c r="J7" s="961"/>
      <c r="K7" s="168"/>
    </row>
    <row r="8" spans="1:11" ht="14.4">
      <c r="A8" s="168"/>
      <c r="B8" s="2"/>
      <c r="C8" s="2"/>
      <c r="D8" s="2"/>
      <c r="E8" s="2"/>
      <c r="F8" s="2"/>
      <c r="G8" s="2"/>
      <c r="H8" s="2"/>
      <c r="I8" s="2"/>
      <c r="J8" s="2"/>
      <c r="K8" s="168"/>
    </row>
    <row r="9" spans="1:11" ht="31.5" customHeight="1" thickBot="1">
      <c r="A9" s="168"/>
      <c r="B9" s="360" t="s">
        <v>14</v>
      </c>
      <c r="C9" s="495" t="str">
        <f>IF('Final workings'!B7=0,"",'PL BS'!D7)</f>
        <v>2024-25</v>
      </c>
      <c r="D9" s="362" t="str">
        <f>IF('Final workings'!C7=0,"",'PL BS'!E7)</f>
        <v>2025-26</v>
      </c>
      <c r="E9" s="362" t="str">
        <f>'PL BS'!F7</f>
        <v>2026-27</v>
      </c>
      <c r="F9" s="362" t="str">
        <f>'PL BS'!G7</f>
        <v>2027-28</v>
      </c>
      <c r="G9" s="362" t="str">
        <f>'PL BS'!H7</f>
        <v>2028-29</v>
      </c>
      <c r="H9" s="362" t="str">
        <f>'PL BS'!I7</f>
        <v>2029-30</v>
      </c>
      <c r="I9" s="362" t="str">
        <f>'PL BS'!J7</f>
        <v>2030-31</v>
      </c>
      <c r="J9" s="362" t="str">
        <f>'PL BS'!K7</f>
        <v>2031-32</v>
      </c>
      <c r="K9" s="168"/>
    </row>
    <row r="10" spans="1:11" ht="15.75" customHeight="1" thickTop="1">
      <c r="A10" s="168"/>
      <c r="B10" s="510"/>
      <c r="C10" s="511"/>
      <c r="D10" s="499"/>
      <c r="E10" s="499"/>
      <c r="F10" s="499"/>
      <c r="G10" s="499"/>
      <c r="H10" s="499"/>
      <c r="I10" s="499"/>
      <c r="J10" s="499"/>
      <c r="K10" s="168"/>
    </row>
    <row r="11" spans="1:11" ht="29.25" customHeight="1">
      <c r="A11" s="168"/>
      <c r="B11" s="76" t="s">
        <v>656</v>
      </c>
      <c r="C11" s="486">
        <f>IF('Final workings'!B7=0,"",SUM('PL BS'!D75:D81)-SUM('PL BS'!D61:D65))</f>
        <v>6187280000</v>
      </c>
      <c r="D11" s="486">
        <f>IF('Final workings'!C7=0,"",SUM('PL BS'!E75:E81)-SUM('PL BS'!E61:E65))</f>
        <v>10824390000</v>
      </c>
      <c r="E11" s="486">
        <f>SUM('PL BS'!F75:F81)-SUM('PL BS'!F61:F65)</f>
        <v>31480080000</v>
      </c>
      <c r="F11" s="486">
        <f>SUM('PL BS'!G75:G81)-SUM('PL BS'!G61:G65)</f>
        <v>37387180000</v>
      </c>
      <c r="G11" s="486">
        <f>SUM('PL BS'!H75:H81)-SUM('PL BS'!H61:H65)</f>
        <v>43631890000</v>
      </c>
      <c r="H11" s="486">
        <f>SUM('PL BS'!I75:I81)-SUM('PL BS'!I61:I65)</f>
        <v>50023830000</v>
      </c>
      <c r="I11" s="486">
        <f>SUM('PL BS'!J75:J81)-SUM('PL BS'!J61:J65)</f>
        <v>56794840000</v>
      </c>
      <c r="J11" s="486">
        <f>SUM('PL BS'!K75:K81)-SUM('PL BS'!K61:K65)</f>
        <v>63393810000</v>
      </c>
      <c r="K11" s="168"/>
    </row>
    <row r="12" spans="1:11" ht="14.4">
      <c r="A12" s="168"/>
      <c r="B12" s="76"/>
      <c r="C12" s="486"/>
      <c r="D12" s="486"/>
      <c r="E12" s="486"/>
      <c r="F12" s="486"/>
      <c r="G12" s="486"/>
      <c r="H12" s="486"/>
      <c r="I12" s="486"/>
      <c r="J12" s="486"/>
      <c r="K12" s="168"/>
    </row>
    <row r="13" spans="1:11" ht="30" customHeight="1">
      <c r="A13" s="168"/>
      <c r="B13" s="76" t="s">
        <v>445</v>
      </c>
      <c r="C13" s="486">
        <f>IF('Final workings'!B7=0,"",'PL BS'!D82)</f>
        <v>20411973333.333332</v>
      </c>
      <c r="D13" s="486">
        <f>IF('Final workings'!C7=0,"",'PL BS'!E82)</f>
        <v>61289460000</v>
      </c>
      <c r="E13" s="486">
        <f>'PL BS'!F82</f>
        <v>82676642500</v>
      </c>
      <c r="F13" s="486">
        <f>'PL BS'!G82</f>
        <v>87182820625</v>
      </c>
      <c r="G13" s="486">
        <f>'PL BS'!H82</f>
        <v>92129890781.25</v>
      </c>
      <c r="H13" s="486">
        <f>'PL BS'!I82</f>
        <v>98012166289.0625</v>
      </c>
      <c r="I13" s="486">
        <f>'PL BS'!J82</f>
        <v>104348457908.20313</v>
      </c>
      <c r="J13" s="486">
        <f>'PL BS'!K82</f>
        <v>110576564078.22266</v>
      </c>
      <c r="K13" s="168"/>
    </row>
    <row r="14" spans="1:11" ht="14.4">
      <c r="A14" s="168"/>
      <c r="B14" s="76"/>
      <c r="C14" s="486"/>
      <c r="D14" s="486"/>
      <c r="E14" s="486"/>
      <c r="F14" s="486"/>
      <c r="G14" s="486"/>
      <c r="H14" s="486"/>
      <c r="I14" s="486"/>
      <c r="J14" s="486"/>
      <c r="K14" s="168"/>
    </row>
    <row r="15" spans="1:11" ht="29.25" customHeight="1">
      <c r="A15" s="168"/>
      <c r="B15" s="76" t="s">
        <v>650</v>
      </c>
      <c r="C15" s="486">
        <f>IF('Final workings'!B7=0,"",'PL BS'!D41)</f>
        <v>5353928333.333334</v>
      </c>
      <c r="D15" s="486">
        <f>IF('Final workings'!C7=0,"",'PL BS'!E41)</f>
        <v>7709551666.6666679</v>
      </c>
      <c r="E15" s="486">
        <f>'PL BS'!F41</f>
        <v>8726347500</v>
      </c>
      <c r="F15" s="486">
        <f>'PL BS'!G41</f>
        <v>9694888125.0000019</v>
      </c>
      <c r="G15" s="486">
        <f>'PL BS'!H41</f>
        <v>10630006981.250004</v>
      </c>
      <c r="H15" s="486">
        <f>'PL BS'!I41</f>
        <v>11439412804.437504</v>
      </c>
      <c r="I15" s="486">
        <f>'PL BS'!J41</f>
        <v>12214244852.248755</v>
      </c>
      <c r="J15" s="486">
        <f>'PL BS'!K41</f>
        <v>12977817619.293201</v>
      </c>
      <c r="K15" s="168"/>
    </row>
    <row r="16" spans="1:11" ht="14.4">
      <c r="A16" s="168"/>
      <c r="B16" s="76"/>
      <c r="C16" s="486"/>
      <c r="D16" s="486"/>
      <c r="E16" s="486"/>
      <c r="F16" s="486"/>
      <c r="G16" s="486"/>
      <c r="H16" s="486"/>
      <c r="I16" s="486"/>
      <c r="J16" s="486"/>
      <c r="K16" s="168"/>
    </row>
    <row r="17" spans="1:11" ht="29.25" customHeight="1">
      <c r="A17" s="168"/>
      <c r="B17" s="76" t="s">
        <v>132</v>
      </c>
      <c r="C17" s="486">
        <f>IF('Final workings'!B7=0,"",'PL BS'!D37)</f>
        <v>10448053333.333334</v>
      </c>
      <c r="D17" s="486">
        <f>IF('Final workings'!C7=0,"",'PL BS'!E37)</f>
        <v>13583676666.666666</v>
      </c>
      <c r="E17" s="486">
        <f>'PL BS'!F37</f>
        <v>14453472500</v>
      </c>
      <c r="F17" s="486">
        <f>'PL BS'!G37</f>
        <v>15302148125</v>
      </c>
      <c r="G17" s="486">
        <f>'PL BS'!H37</f>
        <v>16132850156.25</v>
      </c>
      <c r="H17" s="486">
        <f>'PL BS'!I37</f>
        <v>16948225507.8125</v>
      </c>
      <c r="I17" s="486">
        <f>'PL BS'!J37</f>
        <v>17750601619.140625</v>
      </c>
      <c r="J17" s="486">
        <f>'PL BS'!K37</f>
        <v>18541856170.019531</v>
      </c>
      <c r="K17" s="168"/>
    </row>
    <row r="18" spans="1:11" ht="14.4">
      <c r="A18" s="168"/>
      <c r="B18" s="76"/>
      <c r="C18" s="486"/>
      <c r="D18" s="486"/>
      <c r="E18" s="486"/>
      <c r="F18" s="486"/>
      <c r="G18" s="486"/>
      <c r="H18" s="486"/>
      <c r="I18" s="486"/>
      <c r="J18" s="486"/>
      <c r="K18" s="168"/>
    </row>
    <row r="19" spans="1:11" ht="30.75" customHeight="1">
      <c r="A19" s="168"/>
      <c r="B19" s="76" t="s">
        <v>662</v>
      </c>
      <c r="C19" s="486">
        <f>IF('Final workings'!B7=0,"",'PL BS'!D54)</f>
        <v>7987280000</v>
      </c>
      <c r="D19" s="486">
        <f>IF('Final workings'!C7=0,"",'PL BS'!E54)</f>
        <v>13059806666.666672</v>
      </c>
      <c r="E19" s="486">
        <f>'PL BS'!F54</f>
        <v>34293309166.666672</v>
      </c>
      <c r="F19" s="486">
        <f>'PL BS'!G54</f>
        <v>40199487291.666672</v>
      </c>
      <c r="G19" s="486">
        <f>'PL BS'!H54</f>
        <v>46546557447.916672</v>
      </c>
      <c r="H19" s="486" t="e">
        <f>'PL BS'!I54</f>
        <v>#VALUE!</v>
      </c>
      <c r="I19" s="486" t="e">
        <f>'PL BS'!J54</f>
        <v>#VALUE!</v>
      </c>
      <c r="J19" s="486">
        <f>'PL BS'!K54</f>
        <v>65576564078.222656</v>
      </c>
      <c r="K19" s="168"/>
    </row>
    <row r="20" spans="1:11" ht="14.4">
      <c r="A20" s="168"/>
      <c r="B20" s="76"/>
      <c r="C20" s="486"/>
      <c r="D20" s="486"/>
      <c r="E20" s="486"/>
      <c r="F20" s="486"/>
      <c r="G20" s="486"/>
      <c r="H20" s="486"/>
      <c r="I20" s="486"/>
      <c r="J20" s="486"/>
      <c r="K20" s="168"/>
    </row>
    <row r="21" spans="1:11" ht="30" customHeight="1">
      <c r="A21" s="168"/>
      <c r="B21" s="76" t="s">
        <v>444</v>
      </c>
      <c r="C21" s="486">
        <f>IF('Final workings'!B7=0,"",SUM('PL BS'!D57:D65))</f>
        <v>12424693333.333332</v>
      </c>
      <c r="D21" s="486">
        <f>IF('Final workings'!C7=0,"",SUM('PL BS'!E57:E65))</f>
        <v>48229653333.333328</v>
      </c>
      <c r="E21" s="486">
        <f>SUM('PL BS'!F57:F65)</f>
        <v>48383333333.333328</v>
      </c>
      <c r="F21" s="486">
        <f>SUM('PL BS'!G57:G65)</f>
        <v>46983333333.333328</v>
      </c>
      <c r="G21" s="486">
        <f>SUM('PL BS'!H57:H65)</f>
        <v>45583333333.333328</v>
      </c>
      <c r="H21" s="486" t="e">
        <f>SUM('PL BS'!I57:I65)</f>
        <v>#VALUE!</v>
      </c>
      <c r="I21" s="486" t="e">
        <f>SUM('PL BS'!J57:J65)</f>
        <v>#VALUE!</v>
      </c>
      <c r="J21" s="486">
        <f>SUM('PL BS'!K57:K65)</f>
        <v>45000000000</v>
      </c>
      <c r="K21" s="168"/>
    </row>
    <row r="22" spans="1:11" ht="14.4">
      <c r="A22" s="168"/>
      <c r="B22" s="76"/>
      <c r="C22" s="486"/>
      <c r="D22" s="486"/>
      <c r="E22" s="486"/>
      <c r="F22" s="486"/>
      <c r="G22" s="486"/>
      <c r="H22" s="486"/>
      <c r="I22" s="486"/>
      <c r="J22" s="486"/>
      <c r="K22" s="168"/>
    </row>
    <row r="23" spans="1:11" ht="32.25" customHeight="1">
      <c r="A23" s="168"/>
      <c r="B23" s="76" t="s">
        <v>197</v>
      </c>
      <c r="C23" s="486">
        <f>IF('Final workings'!B7=0,"",'PL BS'!D14)</f>
        <v>27534150000</v>
      </c>
      <c r="D23" s="486">
        <f>IF('Final workings'!C7=0,"",'PL BS'!E14)</f>
        <v>-8573600000</v>
      </c>
      <c r="E23" s="486">
        <f>'PL BS'!F14</f>
        <v>44750180000</v>
      </c>
      <c r="F23" s="486">
        <f>'PL BS'!G14</f>
        <v>46822650000</v>
      </c>
      <c r="G23" s="486">
        <f>'PL BS'!H14</f>
        <v>48895300000</v>
      </c>
      <c r="H23" s="486">
        <f>'PL BS'!I14</f>
        <v>50967900000</v>
      </c>
      <c r="I23" s="486">
        <f>'PL BS'!J14</f>
        <v>53040460000</v>
      </c>
      <c r="J23" s="486">
        <f>'PL BS'!K14</f>
        <v>55112960000</v>
      </c>
      <c r="K23" s="168"/>
    </row>
    <row r="24" spans="1:11" ht="14.4">
      <c r="A24" s="168"/>
      <c r="B24" s="76"/>
      <c r="C24" s="486"/>
      <c r="D24" s="486"/>
      <c r="E24" s="486"/>
      <c r="F24" s="486"/>
      <c r="G24" s="486"/>
      <c r="H24" s="486"/>
      <c r="I24" s="486"/>
      <c r="J24" s="486"/>
      <c r="K24" s="168"/>
    </row>
    <row r="25" spans="1:11" ht="14.4">
      <c r="A25" s="168"/>
      <c r="B25" s="76"/>
      <c r="C25" s="60"/>
      <c r="D25" s="60"/>
      <c r="E25" s="60"/>
      <c r="F25" s="60"/>
      <c r="G25" s="60"/>
      <c r="H25" s="60"/>
      <c r="I25" s="60"/>
      <c r="J25" s="60"/>
      <c r="K25" s="168"/>
    </row>
    <row r="26" spans="1:11" ht="30" customHeight="1">
      <c r="A26" s="168"/>
      <c r="B26" s="76" t="s">
        <v>651</v>
      </c>
      <c r="C26" s="61">
        <f>IF('Final workings'!B7=0,"",C11/C13)</f>
        <v>0.30312012949262462</v>
      </c>
      <c r="D26" s="61">
        <f>IF(Assumptions!I63=0,"",D11/D13)</f>
        <v>0.17661095398784718</v>
      </c>
      <c r="E26" s="61">
        <f t="shared" ref="E26:J26" si="0">E11/E13</f>
        <v>0.38076147081081574</v>
      </c>
      <c r="F26" s="61">
        <f t="shared" si="0"/>
        <v>0.4288365498154012</v>
      </c>
      <c r="G26" s="61">
        <f t="shared" si="0"/>
        <v>0.47359103142321135</v>
      </c>
      <c r="H26" s="61">
        <f t="shared" si="0"/>
        <v>0.51038388287906178</v>
      </c>
      <c r="I26" s="61">
        <f t="shared" si="0"/>
        <v>0.54428058773962196</v>
      </c>
      <c r="J26" s="61">
        <f t="shared" si="0"/>
        <v>0.57330240389052745</v>
      </c>
      <c r="K26" s="168"/>
    </row>
    <row r="27" spans="1:11" ht="14.4">
      <c r="A27" s="168"/>
      <c r="B27" s="76"/>
      <c r="C27" s="61"/>
      <c r="D27" s="61"/>
      <c r="E27" s="61"/>
      <c r="F27" s="61"/>
      <c r="G27" s="61"/>
      <c r="H27" s="61"/>
      <c r="I27" s="61"/>
      <c r="J27" s="61"/>
      <c r="K27" s="168"/>
    </row>
    <row r="28" spans="1:11" ht="31.5" customHeight="1">
      <c r="A28" s="168"/>
      <c r="B28" s="76" t="s">
        <v>652</v>
      </c>
      <c r="C28" s="61">
        <f>IF('Final workings'!B7=0,"",C15/C13)</f>
        <v>0.26229351988179489</v>
      </c>
      <c r="D28" s="61">
        <f>IF(Assumptions!I63=0,"",D15/D13)</f>
        <v>0.12578919224719337</v>
      </c>
      <c r="E28" s="61">
        <f t="shared" ref="E28:J28" si="1">E15/E13</f>
        <v>0.10554791820434653</v>
      </c>
      <c r="F28" s="61">
        <f t="shared" si="1"/>
        <v>0.11120181769182123</v>
      </c>
      <c r="G28" s="61">
        <f t="shared" si="1"/>
        <v>0.11538065323977775</v>
      </c>
      <c r="H28" s="61">
        <f t="shared" si="1"/>
        <v>0.11671421250602504</v>
      </c>
      <c r="I28" s="61">
        <f t="shared" si="1"/>
        <v>0.11705247108676782</v>
      </c>
      <c r="J28" s="61">
        <f t="shared" si="1"/>
        <v>0.1173649925504341</v>
      </c>
      <c r="K28" s="168"/>
    </row>
    <row r="29" spans="1:11" ht="14.4">
      <c r="A29" s="168"/>
      <c r="B29" s="76"/>
      <c r="C29" s="61"/>
      <c r="D29" s="61"/>
      <c r="E29" s="61"/>
      <c r="F29" s="61"/>
      <c r="G29" s="61"/>
      <c r="H29" s="61"/>
      <c r="I29" s="61"/>
      <c r="J29" s="61"/>
      <c r="K29" s="168"/>
    </row>
    <row r="30" spans="1:11" ht="30.75" customHeight="1">
      <c r="A30" s="168"/>
      <c r="B30" s="76" t="s">
        <v>653</v>
      </c>
      <c r="C30" s="61">
        <f>IF('Final workings'!B7=0,"",C17/C13)</f>
        <v>0.51185905266059539</v>
      </c>
      <c r="D30" s="61">
        <f>IF(Assumptions!I63=0,"",D17/D13)</f>
        <v>0.22163152794406518</v>
      </c>
      <c r="E30" s="61">
        <f t="shared" ref="E30:J30" si="2">E17/E13</f>
        <v>0.17481929675603361</v>
      </c>
      <c r="F30" s="61">
        <f t="shared" si="2"/>
        <v>0.17551792905186245</v>
      </c>
      <c r="G30" s="61">
        <f t="shared" si="2"/>
        <v>0.17510983698607954</v>
      </c>
      <c r="H30" s="61">
        <f t="shared" si="2"/>
        <v>0.17291960936592224</v>
      </c>
      <c r="I30" s="61">
        <f t="shared" si="2"/>
        <v>0.17010890218191907</v>
      </c>
      <c r="J30" s="61">
        <f t="shared" si="2"/>
        <v>0.16768341759021277</v>
      </c>
      <c r="K30" s="168"/>
    </row>
    <row r="31" spans="1:11" ht="14.4">
      <c r="A31" s="168"/>
      <c r="B31" s="76"/>
      <c r="C31" s="61"/>
      <c r="D31" s="61"/>
      <c r="E31" s="61"/>
      <c r="F31" s="61"/>
      <c r="G31" s="61"/>
      <c r="H31" s="61"/>
      <c r="I31" s="61"/>
      <c r="J31" s="61"/>
      <c r="K31" s="168"/>
    </row>
    <row r="32" spans="1:11" ht="29.25" customHeight="1">
      <c r="A32" s="168"/>
      <c r="B32" s="76" t="s">
        <v>654</v>
      </c>
      <c r="C32" s="61">
        <f>IF('Final workings'!B7=0,"",C19/C21)</f>
        <v>0.6428553032026546</v>
      </c>
      <c r="D32" s="61">
        <f>IF(Assumptions!I63=0,"",D19/D21)</f>
        <v>0.27078375571985602</v>
      </c>
      <c r="E32" s="61">
        <f t="shared" ref="E32:J32" si="3">E19/E21</f>
        <v>0.70878351705132636</v>
      </c>
      <c r="F32" s="61">
        <f t="shared" si="3"/>
        <v>0.85561164863426764</v>
      </c>
      <c r="G32" s="61">
        <f t="shared" si="3"/>
        <v>1.021131059186472</v>
      </c>
      <c r="H32" s="61" t="e">
        <f t="shared" si="3"/>
        <v>#VALUE!</v>
      </c>
      <c r="I32" s="61" t="e">
        <f t="shared" si="3"/>
        <v>#VALUE!</v>
      </c>
      <c r="J32" s="61">
        <f t="shared" si="3"/>
        <v>1.457256979516059</v>
      </c>
      <c r="K32" s="168"/>
    </row>
    <row r="33" spans="1:11" ht="14.4">
      <c r="A33" s="168"/>
      <c r="B33" s="76"/>
      <c r="C33" s="61"/>
      <c r="D33" s="61"/>
      <c r="E33" s="61"/>
      <c r="F33" s="61"/>
      <c r="G33" s="61"/>
      <c r="H33" s="61"/>
      <c r="I33" s="61"/>
      <c r="J33" s="61"/>
      <c r="K33" s="168"/>
    </row>
    <row r="34" spans="1:11" ht="29.25" customHeight="1">
      <c r="A34" s="168"/>
      <c r="B34" s="76" t="s">
        <v>655</v>
      </c>
      <c r="C34" s="61">
        <f>IF('Final workings'!B7=0,"",C23/C13)</f>
        <v>1.3489215153458951</v>
      </c>
      <c r="D34" s="61">
        <f>IF(Assumptions!I63=0,"",D23/D13)</f>
        <v>-0.13988702135734268</v>
      </c>
      <c r="E34" s="61">
        <f t="shared" ref="E34:J34" si="4">E23/E13</f>
        <v>0.54126750490623754</v>
      </c>
      <c r="F34" s="61">
        <f t="shared" si="4"/>
        <v>0.5370628027899963</v>
      </c>
      <c r="G34" s="61">
        <f t="shared" si="4"/>
        <v>0.53072134988301778</v>
      </c>
      <c r="H34" s="61">
        <f t="shared" si="4"/>
        <v>0.52001605443229215</v>
      </c>
      <c r="I34" s="61">
        <f t="shared" si="4"/>
        <v>0.50830133059235505</v>
      </c>
      <c r="J34" s="61">
        <f t="shared" si="4"/>
        <v>0.4984144738030809</v>
      </c>
      <c r="K34" s="168"/>
    </row>
    <row r="35" spans="1:11" ht="15" thickBot="1">
      <c r="A35" s="168"/>
      <c r="B35" s="60"/>
      <c r="C35" s="61"/>
      <c r="D35" s="61"/>
      <c r="E35" s="61"/>
      <c r="F35" s="61"/>
      <c r="G35" s="61"/>
      <c r="H35" s="61"/>
      <c r="I35" s="61"/>
      <c r="J35" s="61"/>
      <c r="K35" s="168"/>
    </row>
    <row r="36" spans="1:11" ht="14.4">
      <c r="A36" s="168"/>
      <c r="B36" s="512"/>
      <c r="C36" s="513"/>
      <c r="D36" s="513"/>
      <c r="E36" s="513"/>
      <c r="F36" s="513"/>
      <c r="G36" s="513"/>
      <c r="H36" s="513"/>
      <c r="I36" s="513"/>
      <c r="J36" s="514"/>
      <c r="K36" s="168"/>
    </row>
    <row r="37" spans="1:11" ht="14.4">
      <c r="A37" s="168"/>
      <c r="B37" s="655" t="s">
        <v>657</v>
      </c>
      <c r="C37" s="515">
        <f>IF('Final workings'!B7=0,"",1.2*C26+1.4*C28+3.3*C30+0.6*C32+1*C34)</f>
        <v>4.1547246542731155</v>
      </c>
      <c r="D37" s="515">
        <f>IF(Assumptions!I63=0,"",1.2*D26+1.4*D28+3.3*D30+0.6*D32+1*D34)</f>
        <v>1.1420052882214733</v>
      </c>
      <c r="E37" s="515">
        <f t="shared" ref="E37:J37" si="5">1.2*E26+1.4*E28+3.3*E30+0.6*E32+1*E34</f>
        <v>2.1481221448910084</v>
      </c>
      <c r="F37" s="515">
        <f t="shared" si="5"/>
        <v>2.2999253623887341</v>
      </c>
      <c r="G37" s="515">
        <f t="shared" si="5"/>
        <v>2.4511045996925058</v>
      </c>
      <c r="H37" s="515" t="e">
        <f t="shared" si="5"/>
        <v>#VALUE!</v>
      </c>
      <c r="I37" s="515" t="e">
        <f t="shared" si="5"/>
        <v>#VALUE!</v>
      </c>
      <c r="J37" s="516">
        <f t="shared" si="5"/>
        <v>2.7783978137996588</v>
      </c>
      <c r="K37" s="168"/>
    </row>
    <row r="38" spans="1:11" ht="15" thickBot="1">
      <c r="A38" s="168"/>
      <c r="B38" s="654" t="s">
        <v>658</v>
      </c>
      <c r="C38" s="15"/>
      <c r="D38" s="15"/>
      <c r="E38" s="15"/>
      <c r="F38" s="15"/>
      <c r="G38" s="15"/>
      <c r="H38" s="15"/>
      <c r="I38" s="15"/>
      <c r="J38" s="517"/>
      <c r="K38" s="168"/>
    </row>
    <row r="39" spans="1:11" ht="14.4">
      <c r="B39" s="2"/>
      <c r="C39" s="2"/>
      <c r="D39" s="2"/>
      <c r="E39" s="2"/>
      <c r="F39" s="2"/>
      <c r="G39" s="2"/>
      <c r="H39" s="2"/>
      <c r="I39" s="2"/>
      <c r="J39" s="2"/>
    </row>
    <row r="40" spans="1:11" ht="15" thickBot="1">
      <c r="B40" s="3"/>
      <c r="C40" s="3"/>
      <c r="D40" s="3"/>
      <c r="E40" s="3"/>
      <c r="F40" s="3"/>
      <c r="G40" s="3"/>
      <c r="H40" s="3"/>
      <c r="I40" s="3"/>
      <c r="J40" s="3"/>
    </row>
  </sheetData>
  <mergeCells count="5">
    <mergeCell ref="B2:J2"/>
    <mergeCell ref="B3:J3"/>
    <mergeCell ref="B4:J4"/>
    <mergeCell ref="B6:J6"/>
    <mergeCell ref="B7:J7"/>
  </mergeCells>
  <pageMargins left="0.17" right="0.17" top="0.75" bottom="0.75" header="0.3" footer="0.3"/>
  <pageSetup scale="79" orientation="portrait" horizontalDpi="0" verticalDpi="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A2CD1-DCE5-43DA-9053-89E6C599EC52}">
  <sheetPr codeName="Sheet36"/>
  <dimension ref="A1:J37"/>
  <sheetViews>
    <sheetView view="pageBreakPreview" zoomScale="60" zoomScaleNormal="100" workbookViewId="0">
      <selection activeCell="B9" sqref="B9"/>
    </sheetView>
  </sheetViews>
  <sheetFormatPr defaultColWidth="9.21875" defaultRowHeight="14.4"/>
  <cols>
    <col min="1" max="1" width="34" style="22" customWidth="1"/>
    <col min="2" max="2" width="12.21875" style="22" customWidth="1"/>
    <col min="3" max="3" width="11.77734375" style="22" customWidth="1"/>
    <col min="4" max="4" width="12.21875" style="22" customWidth="1"/>
    <col min="5" max="5" width="11.5546875" style="22" customWidth="1"/>
    <col min="6" max="6" width="11.77734375" style="22" customWidth="1"/>
    <col min="7" max="7" width="12.5546875" style="22" customWidth="1"/>
    <col min="8" max="8" width="10.44140625" style="22" customWidth="1"/>
    <col min="9" max="9" width="10.5546875" style="22" customWidth="1"/>
    <col min="10" max="14" width="9.21875" style="22"/>
    <col min="15" max="18" width="9.21875" style="22" bestFit="1" customWidth="1"/>
    <col min="19" max="22" width="9.77734375" style="22" bestFit="1" customWidth="1"/>
    <col min="23" max="16384" width="9.21875" style="22"/>
  </cols>
  <sheetData>
    <row r="1" spans="1:9">
      <c r="A1" s="257"/>
      <c r="B1" s="257"/>
      <c r="C1" s="257"/>
      <c r="D1" s="257"/>
      <c r="E1" s="257"/>
      <c r="F1" s="257"/>
      <c r="G1" s="257"/>
      <c r="H1" s="257"/>
    </row>
    <row r="3" spans="1:9" ht="18">
      <c r="A3" s="962" t="s">
        <v>479</v>
      </c>
      <c r="B3" s="962"/>
      <c r="C3" s="962"/>
      <c r="D3" s="962"/>
      <c r="E3" s="962"/>
      <c r="F3" s="962"/>
      <c r="G3" s="962"/>
      <c r="H3" s="962"/>
      <c r="I3" s="962"/>
    </row>
    <row r="4" spans="1:9">
      <c r="A4" s="963" t="s">
        <v>480</v>
      </c>
      <c r="B4" s="963"/>
      <c r="C4" s="963"/>
      <c r="D4" s="963"/>
      <c r="E4" s="963"/>
      <c r="F4" s="963"/>
      <c r="G4" s="963"/>
      <c r="H4" s="963"/>
      <c r="I4" s="963"/>
    </row>
    <row r="5" spans="1:9" s="32" customFormat="1" ht="38.25" customHeight="1" thickBot="1">
      <c r="A5" s="235" t="s">
        <v>14</v>
      </c>
      <c r="B5" s="236" t="str">
        <f>'Workings for PL BS 1'!D4</f>
        <v>2024-25</v>
      </c>
      <c r="C5" s="236" t="str">
        <f>'Workings for PL BS 1'!E4</f>
        <v>2025-26</v>
      </c>
      <c r="D5" s="236" t="str">
        <f>'Workings for PL BS 1'!F4</f>
        <v>2026-27</v>
      </c>
      <c r="E5" s="236" t="str">
        <f>'Workings for PL BS 1'!G4</f>
        <v>2027-28</v>
      </c>
      <c r="F5" s="236" t="str">
        <f>'Workings for PL BS 1'!H4</f>
        <v>2028-29</v>
      </c>
      <c r="G5" s="236" t="str">
        <f>'Workings for PL BS 1'!I4</f>
        <v>2029-30</v>
      </c>
      <c r="H5" s="236" t="str">
        <f>'Workings for PL BS 1'!J4</f>
        <v>2030-31</v>
      </c>
      <c r="I5" s="236" t="str">
        <f>'Workings for PL BS 1'!K4</f>
        <v>2031-32</v>
      </c>
    </row>
    <row r="6" spans="1:9" s="154" customFormat="1" ht="18.75" customHeight="1" thickTop="1">
      <c r="A6" s="152"/>
      <c r="B6" s="153"/>
      <c r="C6" s="153"/>
      <c r="D6" s="153"/>
      <c r="E6" s="153"/>
      <c r="F6" s="153"/>
    </row>
    <row r="7" spans="1:9" ht="18">
      <c r="A7" s="155" t="s">
        <v>228</v>
      </c>
      <c r="B7" s="156"/>
      <c r="C7" s="156"/>
      <c r="D7" s="156"/>
      <c r="E7" s="156"/>
      <c r="F7" s="156"/>
    </row>
    <row r="8" spans="1:9" ht="28.8">
      <c r="A8" s="157" t="s">
        <v>238</v>
      </c>
      <c r="B8" s="72">
        <f>'PL BS'!D37</f>
        <v>10448053333.333334</v>
      </c>
      <c r="C8" s="72">
        <f>'PL BS'!E37</f>
        <v>13583676666.666666</v>
      </c>
      <c r="D8" s="72">
        <f>'PL BS'!F37</f>
        <v>14453472500</v>
      </c>
      <c r="E8" s="72">
        <f>'PL BS'!G37</f>
        <v>15302148125</v>
      </c>
      <c r="F8" s="72">
        <f>'PL BS'!H37</f>
        <v>16132850156.25</v>
      </c>
      <c r="G8" s="72">
        <f>'PL BS'!I37</f>
        <v>16948225507.8125</v>
      </c>
      <c r="H8" s="72">
        <f>'PL BS'!J37</f>
        <v>17750601619.140625</v>
      </c>
      <c r="I8" s="72">
        <f>'PL BS'!K37</f>
        <v>18541856170.019531</v>
      </c>
    </row>
    <row r="9" spans="1:9">
      <c r="A9" s="31" t="s">
        <v>229</v>
      </c>
      <c r="B9" s="72">
        <f>'WorKings for PL BS 2'!B21</f>
        <v>916666666.66666663</v>
      </c>
      <c r="C9" s="72">
        <f>'WorKings for PL BS 2'!C21</f>
        <v>964583333.33333337</v>
      </c>
      <c r="D9" s="72">
        <f>'WorKings for PL BS 2'!D21</f>
        <v>822187500</v>
      </c>
      <c r="E9" s="72">
        <f>'WorKings for PL BS 2'!E21</f>
        <v>700921875</v>
      </c>
      <c r="F9" s="72">
        <f>'WorKings for PL BS 2'!F21</f>
        <v>597639843.75</v>
      </c>
      <c r="G9" s="72">
        <f>'WorKings for PL BS 2'!G21</f>
        <v>509664492.18749994</v>
      </c>
      <c r="H9" s="72">
        <f>'WorKings for PL BS 2'!H21</f>
        <v>434718380.859375</v>
      </c>
      <c r="I9" s="72">
        <f>'WorKings for PL BS 2'!I21</f>
        <v>370863829.98046875</v>
      </c>
    </row>
    <row r="10" spans="1:9">
      <c r="A10" s="31" t="s">
        <v>230</v>
      </c>
      <c r="B10" s="72">
        <f>Assumptions!I43*100000</f>
        <v>6300000000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</row>
    <row r="11" spans="1:9">
      <c r="A11" s="31" t="s">
        <v>379</v>
      </c>
      <c r="B11" s="72">
        <f>'PL BS'!D62</f>
        <v>6241360000</v>
      </c>
      <c r="C11" s="72">
        <f>'PL BS'!E62-'PL BS'!D62</f>
        <v>37204960000</v>
      </c>
      <c r="D11" s="72">
        <f>'PL BS'!F62-'PL BS'!E62</f>
        <v>1553680000</v>
      </c>
      <c r="E11" s="72">
        <f>'PL BS'!G62-'PL BS'!F62</f>
        <v>0</v>
      </c>
      <c r="F11" s="72">
        <f>'PL BS'!H62-'PL BS'!G62</f>
        <v>0</v>
      </c>
      <c r="G11" s="72">
        <f>'PL BS'!I62-'PL BS'!H62</f>
        <v>0</v>
      </c>
      <c r="H11" s="72">
        <f>'PL BS'!J62-'PL BS'!I62</f>
        <v>0</v>
      </c>
      <c r="I11" s="72">
        <f>'PL BS'!K62-'PL BS'!J62</f>
        <v>0</v>
      </c>
    </row>
    <row r="12" spans="1:9">
      <c r="A12" s="31" t="s">
        <v>231</v>
      </c>
      <c r="B12" s="72">
        <f>Assumptions!I55*100000</f>
        <v>6200000000</v>
      </c>
      <c r="C12" s="72">
        <v>0</v>
      </c>
      <c r="D12" s="72">
        <v>0</v>
      </c>
      <c r="E12" s="72">
        <v>0</v>
      </c>
      <c r="F12" s="72">
        <v>0</v>
      </c>
      <c r="G12" s="163">
        <v>0</v>
      </c>
      <c r="H12" s="163">
        <v>0</v>
      </c>
      <c r="I12" s="163">
        <v>0</v>
      </c>
    </row>
    <row r="13" spans="1:9">
      <c r="A13" s="31" t="s">
        <v>346</v>
      </c>
      <c r="B13" s="72"/>
      <c r="C13" s="72"/>
      <c r="D13" s="72"/>
      <c r="E13" s="72"/>
      <c r="F13" s="72"/>
      <c r="G13" s="163"/>
      <c r="H13" s="163"/>
      <c r="I13" s="163"/>
    </row>
    <row r="14" spans="1:9">
      <c r="A14" s="157"/>
      <c r="B14" s="72"/>
      <c r="C14" s="72"/>
      <c r="D14" s="72"/>
      <c r="E14" s="72"/>
      <c r="F14" s="72"/>
      <c r="G14" s="72"/>
      <c r="H14" s="72"/>
      <c r="I14" s="72"/>
    </row>
    <row r="15" spans="1:9" ht="15" thickBot="1">
      <c r="A15" s="31"/>
      <c r="B15" s="164">
        <f t="shared" ref="B15:H15" si="0">SUM(B8:B14)</f>
        <v>30106080000</v>
      </c>
      <c r="C15" s="164">
        <f t="shared" si="0"/>
        <v>51753220000</v>
      </c>
      <c r="D15" s="164">
        <f t="shared" si="0"/>
        <v>16829340000</v>
      </c>
      <c r="E15" s="164">
        <f t="shared" si="0"/>
        <v>16003070000</v>
      </c>
      <c r="F15" s="164">
        <f t="shared" si="0"/>
        <v>16730490000</v>
      </c>
      <c r="G15" s="164">
        <f t="shared" si="0"/>
        <v>17457890000</v>
      </c>
      <c r="H15" s="164">
        <f t="shared" si="0"/>
        <v>18185320000</v>
      </c>
      <c r="I15" s="164">
        <f>SUM(I8:I14)</f>
        <v>18912720000</v>
      </c>
    </row>
    <row r="16" spans="1:9">
      <c r="A16" s="31"/>
      <c r="B16" s="72"/>
      <c r="C16" s="72"/>
      <c r="D16" s="72"/>
      <c r="E16" s="72"/>
      <c r="F16" s="72"/>
      <c r="G16" s="163"/>
      <c r="H16" s="163"/>
      <c r="I16" s="163"/>
    </row>
    <row r="17" spans="1:9" ht="18">
      <c r="A17" s="158" t="s">
        <v>232</v>
      </c>
      <c r="B17" s="72"/>
      <c r="C17" s="72"/>
      <c r="D17" s="72"/>
      <c r="E17" s="72"/>
      <c r="F17" s="72"/>
      <c r="G17" s="163"/>
      <c r="H17" s="163"/>
      <c r="I17" s="163"/>
    </row>
    <row r="18" spans="1:9">
      <c r="A18" s="31"/>
      <c r="B18" s="72"/>
      <c r="C18" s="72"/>
      <c r="D18" s="72"/>
      <c r="E18" s="72"/>
      <c r="F18" s="72"/>
      <c r="G18" s="163"/>
      <c r="H18" s="163"/>
      <c r="I18" s="163"/>
    </row>
    <row r="19" spans="1:9">
      <c r="A19" s="157" t="s">
        <v>233</v>
      </c>
      <c r="B19" s="72">
        <f>SUM(Assumptions!I28:J37)*100000</f>
        <v>7500000000</v>
      </c>
      <c r="C19" s="72">
        <v>0</v>
      </c>
      <c r="D19" s="72">
        <v>0</v>
      </c>
      <c r="E19" s="72">
        <v>0</v>
      </c>
      <c r="F19" s="72">
        <v>0</v>
      </c>
      <c r="G19" s="163">
        <v>0</v>
      </c>
      <c r="H19" s="163">
        <v>0</v>
      </c>
      <c r="I19" s="163">
        <v>0</v>
      </c>
    </row>
    <row r="20" spans="1:9">
      <c r="A20" s="157" t="s">
        <v>234</v>
      </c>
      <c r="B20" s="72">
        <f>'WorKings for PL BS 2'!B5</f>
        <v>594124999.99999964</v>
      </c>
      <c r="C20" s="72">
        <f>'Workings for PL BS 1'!E49</f>
        <v>447124999.99999952</v>
      </c>
      <c r="D20" s="72">
        <f>'Workings for PL BS 1'!F49</f>
        <v>300124999.99999958</v>
      </c>
      <c r="E20" s="72">
        <f>'Workings for PL BS 1'!G49</f>
        <v>153124999.99999967</v>
      </c>
      <c r="F20" s="72">
        <f>'Workings for PL BS 1'!H49</f>
        <v>21437499.999999836</v>
      </c>
      <c r="G20" s="72">
        <f>'Workings for PL BS 1'!I49</f>
        <v>0</v>
      </c>
      <c r="H20" s="72">
        <f>'Workings for PL BS 1'!J49</f>
        <v>0</v>
      </c>
      <c r="I20" s="72">
        <f>'Workings for PL BS 1'!K49</f>
        <v>0</v>
      </c>
    </row>
    <row r="21" spans="1:9">
      <c r="A21" s="157" t="s">
        <v>380</v>
      </c>
      <c r="B21" s="72">
        <f>'WorKings for PL BS 2'!B6</f>
        <v>4500000000</v>
      </c>
      <c r="C21" s="72">
        <f>'Workings for PL BS 1'!E50</f>
        <v>5426999999.999999</v>
      </c>
      <c r="D21" s="72">
        <f>'Workings for PL BS 1'!F50</f>
        <v>5426999999.999999</v>
      </c>
      <c r="E21" s="72">
        <f>'Workings for PL BS 1'!G50</f>
        <v>5454134999.9999981</v>
      </c>
      <c r="F21" s="72">
        <f>'Workings for PL BS 1'!H50</f>
        <v>5481405674.9999971</v>
      </c>
      <c r="G21" s="72">
        <f>'Workings for PL BS 1'!I50</f>
        <v>5508812703.3749962</v>
      </c>
      <c r="H21" s="72">
        <f>'Workings for PL BS 1'!J50</f>
        <v>5536356766.8918705</v>
      </c>
      <c r="I21" s="72">
        <f>'Workings for PL BS 1'!K50</f>
        <v>5564038550.7263288</v>
      </c>
    </row>
    <row r="22" spans="1:9">
      <c r="A22" s="160" t="s">
        <v>235</v>
      </c>
      <c r="B22" s="72">
        <f>'WorKings for PL BS 2'!B10</f>
        <v>1400000000</v>
      </c>
      <c r="C22" s="72">
        <f>'WorKings for PL BS 2'!C10</f>
        <v>1400000000</v>
      </c>
      <c r="D22" s="72">
        <f>'WorKings for PL BS 2'!D10</f>
        <v>1400000000</v>
      </c>
      <c r="E22" s="72">
        <f>'WorKings for PL BS 2'!E10</f>
        <v>1400000000</v>
      </c>
      <c r="F22" s="72">
        <f>'WorKings for PL BS 2'!F10</f>
        <v>700000000</v>
      </c>
      <c r="G22" s="72">
        <f>'WorKings for PL BS 2'!G10</f>
        <v>0</v>
      </c>
      <c r="H22" s="72">
        <f>'WorKings for PL BS 2'!H10</f>
        <v>0</v>
      </c>
      <c r="I22" s="72">
        <f>'WorKings for PL BS 2'!I10</f>
        <v>0</v>
      </c>
    </row>
    <row r="23" spans="1:9">
      <c r="A23" s="160" t="s">
        <v>335</v>
      </c>
      <c r="B23" s="72">
        <f>'PL BS'!D78</f>
        <v>2478070000</v>
      </c>
      <c r="C23" s="72">
        <f>'PL BS'!E78-'PL BS'!D78</f>
        <v>-3335430000</v>
      </c>
      <c r="D23" s="72">
        <f>'PL BS'!F78-'PL BS'!E78</f>
        <v>5779880000</v>
      </c>
      <c r="E23" s="72">
        <f>'PL BS'!G78-'PL BS'!F78</f>
        <v>696200000</v>
      </c>
      <c r="F23" s="72">
        <f>'PL BS'!H78-'PL BS'!G78</f>
        <v>737670000</v>
      </c>
      <c r="G23" s="72">
        <f>'PL BS'!I78-'PL BS'!H78</f>
        <v>779120000</v>
      </c>
      <c r="H23" s="72">
        <f>'PL BS'!J78-'PL BS'!I78</f>
        <v>820560000</v>
      </c>
      <c r="I23" s="72">
        <f>'PL BS'!K78-'PL BS'!J78</f>
        <v>862000000</v>
      </c>
    </row>
    <row r="24" spans="1:9">
      <c r="A24" s="160" t="s">
        <v>378</v>
      </c>
      <c r="B24" s="72">
        <f>'PL BS'!D76</f>
        <v>6669760000</v>
      </c>
      <c r="C24" s="72">
        <f>'PL BS'!E76-'PL BS'!D76</f>
        <v>51830240000</v>
      </c>
      <c r="D24" s="72">
        <f>'PL BS'!F76-'PL BS'!E76</f>
        <v>585000000</v>
      </c>
      <c r="E24" s="72">
        <f>'PL BS'!G76-'PL BS'!F76</f>
        <v>590850000</v>
      </c>
      <c r="F24" s="72">
        <f>'PL BS'!H76-'PL BS'!G76</f>
        <v>596760000</v>
      </c>
      <c r="G24" s="72">
        <f>'PL BS'!I76-'PL BS'!H76</f>
        <v>602720000</v>
      </c>
      <c r="H24" s="72">
        <f>'PL BS'!J76-'PL BS'!I76</f>
        <v>608760000</v>
      </c>
      <c r="I24" s="72">
        <f>'PL BS'!K76-'PL BS'!J76</f>
        <v>614840000</v>
      </c>
    </row>
    <row r="25" spans="1:9">
      <c r="B25" s="163"/>
      <c r="C25" s="163"/>
      <c r="D25" s="163"/>
      <c r="E25" s="163"/>
      <c r="F25" s="163"/>
      <c r="G25" s="163"/>
      <c r="H25" s="163"/>
      <c r="I25" s="163"/>
    </row>
    <row r="26" spans="1:9" ht="15" thickBot="1">
      <c r="A26" s="31"/>
      <c r="B26" s="164">
        <f t="shared" ref="B26:G26" si="1">SUM(B19:B25)</f>
        <v>23141955000</v>
      </c>
      <c r="C26" s="164">
        <f t="shared" si="1"/>
        <v>55768935000</v>
      </c>
      <c r="D26" s="164">
        <f t="shared" si="1"/>
        <v>13492005000</v>
      </c>
      <c r="E26" s="164">
        <f t="shared" si="1"/>
        <v>8294309999.9999981</v>
      </c>
      <c r="F26" s="164">
        <f t="shared" si="1"/>
        <v>7537273174.9999971</v>
      </c>
      <c r="G26" s="164">
        <f t="shared" si="1"/>
        <v>6890652703.3749962</v>
      </c>
      <c r="H26" s="164">
        <f>SUM(H19:H25)</f>
        <v>6965676766.8918705</v>
      </c>
      <c r="I26" s="164">
        <f>SUM(I19:I25)</f>
        <v>7040878550.7263288</v>
      </c>
    </row>
    <row r="27" spans="1:9">
      <c r="A27" s="31"/>
      <c r="B27" s="72"/>
      <c r="C27" s="72"/>
      <c r="D27" s="72"/>
      <c r="E27" s="72"/>
      <c r="F27" s="72"/>
      <c r="G27" s="163"/>
      <c r="H27" s="163"/>
      <c r="I27" s="163"/>
    </row>
    <row r="28" spans="1:9">
      <c r="A28" s="161" t="s">
        <v>241</v>
      </c>
      <c r="B28" s="165">
        <f t="shared" ref="B28:H28" si="2">B15-B26</f>
        <v>6964125000</v>
      </c>
      <c r="C28" s="165">
        <f t="shared" si="2"/>
        <v>-4015715000</v>
      </c>
      <c r="D28" s="165">
        <f t="shared" si="2"/>
        <v>3337335000</v>
      </c>
      <c r="E28" s="165">
        <f t="shared" si="2"/>
        <v>7708760000.0000019</v>
      </c>
      <c r="F28" s="165">
        <f t="shared" si="2"/>
        <v>9193216825.0000038</v>
      </c>
      <c r="G28" s="165">
        <f t="shared" si="2"/>
        <v>10567237296.625004</v>
      </c>
      <c r="H28" s="165">
        <f t="shared" si="2"/>
        <v>11219643233.10813</v>
      </c>
      <c r="I28" s="165">
        <f>I15-I26</f>
        <v>11871841449.27367</v>
      </c>
    </row>
    <row r="29" spans="1:9" ht="19.5" customHeight="1">
      <c r="A29" s="159" t="s">
        <v>239</v>
      </c>
      <c r="B29" s="72"/>
      <c r="C29" s="72"/>
      <c r="D29" s="72"/>
      <c r="E29" s="72"/>
      <c r="F29" s="72"/>
      <c r="G29" s="163"/>
      <c r="H29" s="163"/>
      <c r="I29" s="163"/>
    </row>
    <row r="30" spans="1:9" ht="24.75" customHeight="1">
      <c r="A30" s="31" t="s">
        <v>236</v>
      </c>
      <c r="B30" s="72">
        <v>0</v>
      </c>
      <c r="C30" s="72">
        <f t="shared" ref="C30:I30" si="3">+B32</f>
        <v>4680810000</v>
      </c>
      <c r="D30" s="72">
        <f t="shared" si="3"/>
        <v>-1971930000</v>
      </c>
      <c r="E30" s="72">
        <f t="shared" si="3"/>
        <v>13872560000</v>
      </c>
      <c r="F30" s="72">
        <f t="shared" si="3"/>
        <v>17792610000</v>
      </c>
      <c r="G30" s="72">
        <f t="shared" si="3"/>
        <v>22002890000</v>
      </c>
      <c r="H30" s="72">
        <f t="shared" si="3"/>
        <v>27012990000</v>
      </c>
      <c r="I30" s="72">
        <f t="shared" si="3"/>
        <v>32354680000</v>
      </c>
    </row>
    <row r="31" spans="1:9" ht="22.5" customHeight="1">
      <c r="A31" s="31" t="s">
        <v>242</v>
      </c>
      <c r="B31" s="72">
        <f>B28-B29</f>
        <v>6964125000</v>
      </c>
      <c r="C31" s="72">
        <f t="shared" ref="C31:H31" si="4">C28-C29</f>
        <v>-4015715000</v>
      </c>
      <c r="D31" s="72">
        <f t="shared" si="4"/>
        <v>3337335000</v>
      </c>
      <c r="E31" s="72">
        <f t="shared" si="4"/>
        <v>7708760000.0000019</v>
      </c>
      <c r="F31" s="72">
        <f t="shared" si="4"/>
        <v>9193216825.0000038</v>
      </c>
      <c r="G31" s="72">
        <f t="shared" si="4"/>
        <v>10567237296.625004</v>
      </c>
      <c r="H31" s="72">
        <f t="shared" si="4"/>
        <v>11219643233.10813</v>
      </c>
      <c r="I31" s="72">
        <f>I28-I29</f>
        <v>11871841449.27367</v>
      </c>
    </row>
    <row r="32" spans="1:9" ht="24.75" customHeight="1">
      <c r="A32" s="31" t="s">
        <v>237</v>
      </c>
      <c r="B32" s="72">
        <f>'PL BS'!D80</f>
        <v>4680810000</v>
      </c>
      <c r="C32" s="72">
        <f>'PL BS'!E80</f>
        <v>-1971930000</v>
      </c>
      <c r="D32" s="72">
        <f>'PL BS'!F80</f>
        <v>13872560000</v>
      </c>
      <c r="E32" s="72">
        <f>'PL BS'!G80</f>
        <v>17792610000</v>
      </c>
      <c r="F32" s="72">
        <f>'PL BS'!H80</f>
        <v>22002890000</v>
      </c>
      <c r="G32" s="72">
        <f>'PL BS'!I80</f>
        <v>27012990000</v>
      </c>
      <c r="H32" s="72">
        <f>'PL BS'!J80</f>
        <v>32354680000</v>
      </c>
      <c r="I32" s="72">
        <f>'PL BS'!K80</f>
        <v>37476810000</v>
      </c>
    </row>
    <row r="33" spans="1:10" ht="24.75" customHeight="1">
      <c r="A33" s="161"/>
      <c r="B33" s="165"/>
      <c r="C33" s="165"/>
      <c r="D33" s="165"/>
      <c r="E33" s="165"/>
      <c r="F33" s="165"/>
      <c r="G33" s="165"/>
      <c r="H33" s="165"/>
      <c r="I33" s="165"/>
    </row>
    <row r="34" spans="1:10">
      <c r="B34" s="143">
        <f t="shared" ref="B34:G34" si="5">B30+B31</f>
        <v>6964125000</v>
      </c>
      <c r="C34" s="143">
        <f t="shared" si="5"/>
        <v>665095000</v>
      </c>
      <c r="D34" s="143">
        <f t="shared" si="5"/>
        <v>1365405000</v>
      </c>
      <c r="E34" s="143">
        <f t="shared" si="5"/>
        <v>21581320000</v>
      </c>
      <c r="F34" s="143">
        <f t="shared" si="5"/>
        <v>26985826825.000004</v>
      </c>
      <c r="G34" s="143">
        <f t="shared" si="5"/>
        <v>32570127296.625004</v>
      </c>
      <c r="H34" s="143">
        <f>H30+H31</f>
        <v>38232633233.108131</v>
      </c>
      <c r="I34" s="143">
        <f>I30+I31</f>
        <v>44226521449.273666</v>
      </c>
    </row>
    <row r="35" spans="1:10">
      <c r="B35" s="143">
        <f t="shared" ref="B35:I35" si="6">B34-B32</f>
        <v>2283315000</v>
      </c>
      <c r="C35" s="143">
        <f t="shared" si="6"/>
        <v>2637025000</v>
      </c>
      <c r="D35" s="143">
        <f t="shared" si="6"/>
        <v>-12507155000</v>
      </c>
      <c r="E35" s="143">
        <f t="shared" si="6"/>
        <v>3788710000</v>
      </c>
      <c r="F35" s="143">
        <f t="shared" si="6"/>
        <v>4982936825.0000038</v>
      </c>
      <c r="G35" s="143">
        <f t="shared" si="6"/>
        <v>5557137296.6250038</v>
      </c>
      <c r="H35" s="143">
        <f t="shared" si="6"/>
        <v>5877953233.1081314</v>
      </c>
      <c r="I35" s="143">
        <f t="shared" si="6"/>
        <v>6749711449.2736664</v>
      </c>
    </row>
    <row r="36" spans="1:10">
      <c r="B36" s="143">
        <f t="shared" ref="B36:H36" si="7">-IF(B35&lt;0,B35,"0")</f>
        <v>0</v>
      </c>
      <c r="C36" s="143">
        <f t="shared" si="7"/>
        <v>0</v>
      </c>
      <c r="D36" s="143">
        <f t="shared" si="7"/>
        <v>12507155000</v>
      </c>
      <c r="E36" s="143">
        <f t="shared" si="7"/>
        <v>0</v>
      </c>
      <c r="F36" s="143">
        <f t="shared" si="7"/>
        <v>0</v>
      </c>
      <c r="G36" s="143">
        <f t="shared" si="7"/>
        <v>0</v>
      </c>
      <c r="H36" s="143">
        <f t="shared" si="7"/>
        <v>0</v>
      </c>
      <c r="I36" s="143">
        <f>-IF(I35&lt;0,I35,"0")</f>
        <v>0</v>
      </c>
    </row>
    <row r="37" spans="1:10">
      <c r="B37" s="143">
        <f t="shared" ref="B37:I37" si="8">IF(B35&gt;0,B35,"0")</f>
        <v>2283315000</v>
      </c>
      <c r="C37" s="143">
        <f t="shared" si="8"/>
        <v>2637025000</v>
      </c>
      <c r="D37" s="143" t="str">
        <f t="shared" si="8"/>
        <v>0</v>
      </c>
      <c r="E37" s="143">
        <f t="shared" si="8"/>
        <v>3788710000</v>
      </c>
      <c r="F37" s="143">
        <f t="shared" si="8"/>
        <v>4982936825.0000038</v>
      </c>
      <c r="G37" s="143">
        <f t="shared" si="8"/>
        <v>5557137296.6250038</v>
      </c>
      <c r="H37" s="143">
        <f t="shared" si="8"/>
        <v>5877953233.1081314</v>
      </c>
      <c r="I37" s="143">
        <f t="shared" si="8"/>
        <v>6749711449.2736664</v>
      </c>
      <c r="J37" s="163"/>
    </row>
  </sheetData>
  <mergeCells count="2">
    <mergeCell ref="A3:I3"/>
    <mergeCell ref="A4:I4"/>
  </mergeCells>
  <pageMargins left="0.19685039370078741" right="0.15748031496062992" top="0.74803149606299213" bottom="0.74803149606299213" header="0.31496062992125984" footer="0.31496062992125984"/>
  <pageSetup scale="80" orientation="portrait" r:id="rId1"/>
  <colBreaks count="1" manualBreakCount="1">
    <brk id="9" max="1048575" man="1"/>
  </col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535B5-F501-4AB1-8AD2-B0571806F277}">
  <sheetPr codeName="Sheet37"/>
  <dimension ref="A1:M63"/>
  <sheetViews>
    <sheetView topLeftCell="A28" zoomScale="40" zoomScaleNormal="40" zoomScaleSheetLayoutView="25" workbookViewId="0">
      <selection activeCell="D37" sqref="D37"/>
    </sheetView>
  </sheetViews>
  <sheetFormatPr defaultColWidth="21.77734375" defaultRowHeight="25.8"/>
  <cols>
    <col min="1" max="1" width="41.5546875" style="90" customWidth="1"/>
    <col min="2" max="2" width="17" style="90" customWidth="1"/>
    <col min="3" max="3" width="4.21875" style="90" customWidth="1"/>
    <col min="4" max="4" width="22.44140625" style="90" customWidth="1"/>
    <col min="5" max="5" width="21.5546875" style="90" customWidth="1"/>
    <col min="6" max="6" width="20.77734375" style="90" customWidth="1"/>
    <col min="7" max="7" width="23" style="90" customWidth="1"/>
    <col min="8" max="8" width="23.77734375" style="90" customWidth="1"/>
    <col min="9" max="9" width="22.21875" style="90" customWidth="1"/>
    <col min="10" max="10" width="22.77734375" style="90" customWidth="1"/>
    <col min="11" max="11" width="23" style="90" customWidth="1"/>
    <col min="12" max="12" width="5.21875" style="90" customWidth="1"/>
    <col min="13" max="13" width="23.77734375" style="90" bestFit="1" customWidth="1"/>
    <col min="14" max="16384" width="21.77734375" style="90"/>
  </cols>
  <sheetData>
    <row r="1" spans="1:13">
      <c r="A1" s="872"/>
      <c r="B1" s="872"/>
      <c r="C1" s="872"/>
      <c r="D1" s="872"/>
      <c r="E1" s="872"/>
      <c r="F1" s="872"/>
      <c r="G1" s="872"/>
      <c r="H1" s="872"/>
      <c r="I1" s="872"/>
      <c r="J1" s="872"/>
      <c r="K1" s="872"/>
    </row>
    <row r="2" spans="1:13">
      <c r="A2" s="872"/>
      <c r="B2" s="872"/>
      <c r="C2" s="872"/>
      <c r="D2" s="872"/>
      <c r="E2" s="872"/>
      <c r="F2" s="872"/>
      <c r="G2" s="872"/>
      <c r="H2" s="872"/>
      <c r="I2" s="872"/>
      <c r="J2" s="872"/>
      <c r="K2" s="872"/>
    </row>
    <row r="3" spans="1:13" ht="29.25" customHeight="1">
      <c r="A3" s="872"/>
      <c r="B3" s="872"/>
      <c r="C3" s="872"/>
      <c r="D3" s="872"/>
      <c r="E3" s="872"/>
      <c r="F3" s="872"/>
      <c r="G3" s="872"/>
      <c r="H3" s="872"/>
      <c r="I3" s="872"/>
      <c r="J3" s="872"/>
      <c r="K3" s="872"/>
    </row>
    <row r="4" spans="1:13" ht="29.25" customHeight="1">
      <c r="A4" s="964" t="s">
        <v>478</v>
      </c>
      <c r="B4" s="964"/>
      <c r="C4" s="964"/>
      <c r="D4" s="964"/>
      <c r="E4" s="964"/>
      <c r="F4" s="964"/>
      <c r="G4" s="964"/>
      <c r="H4" s="964"/>
      <c r="I4" s="964"/>
      <c r="J4" s="964"/>
      <c r="K4" s="964"/>
    </row>
    <row r="5" spans="1:13" ht="57" customHeight="1">
      <c r="A5" s="965" t="s">
        <v>484</v>
      </c>
      <c r="B5" s="965"/>
      <c r="C5" s="965"/>
      <c r="D5" s="965"/>
      <c r="E5" s="965"/>
      <c r="F5" s="965"/>
      <c r="G5" s="965"/>
      <c r="H5" s="965"/>
      <c r="I5" s="965"/>
      <c r="J5" s="965"/>
      <c r="K5" s="965"/>
    </row>
    <row r="6" spans="1:13" ht="37.5" customHeight="1">
      <c r="A6" s="816" t="s">
        <v>0</v>
      </c>
      <c r="B6" s="818" t="s">
        <v>220</v>
      </c>
      <c r="C6" s="337"/>
      <c r="D6" s="336" t="str">
        <f>Assumptions!J78</f>
        <v>Estimated</v>
      </c>
      <c r="E6" s="336" t="str">
        <f>Assumptions!J79</f>
        <v>Projected</v>
      </c>
      <c r="F6" s="336" t="str">
        <f>Assumptions!J80</f>
        <v>Projected</v>
      </c>
      <c r="G6" s="337" t="str">
        <f>Assumptions!J81</f>
        <v>Projected</v>
      </c>
      <c r="H6" s="337" t="str">
        <f>Assumptions!J82</f>
        <v>Projected</v>
      </c>
      <c r="I6" s="337" t="str">
        <f>Assumptions!J83</f>
        <v>Projected</v>
      </c>
      <c r="J6" s="337" t="str">
        <f>Assumptions!J84</f>
        <v>Projected</v>
      </c>
      <c r="K6" s="337" t="str">
        <f>Assumptions!J85</f>
        <v>Projected</v>
      </c>
    </row>
    <row r="7" spans="1:13" s="92" customFormat="1" ht="59.25" customHeight="1" thickBot="1">
      <c r="A7" s="817"/>
      <c r="B7" s="819"/>
      <c r="C7" s="220"/>
      <c r="D7" s="220" t="str">
        <f>Assumptions!I78</f>
        <v>2024-25</v>
      </c>
      <c r="E7" s="220" t="str">
        <f>Assumptions!I79</f>
        <v>2025-26</v>
      </c>
      <c r="F7" s="220" t="str">
        <f>Assumptions!I80</f>
        <v>2026-27</v>
      </c>
      <c r="G7" s="220" t="str">
        <f>Assumptions!I81</f>
        <v>2027-28</v>
      </c>
      <c r="H7" s="220" t="str">
        <f>Assumptions!I82</f>
        <v>2028-29</v>
      </c>
      <c r="I7" s="220" t="str">
        <f>Assumptions!I83</f>
        <v>2029-30</v>
      </c>
      <c r="J7" s="220" t="str">
        <f>Assumptions!I84</f>
        <v>2030-31</v>
      </c>
      <c r="K7" s="220" t="str">
        <f>Assumptions!I85</f>
        <v>2031-32</v>
      </c>
    </row>
    <row r="8" spans="1:13" s="92" customFormat="1" ht="26.4" thickTop="1">
      <c r="A8" s="93"/>
      <c r="B8" s="94"/>
      <c r="C8" s="95"/>
    </row>
    <row r="9" spans="1:13" s="92" customFormat="1">
      <c r="A9" s="251" t="s">
        <v>314</v>
      </c>
      <c r="B9" s="94"/>
      <c r="C9" s="95"/>
    </row>
    <row r="10" spans="1:13" s="92" customFormat="1" hidden="1">
      <c r="A10" s="96"/>
      <c r="B10" s="94"/>
      <c r="C10" s="95"/>
      <c r="D10" s="98"/>
      <c r="E10" s="98"/>
    </row>
    <row r="11" spans="1:13" s="92" customFormat="1" ht="33" hidden="1" customHeight="1">
      <c r="A11" s="90"/>
      <c r="B11" s="90"/>
      <c r="C11" s="90"/>
      <c r="D11" s="89"/>
      <c r="E11" s="89"/>
      <c r="F11" s="89"/>
      <c r="G11" s="89"/>
      <c r="H11" s="89"/>
      <c r="I11" s="89"/>
      <c r="J11" s="89"/>
      <c r="K11" s="89"/>
    </row>
    <row r="12" spans="1:13" s="92" customFormat="1" ht="33" hidden="1" customHeight="1">
      <c r="A12" s="90"/>
      <c r="B12" s="90"/>
      <c r="C12" s="90"/>
      <c r="D12" s="89"/>
      <c r="E12" s="89"/>
      <c r="F12" s="89"/>
      <c r="G12" s="89"/>
      <c r="H12" s="89"/>
      <c r="I12" s="89"/>
      <c r="J12" s="89"/>
      <c r="K12" s="89"/>
    </row>
    <row r="13" spans="1:13" s="92" customFormat="1" ht="33" customHeight="1">
      <c r="A13" s="90"/>
      <c r="B13" s="90"/>
      <c r="C13" s="90"/>
      <c r="D13" s="90"/>
      <c r="E13" s="90"/>
      <c r="F13" s="90"/>
    </row>
    <row r="14" spans="1:13" ht="38.25" customHeight="1">
      <c r="A14" s="92" t="s">
        <v>333</v>
      </c>
      <c r="C14" s="92"/>
      <c r="D14" s="98">
        <f>'Final workings'!B7*(100%-'Final workings'!I54)</f>
        <v>27534150000</v>
      </c>
      <c r="E14" s="98">
        <f>'Final workings'!C7*(100%-'Final workings'!I54)</f>
        <v>-8573600000</v>
      </c>
      <c r="F14" s="98">
        <f>'Final workings'!D7*(100%-'Final workings'!I54)</f>
        <v>44750180000</v>
      </c>
      <c r="G14" s="98">
        <f>'Final workings'!E7*(100%-'Final workings'!I54)</f>
        <v>46822650000</v>
      </c>
      <c r="H14" s="98">
        <f>'Final workings'!F7*(100%-'Final workings'!I54)</f>
        <v>48895300000</v>
      </c>
      <c r="I14" s="98">
        <f>'Final workings'!G7*(100%-'Final workings'!I54)</f>
        <v>50967900000</v>
      </c>
      <c r="J14" s="98">
        <f>'Final workings'!H7*(100%-'Final workings'!I54)</f>
        <v>53040460000</v>
      </c>
      <c r="K14" s="98">
        <f>'Final workings'!I7*(100%-'Final workings'!I54)</f>
        <v>55112960000</v>
      </c>
      <c r="M14" s="89"/>
    </row>
    <row r="16" spans="1:13" ht="35.25" hidden="1" customHeight="1">
      <c r="A16" s="90" t="s">
        <v>1</v>
      </c>
      <c r="D16" s="89">
        <v>0</v>
      </c>
      <c r="E16" s="89" t="e">
        <f t="shared" ref="E16:K16" si="0">D18</f>
        <v>#REF!</v>
      </c>
      <c r="F16" s="89" t="e">
        <f t="shared" si="0"/>
        <v>#REF!</v>
      </c>
      <c r="G16" s="89" t="e">
        <f t="shared" si="0"/>
        <v>#REF!</v>
      </c>
      <c r="H16" s="89" t="e">
        <f t="shared" si="0"/>
        <v>#REF!</v>
      </c>
      <c r="I16" s="89" t="e">
        <f t="shared" si="0"/>
        <v>#REF!</v>
      </c>
      <c r="J16" s="89" t="e">
        <f t="shared" si="0"/>
        <v>#REF!</v>
      </c>
      <c r="K16" s="89" t="e">
        <f t="shared" si="0"/>
        <v>#REF!</v>
      </c>
    </row>
    <row r="17" spans="1:13" ht="37.5" hidden="1" customHeight="1">
      <c r="A17" s="90" t="s">
        <v>313</v>
      </c>
      <c r="C17" s="89"/>
      <c r="D17" s="89" t="e">
        <f>D11*Assumptions!#REF!</f>
        <v>#REF!</v>
      </c>
      <c r="E17" s="89" t="e">
        <f>E11*Assumptions!#REF!</f>
        <v>#REF!</v>
      </c>
      <c r="F17" s="89" t="e">
        <f>F11*Assumptions!#REF!</f>
        <v>#REF!</v>
      </c>
      <c r="G17" s="89" t="e">
        <f>G11*Assumptions!#REF!</f>
        <v>#REF!</v>
      </c>
      <c r="H17" s="89" t="e">
        <f>H11*Assumptions!#REF!</f>
        <v>#REF!</v>
      </c>
      <c r="I17" s="89" t="e">
        <f>I11*Assumptions!#REF!</f>
        <v>#REF!</v>
      </c>
      <c r="J17" s="89" t="e">
        <f>J11*Assumptions!#REF!</f>
        <v>#REF!</v>
      </c>
      <c r="K17" s="89" t="e">
        <f>J17*Assumptions!#REF!</f>
        <v>#REF!</v>
      </c>
      <c r="L17" s="89"/>
    </row>
    <row r="18" spans="1:13" ht="36" hidden="1" customHeight="1">
      <c r="A18" s="90" t="s">
        <v>2</v>
      </c>
      <c r="C18" s="89"/>
      <c r="D18" s="89" t="e">
        <f>Assumptions!#REF!*D11</f>
        <v>#REF!</v>
      </c>
      <c r="E18" s="89" t="e">
        <f>Assumptions!#REF!*E11</f>
        <v>#REF!</v>
      </c>
      <c r="F18" s="89" t="e">
        <f>Assumptions!#REF!*F11</f>
        <v>#REF!</v>
      </c>
      <c r="G18" s="89" t="e">
        <f>Assumptions!#REF!*G11</f>
        <v>#REF!</v>
      </c>
      <c r="H18" s="89" t="e">
        <f>Assumptions!#REF!*H11</f>
        <v>#REF!</v>
      </c>
      <c r="I18" s="89" t="e">
        <f>Assumptions!#REF!*I11</f>
        <v>#REF!</v>
      </c>
      <c r="J18" s="89" t="e">
        <f>Assumptions!#REF!*J11</f>
        <v>#REF!</v>
      </c>
      <c r="K18" s="89" t="e">
        <f>Assumptions!#REF!*K11</f>
        <v>#REF!</v>
      </c>
      <c r="M18" s="138"/>
    </row>
    <row r="19" spans="1:13" ht="36" customHeight="1">
      <c r="A19" s="92" t="s">
        <v>584</v>
      </c>
      <c r="C19" s="89"/>
      <c r="D19" s="89"/>
      <c r="E19" s="89"/>
      <c r="F19" s="89"/>
      <c r="G19" s="89"/>
      <c r="H19" s="89"/>
      <c r="I19" s="89"/>
      <c r="J19" s="89"/>
      <c r="K19" s="89"/>
      <c r="M19" s="138"/>
    </row>
    <row r="20" spans="1:13" ht="36" customHeight="1">
      <c r="A20" s="90" t="s">
        <v>1</v>
      </c>
      <c r="C20" s="89"/>
      <c r="D20" s="89">
        <f>Assumptions!F124</f>
        <v>0</v>
      </c>
      <c r="E20" s="89">
        <f>D22</f>
        <v>6669760000</v>
      </c>
      <c r="F20" s="89">
        <f t="shared" ref="F20:K20" si="1">E22</f>
        <v>58500000000</v>
      </c>
      <c r="G20" s="89">
        <f t="shared" si="1"/>
        <v>59085000000</v>
      </c>
      <c r="H20" s="89">
        <f t="shared" si="1"/>
        <v>59675850000</v>
      </c>
      <c r="I20" s="89">
        <f t="shared" si="1"/>
        <v>60272610000</v>
      </c>
      <c r="J20" s="89">
        <f t="shared" si="1"/>
        <v>60875330000</v>
      </c>
      <c r="K20" s="89">
        <f t="shared" si="1"/>
        <v>61484090000</v>
      </c>
      <c r="M20" s="89"/>
    </row>
    <row r="21" spans="1:13" ht="36" customHeight="1">
      <c r="A21" s="90" t="s">
        <v>461</v>
      </c>
      <c r="C21" s="89"/>
      <c r="D21" s="89">
        <f>'Final workings'!B8</f>
        <v>22232540000</v>
      </c>
      <c r="E21" s="89">
        <f>'Final workings'!C8</f>
        <v>28116810000</v>
      </c>
      <c r="F21" s="89">
        <f>'Final workings'!D8</f>
        <v>29467870000</v>
      </c>
      <c r="G21" s="89">
        <f>'Final workings'!E8</f>
        <v>30818780000</v>
      </c>
      <c r="H21" s="89">
        <f>'Final workings'!F8</f>
        <v>32169840000</v>
      </c>
      <c r="I21" s="89">
        <f>'Final workings'!G8</f>
        <v>33520910000</v>
      </c>
      <c r="J21" s="89">
        <f>'Final workings'!H8</f>
        <v>34871990000</v>
      </c>
      <c r="K21" s="89">
        <f>'Final workings'!I8</f>
        <v>36223070000</v>
      </c>
      <c r="M21" s="89"/>
    </row>
    <row r="22" spans="1:13" ht="36" customHeight="1">
      <c r="A22" s="90" t="s">
        <v>363</v>
      </c>
      <c r="C22" s="89"/>
      <c r="D22" s="89">
        <f>'Final workings'!B9</f>
        <v>6669760000</v>
      </c>
      <c r="E22" s="89">
        <f>'Final workings'!C9</f>
        <v>58500000000</v>
      </c>
      <c r="F22" s="89">
        <f>'Final workings'!D9</f>
        <v>59085000000</v>
      </c>
      <c r="G22" s="89">
        <f>'Final workings'!E9</f>
        <v>59675850000</v>
      </c>
      <c r="H22" s="89">
        <f>'Final workings'!F9</f>
        <v>60272610000</v>
      </c>
      <c r="I22" s="89">
        <f>'Final workings'!G9</f>
        <v>60875330000</v>
      </c>
      <c r="J22" s="89">
        <f>'Final workings'!H9</f>
        <v>61484090000</v>
      </c>
      <c r="K22" s="89">
        <f>'Final workings'!I9</f>
        <v>62098930000</v>
      </c>
      <c r="M22" s="89"/>
    </row>
    <row r="23" spans="1:13" ht="36" customHeight="1">
      <c r="A23" s="92" t="s">
        <v>583</v>
      </c>
      <c r="B23" s="92"/>
      <c r="C23" s="98"/>
      <c r="D23" s="98">
        <f t="shared" ref="D23:K23" si="2">D20+D21-D22</f>
        <v>15562780000</v>
      </c>
      <c r="E23" s="98">
        <f t="shared" si="2"/>
        <v>-23713430000</v>
      </c>
      <c r="F23" s="98">
        <f t="shared" si="2"/>
        <v>28882870000</v>
      </c>
      <c r="G23" s="98">
        <f t="shared" si="2"/>
        <v>30227930000</v>
      </c>
      <c r="H23" s="98">
        <f t="shared" si="2"/>
        <v>31573080000</v>
      </c>
      <c r="I23" s="98">
        <f t="shared" si="2"/>
        <v>32918190000</v>
      </c>
      <c r="J23" s="98">
        <f t="shared" si="2"/>
        <v>34263230000</v>
      </c>
      <c r="K23" s="98">
        <f t="shared" si="2"/>
        <v>35608230000</v>
      </c>
      <c r="M23" s="89"/>
    </row>
    <row r="24" spans="1:13" ht="36" customHeight="1">
      <c r="C24" s="89"/>
      <c r="D24" s="89"/>
      <c r="E24" s="89"/>
      <c r="F24" s="89"/>
      <c r="G24" s="89"/>
      <c r="H24" s="89"/>
      <c r="I24" s="89"/>
      <c r="J24" s="89"/>
      <c r="K24" s="89"/>
      <c r="M24" s="89"/>
    </row>
    <row r="25" spans="1:13" ht="36" customHeight="1">
      <c r="A25" s="92" t="s">
        <v>364</v>
      </c>
      <c r="B25" s="92"/>
      <c r="C25" s="98"/>
      <c r="D25" s="98">
        <f>D14-D23</f>
        <v>11971370000</v>
      </c>
      <c r="E25" s="98">
        <f t="shared" ref="E25:K25" si="3">E14-E23</f>
        <v>15139830000</v>
      </c>
      <c r="F25" s="98">
        <f t="shared" si="3"/>
        <v>15867310000</v>
      </c>
      <c r="G25" s="98">
        <f t="shared" si="3"/>
        <v>16594720000</v>
      </c>
      <c r="H25" s="98">
        <f t="shared" si="3"/>
        <v>17322220000</v>
      </c>
      <c r="I25" s="98">
        <f t="shared" si="3"/>
        <v>18049710000</v>
      </c>
      <c r="J25" s="98">
        <f t="shared" si="3"/>
        <v>18777230000</v>
      </c>
      <c r="K25" s="98">
        <f t="shared" si="3"/>
        <v>19504730000</v>
      </c>
      <c r="L25" s="89"/>
      <c r="M25" s="89"/>
    </row>
    <row r="26" spans="1:13" ht="36" customHeight="1">
      <c r="C26" s="89"/>
      <c r="D26" s="89"/>
      <c r="E26" s="89"/>
      <c r="F26" s="89"/>
      <c r="G26" s="89"/>
      <c r="H26" s="89"/>
      <c r="I26" s="89"/>
      <c r="J26" s="89"/>
      <c r="K26" s="89"/>
      <c r="M26" s="89"/>
    </row>
    <row r="27" spans="1:13" ht="36" customHeight="1">
      <c r="A27" s="92" t="s">
        <v>334</v>
      </c>
      <c r="C27" s="89"/>
      <c r="D27" s="89"/>
      <c r="E27" s="89"/>
      <c r="F27" s="89"/>
      <c r="G27" s="89"/>
      <c r="H27" s="89"/>
      <c r="I27" s="89"/>
      <c r="J27" s="89"/>
      <c r="K27" s="89"/>
      <c r="M27" s="89"/>
    </row>
    <row r="28" spans="1:13" ht="62.25" customHeight="1">
      <c r="A28" s="277" t="s">
        <v>354</v>
      </c>
      <c r="B28" s="99" t="s">
        <v>23</v>
      </c>
      <c r="C28" s="89"/>
      <c r="D28" s="89">
        <f>D51</f>
        <v>1310000</v>
      </c>
      <c r="E28" s="89">
        <f t="shared" ref="E28:K28" si="4">E51</f>
        <v>1570000</v>
      </c>
      <c r="F28" s="89">
        <f t="shared" si="4"/>
        <v>1650000</v>
      </c>
      <c r="G28" s="89">
        <f t="shared" si="4"/>
        <v>1650000</v>
      </c>
      <c r="H28" s="89">
        <f t="shared" si="4"/>
        <v>1730000</v>
      </c>
      <c r="I28" s="89">
        <f t="shared" si="4"/>
        <v>1820000</v>
      </c>
      <c r="J28" s="89">
        <f t="shared" si="4"/>
        <v>1910000</v>
      </c>
      <c r="K28" s="89">
        <f t="shared" si="4"/>
        <v>2010000</v>
      </c>
      <c r="L28" s="138"/>
      <c r="M28" s="138"/>
    </row>
    <row r="29" spans="1:13" ht="43.5" customHeight="1">
      <c r="B29" s="99"/>
      <c r="C29" s="111"/>
      <c r="D29" s="138"/>
      <c r="E29" s="138"/>
      <c r="F29" s="138"/>
      <c r="G29" s="138"/>
      <c r="H29" s="138"/>
      <c r="I29" s="138"/>
      <c r="J29" s="138"/>
      <c r="K29" s="138"/>
    </row>
    <row r="30" spans="1:13" ht="43.5" customHeight="1">
      <c r="A30" s="97" t="s">
        <v>133</v>
      </c>
      <c r="B30" s="99"/>
      <c r="C30" s="100"/>
      <c r="D30" s="100">
        <f>D25-D28</f>
        <v>11970060000</v>
      </c>
      <c r="E30" s="100">
        <f t="shared" ref="E30:K30" si="5">E25-E28</f>
        <v>15138260000</v>
      </c>
      <c r="F30" s="100">
        <f t="shared" si="5"/>
        <v>15865660000</v>
      </c>
      <c r="G30" s="100">
        <f t="shared" si="5"/>
        <v>16593070000</v>
      </c>
      <c r="H30" s="100">
        <f t="shared" si="5"/>
        <v>17320490000</v>
      </c>
      <c r="I30" s="100">
        <f t="shared" si="5"/>
        <v>18047890000</v>
      </c>
      <c r="J30" s="100">
        <f t="shared" si="5"/>
        <v>18775320000</v>
      </c>
      <c r="K30" s="100">
        <f t="shared" si="5"/>
        <v>19502720000</v>
      </c>
      <c r="L30" s="89"/>
    </row>
    <row r="31" spans="1:13" ht="31.5" customHeight="1">
      <c r="A31" s="92"/>
      <c r="B31" s="99"/>
      <c r="C31" s="89"/>
      <c r="D31" s="89"/>
      <c r="E31" s="89"/>
      <c r="F31" s="89"/>
    </row>
    <row r="32" spans="1:13" ht="43.5" customHeight="1">
      <c r="A32" s="90" t="s">
        <v>134</v>
      </c>
      <c r="B32" s="99"/>
      <c r="C32" s="111"/>
      <c r="D32" s="89">
        <f>'Dep IT act'!M17*100000</f>
        <v>916666666.66666663</v>
      </c>
      <c r="E32" s="111">
        <f>'Dep IT act'!M24*100000</f>
        <v>964583333.33333337</v>
      </c>
      <c r="F32" s="111">
        <f>'Dep IT act'!M31*100000</f>
        <v>822187500</v>
      </c>
      <c r="G32" s="111">
        <f>'Dep IT act'!M38*100000</f>
        <v>700921875</v>
      </c>
      <c r="H32" s="111">
        <f>'Dep IT act'!M45*100000</f>
        <v>597639843.75</v>
      </c>
      <c r="I32" s="89">
        <f>'Dep IT act'!M52*100000</f>
        <v>509664492.18749994</v>
      </c>
      <c r="J32" s="89">
        <f>'Dep IT act'!M59*100000</f>
        <v>434718380.859375</v>
      </c>
      <c r="K32" s="89">
        <f>'Dep IT act'!M66*100000</f>
        <v>370863829.98046875</v>
      </c>
      <c r="L32" s="138"/>
      <c r="M32" s="138"/>
    </row>
    <row r="33" spans="1:13" s="101" customFormat="1" ht="57.75" customHeight="1">
      <c r="A33" s="97" t="s">
        <v>132</v>
      </c>
      <c r="C33" s="100"/>
      <c r="D33" s="100">
        <f>D30-D32</f>
        <v>11053393333.333334</v>
      </c>
      <c r="E33" s="100">
        <f t="shared" ref="E33:K33" si="6">E30-E32</f>
        <v>14173676666.666666</v>
      </c>
      <c r="F33" s="100">
        <f t="shared" si="6"/>
        <v>15043472500</v>
      </c>
      <c r="G33" s="100">
        <f t="shared" si="6"/>
        <v>15892148125</v>
      </c>
      <c r="H33" s="100">
        <f t="shared" si="6"/>
        <v>16722850156.25</v>
      </c>
      <c r="I33" s="100">
        <f t="shared" si="6"/>
        <v>17538225507.8125</v>
      </c>
      <c r="J33" s="100">
        <f t="shared" si="6"/>
        <v>18340601619.140625</v>
      </c>
      <c r="K33" s="100">
        <f t="shared" si="6"/>
        <v>19131856170.019531</v>
      </c>
    </row>
    <row r="34" spans="1:13" ht="31.5" customHeight="1">
      <c r="A34" s="92"/>
      <c r="C34" s="89"/>
      <c r="D34" s="89"/>
      <c r="E34" s="89"/>
      <c r="F34" s="89"/>
    </row>
    <row r="35" spans="1:13" ht="40.5" customHeight="1">
      <c r="A35" s="90" t="s">
        <v>20</v>
      </c>
      <c r="B35" s="99" t="s">
        <v>25</v>
      </c>
      <c r="C35" s="89"/>
      <c r="D35" s="89">
        <f>D60</f>
        <v>5094125000</v>
      </c>
      <c r="E35" s="89">
        <f t="shared" ref="E35:K35" si="7">E60</f>
        <v>5874124999.9999981</v>
      </c>
      <c r="F35" s="89">
        <f t="shared" si="7"/>
        <v>5727124999.999999</v>
      </c>
      <c r="G35" s="89">
        <f t="shared" si="7"/>
        <v>5607259999.9999981</v>
      </c>
      <c r="H35" s="89">
        <f t="shared" si="7"/>
        <v>5502843174.9999971</v>
      </c>
      <c r="I35" s="89">
        <f t="shared" si="7"/>
        <v>5508812703.3749962</v>
      </c>
      <c r="J35" s="89">
        <f t="shared" si="7"/>
        <v>5536356766.8918705</v>
      </c>
      <c r="K35" s="89">
        <f t="shared" si="7"/>
        <v>5564038550.7263288</v>
      </c>
      <c r="L35" s="138"/>
      <c r="M35" s="138"/>
    </row>
    <row r="36" spans="1:13" ht="30" customHeight="1"/>
    <row r="37" spans="1:13" s="92" customFormat="1" ht="48" customHeight="1" thickBot="1">
      <c r="A37" s="102" t="s">
        <v>377</v>
      </c>
      <c r="B37" s="103"/>
      <c r="C37" s="104"/>
      <c r="D37" s="104">
        <f>D33-D35</f>
        <v>5959268333.333334</v>
      </c>
      <c r="E37" s="104">
        <f>E33-E35</f>
        <v>8299551666.6666679</v>
      </c>
      <c r="F37" s="104">
        <f t="shared" ref="F37:K37" si="8">F33-F35</f>
        <v>9316347500</v>
      </c>
      <c r="G37" s="104">
        <f t="shared" si="8"/>
        <v>10284888125.000002</v>
      </c>
      <c r="H37" s="104">
        <f t="shared" si="8"/>
        <v>11220006981.250004</v>
      </c>
      <c r="I37" s="104">
        <f t="shared" si="8"/>
        <v>12029412804.437504</v>
      </c>
      <c r="J37" s="104">
        <f t="shared" si="8"/>
        <v>12804244852.248755</v>
      </c>
      <c r="K37" s="104">
        <f t="shared" si="8"/>
        <v>13567817619.293201</v>
      </c>
      <c r="L37" s="141"/>
      <c r="M37" s="141"/>
    </row>
    <row r="38" spans="1:13" s="92" customFormat="1" ht="35.25" customHeight="1" thickTop="1">
      <c r="A38" s="102"/>
      <c r="B38" s="103"/>
      <c r="C38" s="125"/>
      <c r="D38" s="125"/>
      <c r="E38" s="125"/>
      <c r="F38" s="125"/>
      <c r="G38" s="125"/>
      <c r="H38" s="125"/>
      <c r="I38" s="125"/>
      <c r="J38" s="125"/>
      <c r="K38" s="125"/>
    </row>
    <row r="39" spans="1:13" ht="26.4" thickBot="1">
      <c r="A39" s="105"/>
      <c r="B39" s="105"/>
      <c r="C39" s="105"/>
      <c r="D39" s="105"/>
      <c r="E39" s="105"/>
      <c r="F39" s="105"/>
      <c r="G39" s="105"/>
      <c r="H39" s="105"/>
      <c r="I39" s="105"/>
      <c r="J39" s="105"/>
      <c r="K39" s="105"/>
    </row>
    <row r="41" spans="1:13" ht="25.5" customHeight="1">
      <c r="A41" s="93"/>
      <c r="B41" s="93"/>
      <c r="C41" s="93"/>
    </row>
    <row r="42" spans="1:13" ht="30" customHeight="1">
      <c r="A42" s="873" t="s">
        <v>477</v>
      </c>
      <c r="B42" s="873"/>
      <c r="C42" s="873"/>
      <c r="D42" s="873"/>
      <c r="E42" s="873"/>
      <c r="F42" s="873"/>
      <c r="G42" s="873"/>
      <c r="H42" s="873"/>
      <c r="I42" s="873"/>
      <c r="J42" s="873"/>
      <c r="K42" s="873"/>
    </row>
    <row r="43" spans="1:13" ht="65.25" customHeight="1" thickBot="1">
      <c r="A43" s="221"/>
      <c r="B43" s="221"/>
      <c r="C43" s="222"/>
      <c r="D43" s="222" t="str">
        <f>Assumptions!I78</f>
        <v>2024-25</v>
      </c>
      <c r="E43" s="223" t="str">
        <f>Assumptions!I79</f>
        <v>2025-26</v>
      </c>
      <c r="F43" s="223" t="str">
        <f>Assumptions!I80</f>
        <v>2026-27</v>
      </c>
      <c r="G43" s="223" t="str">
        <f>Assumptions!I81</f>
        <v>2027-28</v>
      </c>
      <c r="H43" s="223" t="str">
        <f>Assumptions!I82</f>
        <v>2028-29</v>
      </c>
      <c r="I43" s="223" t="str">
        <f>Assumptions!I83</f>
        <v>2029-30</v>
      </c>
      <c r="J43" s="223" t="str">
        <f>Assumptions!I84</f>
        <v>2030-31</v>
      </c>
      <c r="K43" s="223" t="str">
        <f>Assumptions!I85</f>
        <v>2031-32</v>
      </c>
    </row>
    <row r="44" spans="1:13" ht="26.4" thickTop="1"/>
    <row r="45" spans="1:13" ht="33.75" customHeight="1">
      <c r="A45" s="90" t="str">
        <f>'Final workings'!A10</f>
        <v>Employee Related Expenses (Editable)</v>
      </c>
      <c r="C45" s="89"/>
      <c r="D45" s="89">
        <f>'Final workings'!B10</f>
        <v>1310000</v>
      </c>
      <c r="E45" s="89">
        <f>'Final workings'!C10</f>
        <v>1570000</v>
      </c>
      <c r="F45" s="89">
        <f>'Final workings'!D10</f>
        <v>1650000</v>
      </c>
      <c r="G45" s="89">
        <f>'Final workings'!E10</f>
        <v>1650000</v>
      </c>
      <c r="H45" s="89">
        <f>'Final workings'!F10</f>
        <v>1730000</v>
      </c>
      <c r="I45" s="89">
        <f>'Final workings'!G10</f>
        <v>1820000</v>
      </c>
      <c r="J45" s="89">
        <f>'Final workings'!H10</f>
        <v>1910000</v>
      </c>
      <c r="K45" s="89">
        <f>'Final workings'!I10</f>
        <v>2010000</v>
      </c>
    </row>
    <row r="46" spans="1:13" ht="36.75" customHeight="1">
      <c r="A46" s="90" t="str">
        <f>'Final workings'!A11</f>
        <v>Administrative &amp; Office Expenses (Editable)</v>
      </c>
      <c r="C46" s="89"/>
      <c r="D46" s="89">
        <f>'Final workings'!B11</f>
        <v>0</v>
      </c>
      <c r="E46" s="89">
        <f>'Final workings'!C11</f>
        <v>0</v>
      </c>
      <c r="F46" s="89">
        <f>'Final workings'!D11</f>
        <v>0</v>
      </c>
      <c r="G46" s="89">
        <f>'Final workings'!E11</f>
        <v>0</v>
      </c>
      <c r="H46" s="89">
        <f>'Final workings'!F11</f>
        <v>0</v>
      </c>
      <c r="I46" s="89">
        <f>'Final workings'!G11</f>
        <v>0</v>
      </c>
      <c r="J46" s="89">
        <f>'Final workings'!H11</f>
        <v>0</v>
      </c>
      <c r="K46" s="89">
        <f>'Final workings'!I11</f>
        <v>0</v>
      </c>
    </row>
    <row r="47" spans="1:13" ht="33.75" customHeight="1">
      <c r="A47" s="90" t="str">
        <f>'Final workings'!A12</f>
        <v>Selling and Distribution Expenses (Editable)</v>
      </c>
      <c r="C47" s="89"/>
      <c r="D47" s="89">
        <f>'Final workings'!B12</f>
        <v>0</v>
      </c>
      <c r="E47" s="89">
        <f>'Final workings'!C12</f>
        <v>0</v>
      </c>
      <c r="F47" s="89">
        <f>'Final workings'!D12</f>
        <v>0</v>
      </c>
      <c r="G47" s="89">
        <f>'Final workings'!E12</f>
        <v>0</v>
      </c>
      <c r="H47" s="89">
        <f>'Final workings'!F12</f>
        <v>0</v>
      </c>
      <c r="I47" s="89">
        <f>'Final workings'!G12</f>
        <v>0</v>
      </c>
      <c r="J47" s="89">
        <f>'Final workings'!H12</f>
        <v>0</v>
      </c>
      <c r="K47" s="89">
        <f>'Final workings'!I12</f>
        <v>0</v>
      </c>
    </row>
    <row r="48" spans="1:13" ht="33.75" customHeight="1">
      <c r="A48" s="90" t="str">
        <f>'Final workings'!A13</f>
        <v>General Overheads (Editable)</v>
      </c>
      <c r="C48" s="89"/>
      <c r="D48" s="89">
        <f>'Final workings'!B13</f>
        <v>0</v>
      </c>
      <c r="E48" s="89">
        <f>'Final workings'!C13</f>
        <v>0</v>
      </c>
      <c r="F48" s="89">
        <f>'Final workings'!D13</f>
        <v>0</v>
      </c>
      <c r="G48" s="89">
        <f>'Final workings'!E13</f>
        <v>0</v>
      </c>
      <c r="H48" s="89">
        <f>'Final workings'!F13</f>
        <v>0</v>
      </c>
      <c r="I48" s="89">
        <f>'Final workings'!G13</f>
        <v>0</v>
      </c>
      <c r="J48" s="89">
        <f>'Final workings'!H13</f>
        <v>0</v>
      </c>
      <c r="K48" s="89">
        <f>'Final workings'!I13</f>
        <v>0</v>
      </c>
    </row>
    <row r="49" spans="1:11" ht="33.75" customHeight="1">
      <c r="A49" s="90" t="str">
        <f>'Final workings'!A14</f>
        <v>Miscellaneous Expenses</v>
      </c>
      <c r="C49" s="89"/>
      <c r="D49" s="89">
        <f>'Final workings'!B14</f>
        <v>0</v>
      </c>
      <c r="E49" s="89">
        <f>'Final workings'!C14</f>
        <v>0</v>
      </c>
      <c r="F49" s="89">
        <f>'Final workings'!D14</f>
        <v>0</v>
      </c>
      <c r="G49" s="89">
        <f>'Final workings'!E14</f>
        <v>0</v>
      </c>
      <c r="H49" s="89">
        <f>'Final workings'!F14</f>
        <v>0</v>
      </c>
      <c r="I49" s="89">
        <f>'Final workings'!G14</f>
        <v>0</v>
      </c>
      <c r="J49" s="89">
        <f>'Final workings'!H14</f>
        <v>0</v>
      </c>
      <c r="K49" s="89">
        <f>'Final workings'!I14</f>
        <v>0</v>
      </c>
    </row>
    <row r="50" spans="1:11" ht="33.75" customHeight="1">
      <c r="C50" s="89"/>
      <c r="D50" s="89"/>
      <c r="E50" s="89"/>
      <c r="F50" s="89"/>
      <c r="G50" s="89"/>
      <c r="H50" s="89"/>
      <c r="I50" s="89"/>
      <c r="J50" s="89"/>
      <c r="K50" s="89"/>
    </row>
    <row r="51" spans="1:11" ht="50.25" customHeight="1" thickBot="1">
      <c r="C51" s="109"/>
      <c r="D51" s="109">
        <f>SUM(D44:D50)</f>
        <v>1310000</v>
      </c>
      <c r="E51" s="109">
        <f t="shared" ref="E51:K51" si="9">SUM(E44:E50)</f>
        <v>1570000</v>
      </c>
      <c r="F51" s="109">
        <f t="shared" si="9"/>
        <v>1650000</v>
      </c>
      <c r="G51" s="109">
        <f t="shared" si="9"/>
        <v>1650000</v>
      </c>
      <c r="H51" s="109">
        <f t="shared" si="9"/>
        <v>1730000</v>
      </c>
      <c r="I51" s="109">
        <f t="shared" si="9"/>
        <v>1820000</v>
      </c>
      <c r="J51" s="109">
        <f t="shared" si="9"/>
        <v>1910000</v>
      </c>
      <c r="K51" s="109">
        <f t="shared" si="9"/>
        <v>2010000</v>
      </c>
    </row>
    <row r="52" spans="1:11" ht="41.25" customHeight="1" thickTop="1">
      <c r="C52" s="94"/>
    </row>
    <row r="53" spans="1:11" ht="40.5" customHeight="1">
      <c r="A53" s="873" t="s">
        <v>475</v>
      </c>
      <c r="B53" s="873"/>
      <c r="C53" s="873"/>
      <c r="D53" s="873"/>
      <c r="E53" s="873"/>
      <c r="F53" s="873"/>
      <c r="G53" s="873"/>
      <c r="H53" s="873"/>
      <c r="I53" s="873"/>
      <c r="J53" s="873"/>
      <c r="K53" s="873"/>
    </row>
    <row r="54" spans="1:11" ht="60.75" customHeight="1" thickBot="1">
      <c r="A54" s="221"/>
      <c r="B54" s="221"/>
      <c r="C54" s="222"/>
      <c r="D54" s="222" t="str">
        <f>Assumptions!I78</f>
        <v>2024-25</v>
      </c>
      <c r="E54" s="223" t="str">
        <f>Assumptions!I79</f>
        <v>2025-26</v>
      </c>
      <c r="F54" s="223" t="str">
        <f>Assumptions!I80</f>
        <v>2026-27</v>
      </c>
      <c r="G54" s="223" t="str">
        <f>Assumptions!I81</f>
        <v>2027-28</v>
      </c>
      <c r="H54" s="223" t="str">
        <f>Assumptions!I82</f>
        <v>2028-29</v>
      </c>
      <c r="I54" s="223" t="str">
        <f>Assumptions!I83</f>
        <v>2029-30</v>
      </c>
      <c r="J54" s="223" t="str">
        <f>Assumptions!I84</f>
        <v>2030-31</v>
      </c>
      <c r="K54" s="223" t="str">
        <f>Assumptions!I85</f>
        <v>2031-32</v>
      </c>
    </row>
    <row r="55" spans="1:11" ht="32.25" customHeight="1" thickTop="1">
      <c r="A55" s="93"/>
      <c r="B55" s="93"/>
      <c r="C55" s="95"/>
      <c r="D55" s="95"/>
      <c r="E55" s="95"/>
      <c r="F55" s="95"/>
    </row>
    <row r="56" spans="1:11" ht="33" customHeight="1">
      <c r="C56" s="110"/>
      <c r="D56" s="110"/>
      <c r="E56" s="110"/>
      <c r="F56" s="110"/>
      <c r="G56" s="89"/>
      <c r="H56" s="89"/>
      <c r="I56" s="89"/>
      <c r="J56" s="89"/>
      <c r="K56" s="89"/>
    </row>
    <row r="57" spans="1:11" ht="34.5" customHeight="1">
      <c r="A57" s="90" t="s">
        <v>219</v>
      </c>
      <c r="C57" s="110"/>
      <c r="D57" s="110">
        <f>'WorKings for PL BS 2'!B5</f>
        <v>594124999.99999964</v>
      </c>
      <c r="E57" s="110">
        <f>'WorKings for PL BS 2'!C5</f>
        <v>447124999.99999952</v>
      </c>
      <c r="F57" s="110">
        <f>'WorKings for PL BS 2'!D5</f>
        <v>300124999.99999958</v>
      </c>
      <c r="G57" s="110">
        <f>'WorKings for PL BS 2'!E5</f>
        <v>153124999.99999967</v>
      </c>
      <c r="H57" s="110">
        <f>'WorKings for PL BS 2'!F5</f>
        <v>21437499.999999836</v>
      </c>
      <c r="I57" s="110">
        <f>'WorKings for PL BS 2'!G5</f>
        <v>0</v>
      </c>
      <c r="J57" s="110">
        <f>'WorKings for PL BS 2'!H5</f>
        <v>0</v>
      </c>
      <c r="K57" s="110">
        <f>'WorKings for PL BS 2'!I5</f>
        <v>0</v>
      </c>
    </row>
    <row r="58" spans="1:11" ht="34.5" customHeight="1">
      <c r="A58" s="90" t="s">
        <v>372</v>
      </c>
      <c r="C58" s="110"/>
      <c r="D58" s="110">
        <f>'WorKings for PL BS 2'!B6</f>
        <v>4500000000</v>
      </c>
      <c r="E58" s="110">
        <f>'WorKings for PL BS 2'!C6</f>
        <v>5426999999.999999</v>
      </c>
      <c r="F58" s="110">
        <f>'WorKings for PL BS 2'!D6</f>
        <v>5426999999.999999</v>
      </c>
      <c r="G58" s="110">
        <f>'WorKings for PL BS 2'!E6</f>
        <v>5454134999.9999981</v>
      </c>
      <c r="H58" s="110">
        <f>'WorKings for PL BS 2'!F6</f>
        <v>5481405674.9999971</v>
      </c>
      <c r="I58" s="110">
        <f>'WorKings for PL BS 2'!G6</f>
        <v>5508812703.3749962</v>
      </c>
      <c r="J58" s="110">
        <f>'WorKings for PL BS 2'!H6</f>
        <v>5536356766.8918705</v>
      </c>
      <c r="K58" s="110">
        <f>'WorKings for PL BS 2'!I6</f>
        <v>5564038550.7263288</v>
      </c>
    </row>
    <row r="59" spans="1:11" ht="34.5" customHeight="1">
      <c r="C59" s="110"/>
      <c r="D59" s="110"/>
      <c r="E59" s="110"/>
      <c r="F59" s="89"/>
      <c r="G59" s="89"/>
      <c r="H59" s="89"/>
      <c r="I59" s="89"/>
      <c r="J59" s="89"/>
      <c r="K59" s="89"/>
    </row>
    <row r="60" spans="1:11" ht="46.5" customHeight="1" thickBot="1">
      <c r="C60" s="109"/>
      <c r="D60" s="109">
        <f>SUM(D56:D58)</f>
        <v>5094125000</v>
      </c>
      <c r="E60" s="109">
        <f t="shared" ref="E60:J60" si="10">SUM(E56:E58)</f>
        <v>5874124999.9999981</v>
      </c>
      <c r="F60" s="109">
        <f t="shared" si="10"/>
        <v>5727124999.999999</v>
      </c>
      <c r="G60" s="109">
        <f t="shared" si="10"/>
        <v>5607259999.9999981</v>
      </c>
      <c r="H60" s="109">
        <f t="shared" si="10"/>
        <v>5502843174.9999971</v>
      </c>
      <c r="I60" s="109">
        <f t="shared" si="10"/>
        <v>5508812703.3749962</v>
      </c>
      <c r="J60" s="109">
        <f t="shared" si="10"/>
        <v>5536356766.8918705</v>
      </c>
      <c r="K60" s="109">
        <f>SUM(K56:K58)</f>
        <v>5564038550.7263288</v>
      </c>
    </row>
    <row r="61" spans="1:11" ht="25.5" customHeight="1" thickTop="1">
      <c r="C61" s="94"/>
    </row>
    <row r="62" spans="1:11" ht="25.5" customHeight="1">
      <c r="C62" s="89"/>
      <c r="D62" s="89"/>
      <c r="E62" s="89"/>
      <c r="F62" s="89"/>
      <c r="G62" s="89"/>
      <c r="H62" s="89"/>
      <c r="I62" s="89"/>
      <c r="J62" s="89"/>
      <c r="K62" s="89"/>
    </row>
    <row r="63" spans="1:11">
      <c r="D63" s="89"/>
      <c r="E63" s="89"/>
      <c r="F63" s="89"/>
      <c r="G63" s="89"/>
      <c r="H63" s="89"/>
      <c r="I63" s="89"/>
      <c r="J63" s="89"/>
      <c r="K63" s="89"/>
    </row>
  </sheetData>
  <mergeCells count="9">
    <mergeCell ref="A42:K42"/>
    <mergeCell ref="A53:K53"/>
    <mergeCell ref="A4:K4"/>
    <mergeCell ref="A1:K1"/>
    <mergeCell ref="A2:K2"/>
    <mergeCell ref="A3:K3"/>
    <mergeCell ref="A5:K5"/>
    <mergeCell ref="A6:A7"/>
    <mergeCell ref="B6:B7"/>
  </mergeCells>
  <pageMargins left="0.7" right="0.7" top="0.75" bottom="0.75" header="0.3" footer="0.3"/>
  <pageSetup scale="36" orientation="portrait" horizontalDpi="0" verticalDpi="0" r:id="rId1"/>
  <rowBreaks count="1" manualBreakCount="1">
    <brk id="40" max="11" man="1"/>
  </row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87406-0F71-4205-9A1B-A0DAD2A81FBA}">
  <sheetPr codeName="Sheet12"/>
  <dimension ref="A1:C9"/>
  <sheetViews>
    <sheetView topLeftCell="A26" zoomScale="88" workbookViewId="0">
      <selection activeCell="J10" sqref="J10"/>
    </sheetView>
  </sheetViews>
  <sheetFormatPr defaultRowHeight="13.2"/>
  <cols>
    <col min="1" max="1" width="17.88671875" bestFit="1" customWidth="1"/>
    <col min="2" max="2" width="16.109375" customWidth="1"/>
    <col min="3" max="3" width="25.77734375" customWidth="1"/>
  </cols>
  <sheetData>
    <row r="1" spans="1:3">
      <c r="A1" t="s">
        <v>916</v>
      </c>
      <c r="B1" s="124" t="s">
        <v>333</v>
      </c>
      <c r="C1" t="s">
        <v>377</v>
      </c>
    </row>
    <row r="2" spans="1:3">
      <c r="A2" t="str">
        <f>Assumptions!I78</f>
        <v>2024-25</v>
      </c>
      <c r="B2" s="124">
        <f>'workings-Sensitivity Analysis1'!D14</f>
        <v>27534150000</v>
      </c>
      <c r="C2" s="124">
        <f>'workings-Sensitivity Analysis1'!D37</f>
        <v>5959268333.333334</v>
      </c>
    </row>
    <row r="3" spans="1:3">
      <c r="A3" t="str">
        <f>Assumptions!I79</f>
        <v>2025-26</v>
      </c>
      <c r="B3" s="124">
        <f>'workings-Sensitivity Analysis1'!E14</f>
        <v>-8573600000</v>
      </c>
      <c r="C3" s="699">
        <f>'workings-Sensitivity Analysis1'!E37</f>
        <v>8299551666.6666679</v>
      </c>
    </row>
    <row r="4" spans="1:3">
      <c r="A4" t="str">
        <f>Assumptions!I80</f>
        <v>2026-27</v>
      </c>
      <c r="B4" s="124">
        <f>'workings-Sensitivity Analysis1'!F14</f>
        <v>44750180000</v>
      </c>
      <c r="C4" s="124">
        <f>'workings-Sensitivity Analysis1'!F37</f>
        <v>9316347500</v>
      </c>
    </row>
    <row r="5" spans="1:3">
      <c r="A5" t="str">
        <f>Assumptions!I81</f>
        <v>2027-28</v>
      </c>
      <c r="B5" s="124">
        <f>'workings-Sensitivity Analysis1'!G14</f>
        <v>46822650000</v>
      </c>
      <c r="C5" s="124">
        <f>'workings-Sensitivity Analysis1'!G37</f>
        <v>10284888125.000002</v>
      </c>
    </row>
    <row r="6" spans="1:3">
      <c r="A6" t="str">
        <f>Assumptions!I82</f>
        <v>2028-29</v>
      </c>
      <c r="B6" s="124">
        <f>'workings-Sensitivity Analysis1'!H14</f>
        <v>48895300000</v>
      </c>
      <c r="C6" s="124">
        <f>'workings-Sensitivity Analysis1'!H37</f>
        <v>11220006981.250004</v>
      </c>
    </row>
    <row r="7" spans="1:3">
      <c r="A7" t="str">
        <f>Assumptions!I83</f>
        <v>2029-30</v>
      </c>
      <c r="B7" s="124">
        <f>'workings-Sensitivity Analysis1'!I14</f>
        <v>50967900000</v>
      </c>
      <c r="C7" s="124">
        <f>'workings-Sensitivity Analysis1'!I37</f>
        <v>12029412804.437504</v>
      </c>
    </row>
    <row r="8" spans="1:3">
      <c r="A8" t="str">
        <f>Assumptions!I84</f>
        <v>2030-31</v>
      </c>
      <c r="B8" s="124">
        <f>'workings-Sensitivity Analysis1'!J14</f>
        <v>53040460000</v>
      </c>
      <c r="C8" s="124">
        <f>'workings-Sensitivity Analysis1'!J37</f>
        <v>12804244852.248755</v>
      </c>
    </row>
    <row r="9" spans="1:3">
      <c r="A9" t="str">
        <f>Assumptions!I85</f>
        <v>2031-32</v>
      </c>
      <c r="B9" s="124">
        <f>'workings-Sensitivity Analysis1'!K14</f>
        <v>55112960000</v>
      </c>
      <c r="C9" s="699">
        <f>'workings-Sensitivity Analysis1'!K37</f>
        <v>13567817619.293201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F84DC-6008-4E9C-8DF3-FB57DCEDB871}">
  <sheetPr codeName="Sheet38"/>
  <dimension ref="A1:M64"/>
  <sheetViews>
    <sheetView zoomScale="40" zoomScaleNormal="40" zoomScaleSheetLayoutView="25" workbookViewId="0">
      <selection activeCell="Q35" sqref="Q35"/>
    </sheetView>
  </sheetViews>
  <sheetFormatPr defaultColWidth="21.77734375" defaultRowHeight="25.8"/>
  <cols>
    <col min="1" max="1" width="41.5546875" style="90" customWidth="1"/>
    <col min="2" max="2" width="18.21875" style="90" customWidth="1"/>
    <col min="3" max="3" width="4.21875" style="90" customWidth="1"/>
    <col min="4" max="4" width="22.44140625" style="90" customWidth="1"/>
    <col min="5" max="5" width="21.77734375" style="90" customWidth="1"/>
    <col min="6" max="6" width="21.21875" style="90" customWidth="1"/>
    <col min="7" max="7" width="24.21875" style="90" bestFit="1" customWidth="1"/>
    <col min="8" max="8" width="25.21875" style="90" bestFit="1" customWidth="1"/>
    <col min="9" max="9" width="24.21875" style="90" bestFit="1" customWidth="1"/>
    <col min="10" max="10" width="25.21875" style="90" bestFit="1" customWidth="1"/>
    <col min="11" max="11" width="24.21875" style="90" bestFit="1" customWidth="1"/>
    <col min="12" max="12" width="5.21875" style="90" customWidth="1"/>
    <col min="13" max="13" width="23.77734375" style="90" bestFit="1" customWidth="1"/>
    <col min="14" max="16384" width="21.77734375" style="90"/>
  </cols>
  <sheetData>
    <row r="1" spans="1:13">
      <c r="A1" s="872"/>
      <c r="B1" s="872"/>
      <c r="C1" s="872"/>
      <c r="D1" s="872"/>
      <c r="E1" s="872"/>
      <c r="F1" s="872"/>
      <c r="G1" s="872"/>
      <c r="H1" s="872"/>
      <c r="I1" s="872"/>
      <c r="J1" s="872"/>
      <c r="K1" s="872"/>
    </row>
    <row r="2" spans="1:13">
      <c r="A2" s="872"/>
      <c r="B2" s="872"/>
      <c r="C2" s="872"/>
      <c r="D2" s="872"/>
      <c r="E2" s="872"/>
      <c r="F2" s="872"/>
      <c r="G2" s="872"/>
      <c r="H2" s="872"/>
      <c r="I2" s="872"/>
      <c r="J2" s="872"/>
      <c r="K2" s="872"/>
    </row>
    <row r="3" spans="1:13" ht="29.25" customHeight="1">
      <c r="A3" s="872"/>
      <c r="B3" s="872"/>
      <c r="C3" s="872"/>
      <c r="D3" s="872"/>
      <c r="E3" s="872"/>
      <c r="F3" s="872"/>
      <c r="G3" s="872"/>
      <c r="H3" s="872"/>
      <c r="I3" s="872"/>
      <c r="J3" s="872"/>
      <c r="K3" s="872"/>
    </row>
    <row r="4" spans="1:13" ht="29.25" customHeight="1">
      <c r="A4" s="964" t="s">
        <v>478</v>
      </c>
      <c r="B4" s="964"/>
      <c r="C4" s="964"/>
      <c r="D4" s="964"/>
      <c r="E4" s="964"/>
      <c r="F4" s="964"/>
      <c r="G4" s="964"/>
      <c r="H4" s="964"/>
      <c r="I4" s="964"/>
      <c r="J4" s="964"/>
      <c r="K4" s="964"/>
    </row>
    <row r="5" spans="1:13" ht="57" customHeight="1">
      <c r="A5" s="965" t="s">
        <v>485</v>
      </c>
      <c r="B5" s="965"/>
      <c r="C5" s="965"/>
      <c r="D5" s="965"/>
      <c r="E5" s="965"/>
      <c r="F5" s="965"/>
      <c r="G5" s="965"/>
      <c r="H5" s="965"/>
      <c r="I5" s="965"/>
      <c r="J5" s="965"/>
      <c r="K5" s="965"/>
    </row>
    <row r="6" spans="1:13" ht="37.5" customHeight="1">
      <c r="A6" s="816" t="s">
        <v>0</v>
      </c>
      <c r="B6" s="818" t="s">
        <v>220</v>
      </c>
      <c r="C6" s="337"/>
      <c r="D6" s="336" t="str">
        <f>Assumptions!J78</f>
        <v>Estimated</v>
      </c>
      <c r="E6" s="336" t="str">
        <f>Assumptions!J79</f>
        <v>Projected</v>
      </c>
      <c r="F6" s="336" t="str">
        <f>Assumptions!J80</f>
        <v>Projected</v>
      </c>
      <c r="G6" s="337" t="str">
        <f>Assumptions!J81</f>
        <v>Projected</v>
      </c>
      <c r="H6" s="337" t="str">
        <f>Assumptions!J82</f>
        <v>Projected</v>
      </c>
      <c r="I6" s="337" t="str">
        <f>Assumptions!J83</f>
        <v>Projected</v>
      </c>
      <c r="J6" s="337" t="str">
        <f>Assumptions!J84</f>
        <v>Projected</v>
      </c>
      <c r="K6" s="337" t="str">
        <f>Assumptions!J85</f>
        <v>Projected</v>
      </c>
    </row>
    <row r="7" spans="1:13" s="92" customFormat="1" ht="59.25" customHeight="1" thickBot="1">
      <c r="A7" s="817"/>
      <c r="B7" s="819"/>
      <c r="C7" s="220"/>
      <c r="D7" s="220" t="str">
        <f>Assumptions!I78</f>
        <v>2024-25</v>
      </c>
      <c r="E7" s="220" t="str">
        <f>Assumptions!I79</f>
        <v>2025-26</v>
      </c>
      <c r="F7" s="220" t="str">
        <f>Assumptions!I80</f>
        <v>2026-27</v>
      </c>
      <c r="G7" s="220" t="str">
        <f>Assumptions!I81</f>
        <v>2027-28</v>
      </c>
      <c r="H7" s="220" t="str">
        <f>Assumptions!I82</f>
        <v>2028-29</v>
      </c>
      <c r="I7" s="220" t="str">
        <f>Assumptions!I83</f>
        <v>2029-30</v>
      </c>
      <c r="J7" s="220" t="str">
        <f>Assumptions!I84</f>
        <v>2030-31</v>
      </c>
      <c r="K7" s="220" t="str">
        <f>Assumptions!I85</f>
        <v>2031-32</v>
      </c>
    </row>
    <row r="8" spans="1:13" s="92" customFormat="1" ht="26.4" thickTop="1">
      <c r="A8" s="93"/>
      <c r="B8" s="94"/>
      <c r="C8" s="95"/>
    </row>
    <row r="9" spans="1:13" s="92" customFormat="1">
      <c r="A9" s="251" t="s">
        <v>314</v>
      </c>
      <c r="B9" s="94"/>
      <c r="C9" s="95"/>
    </row>
    <row r="10" spans="1:13" s="92" customFormat="1" hidden="1">
      <c r="A10" s="96"/>
      <c r="B10" s="94"/>
      <c r="C10" s="95"/>
      <c r="D10" s="98"/>
      <c r="E10" s="98"/>
    </row>
    <row r="11" spans="1:13" s="92" customFormat="1" ht="33" hidden="1" customHeight="1">
      <c r="A11" s="90"/>
      <c r="B11" s="90"/>
      <c r="C11" s="90"/>
      <c r="D11" s="89"/>
      <c r="E11" s="89"/>
      <c r="F11" s="89"/>
      <c r="G11" s="89"/>
      <c r="H11" s="89"/>
      <c r="I11" s="89"/>
      <c r="J11" s="89"/>
      <c r="K11" s="89"/>
    </row>
    <row r="12" spans="1:13" s="92" customFormat="1" ht="33" hidden="1" customHeight="1">
      <c r="A12" s="90"/>
      <c r="B12" s="90"/>
      <c r="C12" s="90"/>
      <c r="D12" s="89"/>
      <c r="E12" s="89"/>
      <c r="F12" s="89"/>
      <c r="G12" s="89"/>
      <c r="H12" s="89"/>
      <c r="I12" s="89"/>
      <c r="J12" s="89"/>
      <c r="K12" s="89"/>
    </row>
    <row r="13" spans="1:13" s="92" customFormat="1" ht="33" customHeight="1">
      <c r="A13" s="90"/>
      <c r="B13" s="90"/>
      <c r="C13" s="90"/>
      <c r="D13" s="90"/>
      <c r="E13" s="90"/>
      <c r="F13" s="90"/>
    </row>
    <row r="14" spans="1:13" ht="38.25" customHeight="1">
      <c r="A14" s="92" t="s">
        <v>333</v>
      </c>
      <c r="C14" s="92"/>
      <c r="D14" s="98">
        <f>'Final workings'!B7</f>
        <v>27534150000</v>
      </c>
      <c r="E14" s="98">
        <f>'Final workings'!C7</f>
        <v>-8573600000</v>
      </c>
      <c r="F14" s="98">
        <f>'Final workings'!D7</f>
        <v>44750180000</v>
      </c>
      <c r="G14" s="98">
        <f>'Final workings'!E7</f>
        <v>46822650000</v>
      </c>
      <c r="H14" s="98">
        <f>'Final workings'!F7</f>
        <v>48895300000</v>
      </c>
      <c r="I14" s="98">
        <f>'Final workings'!G7</f>
        <v>50967900000</v>
      </c>
      <c r="J14" s="98">
        <f>'Final workings'!H7</f>
        <v>53040460000</v>
      </c>
      <c r="K14" s="98">
        <f>'Final workings'!I7</f>
        <v>55112960000</v>
      </c>
      <c r="M14" s="89"/>
    </row>
    <row r="16" spans="1:13" ht="35.25" hidden="1" customHeight="1">
      <c r="A16" s="90" t="s">
        <v>1</v>
      </c>
      <c r="D16" s="89">
        <v>0</v>
      </c>
      <c r="E16" s="89" t="e">
        <f t="shared" ref="E16:K16" si="0">D18</f>
        <v>#REF!</v>
      </c>
      <c r="F16" s="89" t="e">
        <f t="shared" si="0"/>
        <v>#REF!</v>
      </c>
      <c r="G16" s="89" t="e">
        <f t="shared" si="0"/>
        <v>#REF!</v>
      </c>
      <c r="H16" s="89" t="e">
        <f t="shared" si="0"/>
        <v>#REF!</v>
      </c>
      <c r="I16" s="89" t="e">
        <f t="shared" si="0"/>
        <v>#REF!</v>
      </c>
      <c r="J16" s="89" t="e">
        <f t="shared" si="0"/>
        <v>#REF!</v>
      </c>
      <c r="K16" s="89" t="e">
        <f t="shared" si="0"/>
        <v>#REF!</v>
      </c>
    </row>
    <row r="17" spans="1:13" ht="37.5" hidden="1" customHeight="1">
      <c r="A17" s="90" t="s">
        <v>313</v>
      </c>
      <c r="C17" s="89"/>
      <c r="D17" s="89" t="e">
        <f>D11*Assumptions!#REF!</f>
        <v>#REF!</v>
      </c>
      <c r="E17" s="89" t="e">
        <f>E11*Assumptions!#REF!</f>
        <v>#REF!</v>
      </c>
      <c r="F17" s="89" t="e">
        <f>F11*Assumptions!#REF!</f>
        <v>#REF!</v>
      </c>
      <c r="G17" s="89" t="e">
        <f>G11*Assumptions!#REF!</f>
        <v>#REF!</v>
      </c>
      <c r="H17" s="89" t="e">
        <f>H11*Assumptions!#REF!</f>
        <v>#REF!</v>
      </c>
      <c r="I17" s="89" t="e">
        <f>I11*Assumptions!#REF!</f>
        <v>#REF!</v>
      </c>
      <c r="J17" s="89" t="e">
        <f>J11*Assumptions!#REF!</f>
        <v>#REF!</v>
      </c>
      <c r="K17" s="89" t="e">
        <f>J17*Assumptions!#REF!</f>
        <v>#REF!</v>
      </c>
      <c r="L17" s="89"/>
    </row>
    <row r="18" spans="1:13" ht="36" hidden="1" customHeight="1">
      <c r="A18" s="90" t="s">
        <v>2</v>
      </c>
      <c r="C18" s="89"/>
      <c r="D18" s="89" t="e">
        <f>Assumptions!#REF!*D11</f>
        <v>#REF!</v>
      </c>
      <c r="E18" s="89" t="e">
        <f>Assumptions!#REF!*E11</f>
        <v>#REF!</v>
      </c>
      <c r="F18" s="89" t="e">
        <f>Assumptions!#REF!*F11</f>
        <v>#REF!</v>
      </c>
      <c r="G18" s="89" t="e">
        <f>Assumptions!#REF!*G11</f>
        <v>#REF!</v>
      </c>
      <c r="H18" s="89" t="e">
        <f>Assumptions!#REF!*H11</f>
        <v>#REF!</v>
      </c>
      <c r="I18" s="89" t="e">
        <f>Assumptions!#REF!*I11</f>
        <v>#REF!</v>
      </c>
      <c r="J18" s="89" t="e">
        <f>Assumptions!#REF!*J11</f>
        <v>#REF!</v>
      </c>
      <c r="K18" s="89" t="e">
        <f>Assumptions!#REF!*K11</f>
        <v>#REF!</v>
      </c>
      <c r="M18" s="138"/>
    </row>
    <row r="19" spans="1:13" ht="36" customHeight="1">
      <c r="A19" s="92" t="s">
        <v>582</v>
      </c>
      <c r="C19" s="89"/>
      <c r="D19" s="89"/>
      <c r="E19" s="89"/>
      <c r="F19" s="89"/>
      <c r="G19" s="89"/>
      <c r="H19" s="89"/>
      <c r="I19" s="89"/>
      <c r="J19" s="89"/>
      <c r="K19" s="89"/>
      <c r="M19" s="138"/>
    </row>
    <row r="20" spans="1:13" ht="36" customHeight="1">
      <c r="A20" s="90" t="s">
        <v>1</v>
      </c>
      <c r="C20" s="89"/>
      <c r="D20" s="89">
        <f>Assumptions!F124</f>
        <v>0</v>
      </c>
      <c r="E20" s="89">
        <f>D22</f>
        <v>6669760000</v>
      </c>
      <c r="F20" s="89">
        <f t="shared" ref="F20:K20" si="1">E22</f>
        <v>58500000000</v>
      </c>
      <c r="G20" s="89">
        <f t="shared" si="1"/>
        <v>59085000000</v>
      </c>
      <c r="H20" s="89">
        <f t="shared" si="1"/>
        <v>59675850000</v>
      </c>
      <c r="I20" s="89">
        <f t="shared" si="1"/>
        <v>60272610000</v>
      </c>
      <c r="J20" s="89">
        <f t="shared" si="1"/>
        <v>60875330000</v>
      </c>
      <c r="K20" s="89">
        <f t="shared" si="1"/>
        <v>61484090000</v>
      </c>
      <c r="M20" s="89"/>
    </row>
    <row r="21" spans="1:13" ht="36" customHeight="1">
      <c r="A21" s="90" t="s">
        <v>461</v>
      </c>
      <c r="C21" s="89"/>
      <c r="D21" s="89">
        <f>'Final workings'!B8*(100%+'Final workings'!I55)</f>
        <v>22232540000</v>
      </c>
      <c r="E21" s="89">
        <f>'Final workings'!C8*(100%+'Final workings'!I55)</f>
        <v>28116810000</v>
      </c>
      <c r="F21" s="89">
        <f>'Final workings'!D8*(100%+'Final workings'!I55)</f>
        <v>29467870000</v>
      </c>
      <c r="G21" s="89">
        <f>'Final workings'!E8*(100%+'Final workings'!I55)</f>
        <v>30818780000</v>
      </c>
      <c r="H21" s="89">
        <f>'Final workings'!F8*(100%+'Final workings'!I55)</f>
        <v>32169840000</v>
      </c>
      <c r="I21" s="89">
        <f>'Final workings'!G8*(100%+'Final workings'!I55)</f>
        <v>33520910000</v>
      </c>
      <c r="J21" s="89">
        <f>'Final workings'!H8*(100%+'Final workings'!I55)</f>
        <v>34871990000</v>
      </c>
      <c r="K21" s="89">
        <f>'Final workings'!I8*(100%+'Final workings'!I55)</f>
        <v>36223070000</v>
      </c>
      <c r="M21" s="89"/>
    </row>
    <row r="22" spans="1:13" ht="36" customHeight="1">
      <c r="A22" s="90" t="s">
        <v>363</v>
      </c>
      <c r="C22" s="89"/>
      <c r="D22" s="89">
        <f>'Final workings'!B9</f>
        <v>6669760000</v>
      </c>
      <c r="E22" s="89">
        <f>'Final workings'!C9</f>
        <v>58500000000</v>
      </c>
      <c r="F22" s="89">
        <f>'Final workings'!D9</f>
        <v>59085000000</v>
      </c>
      <c r="G22" s="89">
        <f>'Final workings'!E9</f>
        <v>59675850000</v>
      </c>
      <c r="H22" s="89">
        <f>'Final workings'!F9</f>
        <v>60272610000</v>
      </c>
      <c r="I22" s="89">
        <f>'Final workings'!G9</f>
        <v>60875330000</v>
      </c>
      <c r="J22" s="89">
        <f>'Final workings'!H9</f>
        <v>61484090000</v>
      </c>
      <c r="K22" s="89">
        <f>'Final workings'!I9</f>
        <v>62098930000</v>
      </c>
      <c r="M22" s="89"/>
    </row>
    <row r="23" spans="1:13" ht="36" customHeight="1">
      <c r="A23" s="92" t="s">
        <v>583</v>
      </c>
      <c r="B23" s="92"/>
      <c r="C23" s="98"/>
      <c r="D23" s="98">
        <f t="shared" ref="D23:K23" si="2">D20+D21-D22</f>
        <v>15562780000</v>
      </c>
      <c r="E23" s="98">
        <f t="shared" si="2"/>
        <v>-23713430000</v>
      </c>
      <c r="F23" s="98">
        <f t="shared" si="2"/>
        <v>28882870000</v>
      </c>
      <c r="G23" s="98">
        <f t="shared" si="2"/>
        <v>30227930000</v>
      </c>
      <c r="H23" s="98">
        <f t="shared" si="2"/>
        <v>31573080000</v>
      </c>
      <c r="I23" s="98">
        <f t="shared" si="2"/>
        <v>32918190000</v>
      </c>
      <c r="J23" s="98">
        <f t="shared" si="2"/>
        <v>34263230000</v>
      </c>
      <c r="K23" s="98">
        <f t="shared" si="2"/>
        <v>35608230000</v>
      </c>
      <c r="M23" s="89"/>
    </row>
    <row r="24" spans="1:13" ht="36" customHeight="1">
      <c r="C24" s="89"/>
      <c r="D24" s="89"/>
      <c r="E24" s="89"/>
      <c r="F24" s="89"/>
      <c r="G24" s="89"/>
      <c r="H24" s="89"/>
      <c r="I24" s="89"/>
      <c r="J24" s="89"/>
      <c r="K24" s="89"/>
      <c r="M24" s="89"/>
    </row>
    <row r="25" spans="1:13" ht="36" customHeight="1">
      <c r="A25" s="92" t="s">
        <v>364</v>
      </c>
      <c r="B25" s="92"/>
      <c r="C25" s="98"/>
      <c r="D25" s="98">
        <f>D14-D23</f>
        <v>11971370000</v>
      </c>
      <c r="E25" s="98">
        <f t="shared" ref="E25:K25" si="3">E14-E23</f>
        <v>15139830000</v>
      </c>
      <c r="F25" s="98">
        <f t="shared" si="3"/>
        <v>15867310000</v>
      </c>
      <c r="G25" s="98">
        <f t="shared" si="3"/>
        <v>16594720000</v>
      </c>
      <c r="H25" s="98">
        <f t="shared" si="3"/>
        <v>17322220000</v>
      </c>
      <c r="I25" s="98">
        <f t="shared" si="3"/>
        <v>18049710000</v>
      </c>
      <c r="J25" s="98">
        <f t="shared" si="3"/>
        <v>18777230000</v>
      </c>
      <c r="K25" s="98">
        <f t="shared" si="3"/>
        <v>19504730000</v>
      </c>
      <c r="L25" s="89"/>
      <c r="M25" s="89"/>
    </row>
    <row r="26" spans="1:13" ht="36" customHeight="1">
      <c r="C26" s="89"/>
      <c r="D26" s="89"/>
      <c r="E26" s="89"/>
      <c r="F26" s="89"/>
      <c r="G26" s="89"/>
      <c r="H26" s="89"/>
      <c r="I26" s="89"/>
      <c r="J26" s="89"/>
      <c r="K26" s="89"/>
      <c r="M26" s="89"/>
    </row>
    <row r="27" spans="1:13" ht="36" customHeight="1">
      <c r="A27" s="92" t="s">
        <v>334</v>
      </c>
      <c r="C27" s="89"/>
      <c r="D27" s="89"/>
      <c r="E27" s="89"/>
      <c r="F27" s="89"/>
      <c r="G27" s="89"/>
      <c r="H27" s="89"/>
      <c r="I27" s="89"/>
      <c r="J27" s="89"/>
      <c r="K27" s="89"/>
      <c r="M27" s="89"/>
    </row>
    <row r="28" spans="1:13" ht="62.25" customHeight="1">
      <c r="A28" s="277" t="s">
        <v>354</v>
      </c>
      <c r="B28" s="99" t="s">
        <v>23</v>
      </c>
      <c r="C28" s="89"/>
      <c r="D28" s="89">
        <f>D52</f>
        <v>1310000</v>
      </c>
      <c r="E28" s="89">
        <f t="shared" ref="E28:K28" si="4">E52</f>
        <v>1570000</v>
      </c>
      <c r="F28" s="89">
        <f t="shared" si="4"/>
        <v>1650000</v>
      </c>
      <c r="G28" s="89">
        <f t="shared" si="4"/>
        <v>1650000</v>
      </c>
      <c r="H28" s="89">
        <f t="shared" si="4"/>
        <v>1730000</v>
      </c>
      <c r="I28" s="89">
        <f t="shared" si="4"/>
        <v>1820000</v>
      </c>
      <c r="J28" s="89">
        <f t="shared" si="4"/>
        <v>1910000</v>
      </c>
      <c r="K28" s="89">
        <f t="shared" si="4"/>
        <v>2010000</v>
      </c>
      <c r="L28" s="138"/>
      <c r="M28" s="138"/>
    </row>
    <row r="29" spans="1:13" ht="43.5" customHeight="1">
      <c r="B29" s="99"/>
      <c r="C29" s="111"/>
      <c r="D29" s="138"/>
      <c r="E29" s="138"/>
      <c r="F29" s="138"/>
      <c r="G29" s="138"/>
      <c r="H29" s="138"/>
      <c r="I29" s="138"/>
      <c r="J29" s="138"/>
      <c r="K29" s="138"/>
    </row>
    <row r="30" spans="1:13" ht="43.5" customHeight="1">
      <c r="A30" s="97" t="s">
        <v>133</v>
      </c>
      <c r="B30" s="99"/>
      <c r="C30" s="100"/>
      <c r="D30" s="100">
        <f>D25-D28</f>
        <v>11970060000</v>
      </c>
      <c r="E30" s="100">
        <f t="shared" ref="E30:K30" si="5">E25-E28</f>
        <v>15138260000</v>
      </c>
      <c r="F30" s="100">
        <f t="shared" si="5"/>
        <v>15865660000</v>
      </c>
      <c r="G30" s="100">
        <f t="shared" si="5"/>
        <v>16593070000</v>
      </c>
      <c r="H30" s="100">
        <f t="shared" si="5"/>
        <v>17320490000</v>
      </c>
      <c r="I30" s="100">
        <f t="shared" si="5"/>
        <v>18047890000</v>
      </c>
      <c r="J30" s="100">
        <f t="shared" si="5"/>
        <v>18775320000</v>
      </c>
      <c r="K30" s="100">
        <f t="shared" si="5"/>
        <v>19502720000</v>
      </c>
      <c r="L30" s="89"/>
    </row>
    <row r="31" spans="1:13" ht="31.5" customHeight="1">
      <c r="A31" s="92"/>
      <c r="B31" s="99"/>
      <c r="C31" s="89"/>
      <c r="D31" s="89"/>
      <c r="E31" s="89"/>
      <c r="F31" s="89"/>
    </row>
    <row r="32" spans="1:13" ht="43.5" customHeight="1">
      <c r="A32" s="90" t="s">
        <v>134</v>
      </c>
      <c r="B32" s="99"/>
      <c r="C32" s="111"/>
      <c r="D32" s="89">
        <f>'Dep IT act'!M17*100000</f>
        <v>916666666.66666663</v>
      </c>
      <c r="E32" s="111">
        <f>'Dep IT act'!M24*100000</f>
        <v>964583333.33333337</v>
      </c>
      <c r="F32" s="111">
        <f>'Dep IT act'!M31*100000</f>
        <v>822187500</v>
      </c>
      <c r="G32" s="111">
        <f>'Dep IT act'!M38*100000</f>
        <v>700921875</v>
      </c>
      <c r="H32" s="111">
        <f>'Dep IT act'!M45*100000</f>
        <v>597639843.75</v>
      </c>
      <c r="I32" s="89">
        <f>'Dep IT act'!M52*100000</f>
        <v>509664492.18749994</v>
      </c>
      <c r="J32" s="89">
        <f>'Dep IT act'!M59*100000</f>
        <v>434718380.859375</v>
      </c>
      <c r="K32" s="89">
        <f>'Dep IT act'!M66*100000</f>
        <v>370863829.98046875</v>
      </c>
      <c r="L32" s="138"/>
      <c r="M32" s="138"/>
    </row>
    <row r="33" spans="1:13" s="101" customFormat="1" ht="57.75" customHeight="1">
      <c r="A33" s="97" t="s">
        <v>132</v>
      </c>
      <c r="C33" s="100"/>
      <c r="D33" s="100">
        <f>D30-D32</f>
        <v>11053393333.333334</v>
      </c>
      <c r="E33" s="100">
        <f t="shared" ref="E33:K33" si="6">E30-E32</f>
        <v>14173676666.666666</v>
      </c>
      <c r="F33" s="100">
        <f t="shared" si="6"/>
        <v>15043472500</v>
      </c>
      <c r="G33" s="100">
        <f t="shared" si="6"/>
        <v>15892148125</v>
      </c>
      <c r="H33" s="100">
        <f t="shared" si="6"/>
        <v>16722850156.25</v>
      </c>
      <c r="I33" s="100">
        <f t="shared" si="6"/>
        <v>17538225507.8125</v>
      </c>
      <c r="J33" s="100">
        <f t="shared" si="6"/>
        <v>18340601619.140625</v>
      </c>
      <c r="K33" s="100">
        <f t="shared" si="6"/>
        <v>19131856170.019531</v>
      </c>
    </row>
    <row r="34" spans="1:13" ht="31.5" customHeight="1">
      <c r="A34" s="92"/>
      <c r="C34" s="89"/>
      <c r="D34" s="89"/>
      <c r="E34" s="89"/>
      <c r="F34" s="89"/>
    </row>
    <row r="35" spans="1:13" ht="40.5" customHeight="1">
      <c r="A35" s="90" t="s">
        <v>20</v>
      </c>
      <c r="B35" s="99" t="s">
        <v>25</v>
      </c>
      <c r="C35" s="89"/>
      <c r="D35" s="89">
        <f>D61</f>
        <v>5094125000</v>
      </c>
      <c r="E35" s="89">
        <f t="shared" ref="E35:K35" si="7">E61</f>
        <v>5874124999.9999981</v>
      </c>
      <c r="F35" s="89">
        <f t="shared" si="7"/>
        <v>5727124999.999999</v>
      </c>
      <c r="G35" s="89">
        <f t="shared" si="7"/>
        <v>5607259999.9999981</v>
      </c>
      <c r="H35" s="89">
        <f t="shared" si="7"/>
        <v>5502843174.9999971</v>
      </c>
      <c r="I35" s="89">
        <f t="shared" si="7"/>
        <v>5508812703.3749962</v>
      </c>
      <c r="J35" s="89">
        <f t="shared" si="7"/>
        <v>5536356766.8918705</v>
      </c>
      <c r="K35" s="89">
        <f t="shared" si="7"/>
        <v>5564038550.7263288</v>
      </c>
      <c r="L35" s="138"/>
      <c r="M35" s="138"/>
    </row>
    <row r="36" spans="1:13" ht="30" customHeight="1"/>
    <row r="37" spans="1:13" s="92" customFormat="1" ht="48" customHeight="1" thickBot="1">
      <c r="A37" s="102" t="s">
        <v>377</v>
      </c>
      <c r="B37" s="103"/>
      <c r="C37" s="104"/>
      <c r="D37" s="104">
        <f>D33-D35</f>
        <v>5959268333.333334</v>
      </c>
      <c r="E37" s="104">
        <f>E33-E35</f>
        <v>8299551666.6666679</v>
      </c>
      <c r="F37" s="104">
        <f t="shared" ref="F37:K37" si="8">F33-F35</f>
        <v>9316347500</v>
      </c>
      <c r="G37" s="104">
        <f t="shared" si="8"/>
        <v>10284888125.000002</v>
      </c>
      <c r="H37" s="104">
        <f t="shared" si="8"/>
        <v>11220006981.250004</v>
      </c>
      <c r="I37" s="104">
        <f t="shared" si="8"/>
        <v>12029412804.437504</v>
      </c>
      <c r="J37" s="104">
        <f t="shared" si="8"/>
        <v>12804244852.248755</v>
      </c>
      <c r="K37" s="104">
        <f t="shared" si="8"/>
        <v>13567817619.293201</v>
      </c>
      <c r="L37" s="141"/>
      <c r="M37" s="141"/>
    </row>
    <row r="38" spans="1:13" s="92" customFormat="1" ht="35.25" customHeight="1" thickTop="1">
      <c r="A38" s="102"/>
      <c r="B38" s="103"/>
      <c r="C38" s="125"/>
      <c r="D38" s="125"/>
      <c r="E38" s="125"/>
      <c r="F38" s="125"/>
      <c r="G38" s="125"/>
      <c r="H38" s="125"/>
      <c r="I38" s="125"/>
      <c r="J38" s="125"/>
      <c r="K38" s="125"/>
    </row>
    <row r="39" spans="1:13" ht="26.4" thickBot="1">
      <c r="A39" s="105"/>
      <c r="B39" s="105"/>
      <c r="C39" s="105"/>
      <c r="D39" s="105"/>
      <c r="E39" s="105"/>
      <c r="F39" s="105"/>
      <c r="G39" s="105"/>
      <c r="H39" s="105"/>
      <c r="I39" s="105"/>
      <c r="J39" s="105"/>
      <c r="K39" s="105"/>
    </row>
    <row r="41" spans="1:13" ht="25.5" customHeight="1">
      <c r="A41" s="93"/>
      <c r="B41" s="93"/>
      <c r="C41" s="93"/>
    </row>
    <row r="42" spans="1:13" ht="30" customHeight="1">
      <c r="A42" s="873" t="s">
        <v>477</v>
      </c>
      <c r="B42" s="873"/>
      <c r="C42" s="873"/>
      <c r="D42" s="873"/>
      <c r="E42" s="873"/>
      <c r="F42" s="873"/>
      <c r="G42" s="873"/>
      <c r="H42" s="873"/>
      <c r="I42" s="873"/>
      <c r="J42" s="873"/>
      <c r="K42" s="873"/>
    </row>
    <row r="43" spans="1:13" ht="65.25" customHeight="1" thickBot="1">
      <c r="A43" s="221"/>
      <c r="B43" s="221"/>
      <c r="C43" s="222"/>
      <c r="D43" s="222" t="str">
        <f>Assumptions!I78</f>
        <v>2024-25</v>
      </c>
      <c r="E43" s="223" t="str">
        <f>Assumptions!I79</f>
        <v>2025-26</v>
      </c>
      <c r="F43" s="223" t="str">
        <f>Assumptions!I80</f>
        <v>2026-27</v>
      </c>
      <c r="G43" s="223" t="str">
        <f>Assumptions!I81</f>
        <v>2027-28</v>
      </c>
      <c r="H43" s="223" t="str">
        <f>Assumptions!I82</f>
        <v>2028-29</v>
      </c>
      <c r="I43" s="223" t="str">
        <f>Assumptions!I83</f>
        <v>2029-30</v>
      </c>
      <c r="J43" s="223" t="str">
        <f>Assumptions!I84</f>
        <v>2030-31</v>
      </c>
      <c r="K43" s="223" t="str">
        <f>Assumptions!I85</f>
        <v>2031-32</v>
      </c>
    </row>
    <row r="44" spans="1:13" ht="26.4" thickTop="1"/>
    <row r="45" spans="1:13" ht="33.75" customHeight="1">
      <c r="A45" s="90" t="str">
        <f>'workings-Sensitivity Analysis1'!A45</f>
        <v>Employee Related Expenses (Editable)</v>
      </c>
      <c r="C45" s="89"/>
      <c r="D45" s="89">
        <f>'Final workings'!B10</f>
        <v>1310000</v>
      </c>
      <c r="E45" s="89">
        <f>'Final workings'!C10</f>
        <v>1570000</v>
      </c>
      <c r="F45" s="89">
        <f>'Final workings'!D10</f>
        <v>1650000</v>
      </c>
      <c r="G45" s="89">
        <f>'Final workings'!E10</f>
        <v>1650000</v>
      </c>
      <c r="H45" s="89">
        <f>'Final workings'!F10</f>
        <v>1730000</v>
      </c>
      <c r="I45" s="89">
        <f>'Final workings'!G10</f>
        <v>1820000</v>
      </c>
      <c r="J45" s="89">
        <f>'Final workings'!H10</f>
        <v>1910000</v>
      </c>
      <c r="K45" s="89">
        <f>'Final workings'!I10</f>
        <v>2010000</v>
      </c>
    </row>
    <row r="46" spans="1:13" ht="36.75" customHeight="1">
      <c r="A46" s="90" t="str">
        <f>'workings-Sensitivity Analysis1'!A46</f>
        <v>Administrative &amp; Office Expenses (Editable)</v>
      </c>
      <c r="C46" s="89"/>
      <c r="D46" s="89">
        <f>'Final workings'!B11</f>
        <v>0</v>
      </c>
      <c r="E46" s="89">
        <f>'Final workings'!C11</f>
        <v>0</v>
      </c>
      <c r="F46" s="89">
        <f>'Final workings'!D11</f>
        <v>0</v>
      </c>
      <c r="G46" s="89">
        <f>'Final workings'!E11</f>
        <v>0</v>
      </c>
      <c r="H46" s="89">
        <f>'Final workings'!F11</f>
        <v>0</v>
      </c>
      <c r="I46" s="89">
        <f>'Final workings'!G11</f>
        <v>0</v>
      </c>
      <c r="J46" s="89">
        <f>'Final workings'!H11</f>
        <v>0</v>
      </c>
      <c r="K46" s="89">
        <f>'Final workings'!I11</f>
        <v>0</v>
      </c>
    </row>
    <row r="47" spans="1:13" ht="33.75" customHeight="1">
      <c r="A47" s="90" t="str">
        <f>'workings-Sensitivity Analysis1'!A47</f>
        <v>Selling and Distribution Expenses (Editable)</v>
      </c>
      <c r="C47" s="89"/>
      <c r="D47" s="89">
        <f>'Final workings'!B12</f>
        <v>0</v>
      </c>
      <c r="E47" s="89">
        <f>'Final workings'!C12</f>
        <v>0</v>
      </c>
      <c r="F47" s="89">
        <f>'Final workings'!D12</f>
        <v>0</v>
      </c>
      <c r="G47" s="89">
        <f>'Final workings'!E12</f>
        <v>0</v>
      </c>
      <c r="H47" s="89">
        <f>'Final workings'!F12</f>
        <v>0</v>
      </c>
      <c r="I47" s="89">
        <f>'Final workings'!G12</f>
        <v>0</v>
      </c>
      <c r="J47" s="89">
        <f>'Final workings'!H12</f>
        <v>0</v>
      </c>
      <c r="K47" s="89">
        <f>'Final workings'!I12</f>
        <v>0</v>
      </c>
    </row>
    <row r="48" spans="1:13" ht="33.75" customHeight="1">
      <c r="A48" s="90" t="str">
        <f>'workings-Sensitivity Analysis1'!A48</f>
        <v>General Overheads (Editable)</v>
      </c>
      <c r="C48" s="89"/>
      <c r="D48" s="89">
        <f>'Final workings'!B13</f>
        <v>0</v>
      </c>
      <c r="E48" s="89">
        <f>'Final workings'!C13</f>
        <v>0</v>
      </c>
      <c r="F48" s="89">
        <f>'Final workings'!D13</f>
        <v>0</v>
      </c>
      <c r="G48" s="89">
        <f>'Final workings'!E13</f>
        <v>0</v>
      </c>
      <c r="H48" s="89">
        <f>'Final workings'!F13</f>
        <v>0</v>
      </c>
      <c r="I48" s="89">
        <f>'Final workings'!G13</f>
        <v>0</v>
      </c>
      <c r="J48" s="89">
        <f>'Final workings'!H13</f>
        <v>0</v>
      </c>
      <c r="K48" s="89">
        <f>'Final workings'!I13</f>
        <v>0</v>
      </c>
    </row>
    <row r="49" spans="1:11" ht="33.75" customHeight="1">
      <c r="A49" s="90" t="str">
        <f>'workings-Sensitivity Analysis1'!A49</f>
        <v>Miscellaneous Expenses</v>
      </c>
      <c r="C49" s="89"/>
      <c r="D49" s="89">
        <f>'Final workings'!B14</f>
        <v>0</v>
      </c>
      <c r="E49" s="89">
        <f>'Final workings'!C14</f>
        <v>0</v>
      </c>
      <c r="F49" s="89">
        <f>'Final workings'!D14</f>
        <v>0</v>
      </c>
      <c r="G49" s="89">
        <f>'Final workings'!E14</f>
        <v>0</v>
      </c>
      <c r="H49" s="89">
        <f>'Final workings'!F14</f>
        <v>0</v>
      </c>
      <c r="I49" s="89">
        <f>'Final workings'!G14</f>
        <v>0</v>
      </c>
      <c r="J49" s="89">
        <f>'Final workings'!H14</f>
        <v>0</v>
      </c>
      <c r="K49" s="89">
        <f>'Final workings'!I14</f>
        <v>0</v>
      </c>
    </row>
    <row r="50" spans="1:11" ht="33.75" customHeight="1">
      <c r="C50" s="89"/>
      <c r="D50" s="89"/>
      <c r="E50" s="89"/>
      <c r="F50" s="89"/>
      <c r="G50" s="89"/>
      <c r="H50" s="89"/>
      <c r="I50" s="89"/>
      <c r="J50" s="89"/>
      <c r="K50" s="89"/>
    </row>
    <row r="51" spans="1:11" ht="33.75" customHeight="1">
      <c r="C51" s="89"/>
      <c r="D51" s="89"/>
      <c r="E51" s="89"/>
      <c r="F51" s="89"/>
      <c r="G51" s="89"/>
      <c r="H51" s="89"/>
      <c r="I51" s="89"/>
      <c r="J51" s="89"/>
      <c r="K51" s="89"/>
    </row>
    <row r="52" spans="1:11" ht="50.25" customHeight="1" thickBot="1">
      <c r="C52" s="109"/>
      <c r="D52" s="109">
        <f>SUM(D44:D51)</f>
        <v>1310000</v>
      </c>
      <c r="E52" s="109">
        <f t="shared" ref="E52:K52" si="9">SUM(E44:E51)</f>
        <v>1570000</v>
      </c>
      <c r="F52" s="109">
        <f t="shared" si="9"/>
        <v>1650000</v>
      </c>
      <c r="G52" s="109">
        <f t="shared" si="9"/>
        <v>1650000</v>
      </c>
      <c r="H52" s="109">
        <f t="shared" si="9"/>
        <v>1730000</v>
      </c>
      <c r="I52" s="109">
        <f t="shared" si="9"/>
        <v>1820000</v>
      </c>
      <c r="J52" s="109">
        <f t="shared" si="9"/>
        <v>1910000</v>
      </c>
      <c r="K52" s="109">
        <f t="shared" si="9"/>
        <v>2010000</v>
      </c>
    </row>
    <row r="53" spans="1:11" ht="41.25" customHeight="1" thickTop="1">
      <c r="C53" s="94"/>
    </row>
    <row r="54" spans="1:11" ht="40.5" customHeight="1">
      <c r="A54" s="873" t="s">
        <v>476</v>
      </c>
      <c r="B54" s="873"/>
      <c r="C54" s="873"/>
      <c r="D54" s="873"/>
      <c r="E54" s="873"/>
      <c r="F54" s="873"/>
      <c r="G54" s="873"/>
      <c r="H54" s="873"/>
      <c r="I54" s="873"/>
      <c r="J54" s="873"/>
      <c r="K54" s="873"/>
    </row>
    <row r="55" spans="1:11" ht="60.75" customHeight="1" thickBot="1">
      <c r="A55" s="221"/>
      <c r="B55" s="221"/>
      <c r="C55" s="222"/>
      <c r="D55" s="222" t="str">
        <f>Assumptions!I78</f>
        <v>2024-25</v>
      </c>
      <c r="E55" s="223" t="str">
        <f>Assumptions!I79</f>
        <v>2025-26</v>
      </c>
      <c r="F55" s="223" t="str">
        <f>Assumptions!I80</f>
        <v>2026-27</v>
      </c>
      <c r="G55" s="223" t="str">
        <f>Assumptions!I81</f>
        <v>2027-28</v>
      </c>
      <c r="H55" s="223" t="str">
        <f>Assumptions!I82</f>
        <v>2028-29</v>
      </c>
      <c r="I55" s="223" t="str">
        <f>Assumptions!I83</f>
        <v>2029-30</v>
      </c>
      <c r="J55" s="223" t="str">
        <f>Assumptions!I84</f>
        <v>2030-31</v>
      </c>
      <c r="K55" s="223" t="str">
        <f>Assumptions!I85</f>
        <v>2031-32</v>
      </c>
    </row>
    <row r="56" spans="1:11" ht="32.25" customHeight="1" thickTop="1">
      <c r="A56" s="93"/>
      <c r="B56" s="93"/>
      <c r="C56" s="95"/>
      <c r="D56" s="95"/>
      <c r="E56" s="95"/>
      <c r="F56" s="95"/>
    </row>
    <row r="57" spans="1:11" ht="33" customHeight="1">
      <c r="C57" s="110"/>
      <c r="D57" s="110"/>
      <c r="E57" s="110"/>
      <c r="F57" s="110"/>
      <c r="G57" s="89"/>
      <c r="H57" s="89"/>
      <c r="I57" s="89"/>
      <c r="J57" s="89"/>
      <c r="K57" s="89"/>
    </row>
    <row r="58" spans="1:11" ht="34.5" customHeight="1">
      <c r="A58" s="90" t="s">
        <v>219</v>
      </c>
      <c r="C58" s="110"/>
      <c r="D58" s="110">
        <f>'WorKings for PL BS 2'!B5</f>
        <v>594124999.99999964</v>
      </c>
      <c r="E58" s="110">
        <f>'WorKings for PL BS 2'!C5</f>
        <v>447124999.99999952</v>
      </c>
      <c r="F58" s="110">
        <f>'WorKings for PL BS 2'!D5</f>
        <v>300124999.99999958</v>
      </c>
      <c r="G58" s="110">
        <f>'WorKings for PL BS 2'!E5</f>
        <v>153124999.99999967</v>
      </c>
      <c r="H58" s="110">
        <f>'WorKings for PL BS 2'!F5</f>
        <v>21437499.999999836</v>
      </c>
      <c r="I58" s="110">
        <f>'WorKings for PL BS 2'!G5</f>
        <v>0</v>
      </c>
      <c r="J58" s="110">
        <f>'WorKings for PL BS 2'!H5</f>
        <v>0</v>
      </c>
      <c r="K58" s="110">
        <f>'WorKings for PL BS 2'!I5</f>
        <v>0</v>
      </c>
    </row>
    <row r="59" spans="1:11" ht="34.5" customHeight="1">
      <c r="A59" s="90" t="s">
        <v>372</v>
      </c>
      <c r="C59" s="110"/>
      <c r="D59" s="110">
        <f>'WorKings for PL BS 2'!B6</f>
        <v>4500000000</v>
      </c>
      <c r="E59" s="110">
        <f>'WorKings for PL BS 2'!C6</f>
        <v>5426999999.999999</v>
      </c>
      <c r="F59" s="110">
        <f>'WorKings for PL BS 2'!D6</f>
        <v>5426999999.999999</v>
      </c>
      <c r="G59" s="110">
        <f>'WorKings for PL BS 2'!E6</f>
        <v>5454134999.9999981</v>
      </c>
      <c r="H59" s="110">
        <f>'WorKings for PL BS 2'!F6</f>
        <v>5481405674.9999971</v>
      </c>
      <c r="I59" s="110">
        <f>'WorKings for PL BS 2'!G6</f>
        <v>5508812703.3749962</v>
      </c>
      <c r="J59" s="110">
        <f>'WorKings for PL BS 2'!H6</f>
        <v>5536356766.8918705</v>
      </c>
      <c r="K59" s="110">
        <f>'WorKings for PL BS 2'!I6</f>
        <v>5564038550.7263288</v>
      </c>
    </row>
    <row r="60" spans="1:11" ht="34.5" customHeight="1">
      <c r="C60" s="110"/>
      <c r="D60" s="110"/>
      <c r="E60" s="110"/>
      <c r="F60" s="89"/>
      <c r="G60" s="89"/>
      <c r="H60" s="89"/>
      <c r="I60" s="89"/>
      <c r="J60" s="89"/>
      <c r="K60" s="89"/>
    </row>
    <row r="61" spans="1:11" ht="46.5" customHeight="1" thickBot="1">
      <c r="C61" s="109"/>
      <c r="D61" s="109">
        <f>SUM(D57:D59)</f>
        <v>5094125000</v>
      </c>
      <c r="E61" s="109">
        <f t="shared" ref="E61:J61" si="10">SUM(E57:E59)</f>
        <v>5874124999.9999981</v>
      </c>
      <c r="F61" s="109">
        <f t="shared" si="10"/>
        <v>5727124999.999999</v>
      </c>
      <c r="G61" s="109">
        <f t="shared" si="10"/>
        <v>5607259999.9999981</v>
      </c>
      <c r="H61" s="109">
        <f t="shared" si="10"/>
        <v>5502843174.9999971</v>
      </c>
      <c r="I61" s="109">
        <f t="shared" si="10"/>
        <v>5508812703.3749962</v>
      </c>
      <c r="J61" s="109">
        <f t="shared" si="10"/>
        <v>5536356766.8918705</v>
      </c>
      <c r="K61" s="109">
        <f>SUM(K57:K59)</f>
        <v>5564038550.7263288</v>
      </c>
    </row>
    <row r="62" spans="1:11" ht="25.5" customHeight="1" thickTop="1">
      <c r="C62" s="94"/>
    </row>
    <row r="63" spans="1:11" ht="25.5" customHeight="1">
      <c r="C63" s="89"/>
      <c r="D63" s="89"/>
      <c r="E63" s="89"/>
      <c r="F63" s="89"/>
      <c r="G63" s="89"/>
      <c r="H63" s="89"/>
      <c r="I63" s="89"/>
      <c r="J63" s="89"/>
      <c r="K63" s="89"/>
    </row>
    <row r="64" spans="1:11">
      <c r="D64" s="89"/>
      <c r="E64" s="89"/>
      <c r="F64" s="89"/>
      <c r="G64" s="89"/>
      <c r="H64" s="89"/>
      <c r="I64" s="89"/>
      <c r="J64" s="89"/>
      <c r="K64" s="89"/>
    </row>
  </sheetData>
  <mergeCells count="9">
    <mergeCell ref="A42:K42"/>
    <mergeCell ref="A54:K54"/>
    <mergeCell ref="A4:K4"/>
    <mergeCell ref="A1:K1"/>
    <mergeCell ref="A2:K2"/>
    <mergeCell ref="A3:K3"/>
    <mergeCell ref="A5:K5"/>
    <mergeCell ref="A6:A7"/>
    <mergeCell ref="B6:B7"/>
  </mergeCells>
  <pageMargins left="0.7" right="0.7" top="0.75" bottom="0.75" header="0.3" footer="0.3"/>
  <pageSetup scale="36" orientation="portrait" horizontalDpi="0" verticalDpi="0" r:id="rId1"/>
  <rowBreaks count="1" manualBreakCount="1">
    <brk id="40" max="1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38</vt:i4>
      </vt:variant>
      <vt:variant>
        <vt:lpstr>Named Ranges</vt:lpstr>
      </vt:variant>
      <vt:variant>
        <vt:i4>30</vt:i4>
      </vt:variant>
    </vt:vector>
  </HeadingPairs>
  <TitlesOfParts>
    <vt:vector size="68" baseType="lpstr">
      <vt:lpstr>CASES</vt:lpstr>
      <vt:lpstr>Assumptions</vt:lpstr>
      <vt:lpstr>Workings for PL BS 1</vt:lpstr>
      <vt:lpstr>WorKings for PL BS 2</vt:lpstr>
      <vt:lpstr>Final workings</vt:lpstr>
      <vt:lpstr>Cover page</vt:lpstr>
      <vt:lpstr>Index</vt:lpstr>
      <vt:lpstr>profile</vt:lpstr>
      <vt:lpstr>Descriptive</vt:lpstr>
      <vt:lpstr>project cost</vt:lpstr>
      <vt:lpstr>PL BS</vt:lpstr>
      <vt:lpstr>RATIO</vt:lpstr>
      <vt:lpstr>Leverage ratios</vt:lpstr>
      <vt:lpstr>Dep IT act</vt:lpstr>
      <vt:lpstr>Loan sch</vt:lpstr>
      <vt:lpstr>Repayment</vt:lpstr>
      <vt:lpstr>CFs</vt:lpstr>
      <vt:lpstr>Funds Flow statement</vt:lpstr>
      <vt:lpstr>MPBF </vt:lpstr>
      <vt:lpstr>Nayak</vt:lpstr>
      <vt:lpstr>IRR</vt:lpstr>
      <vt:lpstr>Gaurantors</vt:lpstr>
      <vt:lpstr>BEP analysis</vt:lpstr>
      <vt:lpstr>Sales</vt:lpstr>
      <vt:lpstr>MIRR</vt:lpstr>
      <vt:lpstr>WACC</vt:lpstr>
      <vt:lpstr>Profitability Index</vt:lpstr>
      <vt:lpstr>NPV</vt:lpstr>
      <vt:lpstr>Payback period I</vt:lpstr>
      <vt:lpstr>Payback period II</vt:lpstr>
      <vt:lpstr>Sensitivity Analysis</vt:lpstr>
      <vt:lpstr>BEP</vt:lpstr>
      <vt:lpstr>FA sch</vt:lpstr>
      <vt:lpstr>Altman Z</vt:lpstr>
      <vt:lpstr>CF workings</vt:lpstr>
      <vt:lpstr>workings-Sensitivity Analysis1</vt:lpstr>
      <vt:lpstr>Graph</vt:lpstr>
      <vt:lpstr>Workings-Sensitivity Analysis2</vt:lpstr>
      <vt:lpstr>'Altman Z'!Print_Area</vt:lpstr>
      <vt:lpstr>BEP!Print_Area</vt:lpstr>
      <vt:lpstr>'CF workings'!Print_Area</vt:lpstr>
      <vt:lpstr>CFs!Print_Area</vt:lpstr>
      <vt:lpstr>'Cover page'!Print_Area</vt:lpstr>
      <vt:lpstr>'Dep IT act'!Print_Area</vt:lpstr>
      <vt:lpstr>'Final workings'!Print_Area</vt:lpstr>
      <vt:lpstr>'Funds Flow statement'!Print_Area</vt:lpstr>
      <vt:lpstr>Index!Print_Area</vt:lpstr>
      <vt:lpstr>IRR!Print_Area</vt:lpstr>
      <vt:lpstr>'Leverage ratios'!Print_Area</vt:lpstr>
      <vt:lpstr>'Loan sch'!Print_Area</vt:lpstr>
      <vt:lpstr>MIRR!Print_Area</vt:lpstr>
      <vt:lpstr>'MPBF '!Print_Area</vt:lpstr>
      <vt:lpstr>Nayak!Print_Area</vt:lpstr>
      <vt:lpstr>NPV!Print_Area</vt:lpstr>
      <vt:lpstr>'Payback period I'!Print_Area</vt:lpstr>
      <vt:lpstr>'Payback period II'!Print_Area</vt:lpstr>
      <vt:lpstr>'PL BS'!Print_Area</vt:lpstr>
      <vt:lpstr>profile!Print_Area</vt:lpstr>
      <vt:lpstr>'Profitability Index'!Print_Area</vt:lpstr>
      <vt:lpstr>'project cost'!Print_Area</vt:lpstr>
      <vt:lpstr>RATIO!Print_Area</vt:lpstr>
      <vt:lpstr>Repayment!Print_Area</vt:lpstr>
      <vt:lpstr>'Sensitivity Analysis'!Print_Area</vt:lpstr>
      <vt:lpstr>WACC!Print_Area</vt:lpstr>
      <vt:lpstr>'Workings for PL BS 1'!Print_Area</vt:lpstr>
      <vt:lpstr>'WorKings for PL BS 2'!Print_Area</vt:lpstr>
      <vt:lpstr>'workings-Sensitivity Analysis1'!Print_Area</vt:lpstr>
      <vt:lpstr>'Workings-Sensitivity Analysis2'!Print_Area</vt:lpstr>
    </vt:vector>
  </TitlesOfParts>
  <Company>Auditing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MSrinivas</dc:creator>
  <cp:lastModifiedBy>MATTA JITHENDRA SAI RAMESH</cp:lastModifiedBy>
  <cp:lastPrinted>2025-11-08T07:32:54Z</cp:lastPrinted>
  <dcterms:created xsi:type="dcterms:W3CDTF">2007-11-14T04:27:01Z</dcterms:created>
  <dcterms:modified xsi:type="dcterms:W3CDTF">2025-12-11T17:11:40Z</dcterms:modified>
</cp:coreProperties>
</file>