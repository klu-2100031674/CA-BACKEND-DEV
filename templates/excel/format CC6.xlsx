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templates\excel\"/>
    </mc:Choice>
  </mc:AlternateContent>
  <xr:revisionPtr revIDLastSave="0" documentId="13_ncr:1_{A3722AB4-A036-49DA-9050-F75E6C5C567F}" xr6:coauthVersionLast="47" xr6:coauthVersionMax="47" xr10:uidLastSave="{00000000-0000-0000-0000-000000000000}"/>
  <bookViews>
    <workbookView xWindow="-108" yWindow="-108" windowWidth="23256" windowHeight="12456" firstSheet="1" activeTab="1" xr2:uid="{C1D2CE5F-AEDA-48D8-8C98-6FF223FABF61}"/>
  </bookViews>
  <sheets>
    <sheet name="Assumptions 1" sheetId="28" state="hidden" r:id="rId1"/>
    <sheet name="Assumptions.1" sheetId="26" r:id="rId2"/>
    <sheet name="Working for PL &amp; BS" sheetId="1" r:id="rId3"/>
    <sheet name="Workings for PLBS" sheetId="31" state="hidden" r:id="rId4"/>
    <sheet name="Final workings" sheetId="33" r:id="rId5"/>
    <sheet name="cover page" sheetId="25" r:id="rId6"/>
    <sheet name="PLBS" sheetId="32" r:id="rId7"/>
    <sheet name="RATIO" sheetId="2" r:id="rId8"/>
    <sheet name="CF's" sheetId="22" state="hidden" r:id="rId9"/>
    <sheet name="MPBF " sheetId="20" r:id="rId10"/>
    <sheet name="Nayak Committee Recommandation" sheetId="23" state="hidden" r:id="rId11"/>
    <sheet name="nayak" sheetId="24" r:id="rId12"/>
    <sheet name="Dep sch" sheetId="27" r:id="rId13"/>
    <sheet name="Sheet3" sheetId="30" state="hidden" r:id="rId14"/>
    <sheet name="Sheet2" sheetId="29" state="hidden" r:id="rId15"/>
    <sheet name="Loan Sch" sheetId="34" r:id="rId16"/>
    <sheet name="Repayment sch" sheetId="35" r:id="rId17"/>
  </sheets>
  <definedNames>
    <definedName name="_xlnm.Print_Area" localSheetId="8">'CF''s'!$A$1:$F$39</definedName>
    <definedName name="_xlnm.Print_Area" localSheetId="5">'cover page'!$A$1:$M$37</definedName>
    <definedName name="_xlnm.Print_Area" localSheetId="4">'Final workings'!$A$1:$H$45</definedName>
    <definedName name="_xlnm.Print_Area" localSheetId="15">'Loan Sch'!$A$1:$H$108</definedName>
    <definedName name="_xlnm.Print_Area" localSheetId="9">'MPBF '!$A$1:$G$55</definedName>
    <definedName name="_xlnm.Print_Area" localSheetId="6">PLBS!$A$1:$I$99</definedName>
    <definedName name="_xlnm.Print_Area" localSheetId="7">RATIO!$A$1:$I$127</definedName>
    <definedName name="_xlnm.Print_Area" localSheetId="2">'Working for PL &amp; BS'!$A$1:$F$105</definedName>
    <definedName name="_xlnm.Print_Area" localSheetId="3">'Workings for PLBS'!$A$1:$F$99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4" l="1"/>
  <c r="C16" i="27"/>
  <c r="N16" i="27" s="1"/>
  <c r="D18" i="27"/>
  <c r="E18" i="27"/>
  <c r="F18" i="27"/>
  <c r="G18" i="27"/>
  <c r="H18" i="27"/>
  <c r="I18" i="27"/>
  <c r="J18" i="27"/>
  <c r="K18" i="27"/>
  <c r="L18" i="27"/>
  <c r="M18" i="27"/>
  <c r="M12" i="27"/>
  <c r="M9" i="27"/>
  <c r="L12" i="27"/>
  <c r="K12" i="27"/>
  <c r="J12" i="27"/>
  <c r="I12" i="27"/>
  <c r="H12" i="27"/>
  <c r="G12" i="27"/>
  <c r="F12" i="27"/>
  <c r="E12" i="27"/>
  <c r="D12" i="27"/>
  <c r="D9" i="27"/>
  <c r="I70" i="26"/>
  <c r="I66" i="26"/>
  <c r="E10" i="34" s="1"/>
  <c r="E12" i="34" s="1"/>
  <c r="D157" i="34" s="1"/>
  <c r="I14" i="26"/>
  <c r="I15" i="26"/>
  <c r="I13" i="26"/>
  <c r="B217" i="26"/>
  <c r="L9" i="27" s="1"/>
  <c r="B207" i="26"/>
  <c r="K9" i="27" s="1"/>
  <c r="B198" i="26"/>
  <c r="J9" i="27" s="1"/>
  <c r="B188" i="26"/>
  <c r="I9" i="27" s="1"/>
  <c r="B178" i="26"/>
  <c r="H9" i="27" s="1"/>
  <c r="B168" i="26"/>
  <c r="G9" i="27" s="1"/>
  <c r="B165" i="26"/>
  <c r="F9" i="27" s="1"/>
  <c r="B155" i="26"/>
  <c r="E9" i="27" s="1"/>
  <c r="B145" i="26"/>
  <c r="B135" i="26"/>
  <c r="F217" i="26"/>
  <c r="I61" i="26" s="1"/>
  <c r="F207" i="26"/>
  <c r="F198" i="26"/>
  <c r="I59" i="26" s="1"/>
  <c r="F188" i="26"/>
  <c r="I58" i="26" s="1"/>
  <c r="F178" i="26"/>
  <c r="I57" i="26" s="1"/>
  <c r="F168" i="26"/>
  <c r="I56" i="26" s="1"/>
  <c r="F165" i="26"/>
  <c r="I55" i="26" s="1"/>
  <c r="F155" i="26"/>
  <c r="I54" i="26" s="1"/>
  <c r="F145" i="26"/>
  <c r="I53" i="26" s="1"/>
  <c r="F135" i="26"/>
  <c r="I52" i="26" s="1"/>
  <c r="I15" i="35"/>
  <c r="I16" i="35"/>
  <c r="I17" i="35"/>
  <c r="I18" i="35"/>
  <c r="I19" i="35"/>
  <c r="I20" i="35"/>
  <c r="E8" i="35"/>
  <c r="F8" i="35"/>
  <c r="D21" i="24"/>
  <c r="E21" i="24" s="1"/>
  <c r="F21" i="24" s="1"/>
  <c r="G21" i="24" s="1"/>
  <c r="H21" i="24" s="1"/>
  <c r="H24" i="25"/>
  <c r="C24" i="34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C36" i="34" s="1"/>
  <c r="C37" i="34" s="1"/>
  <c r="C38" i="34" s="1"/>
  <c r="C39" i="34" s="1"/>
  <c r="C40" i="34" s="1"/>
  <c r="C41" i="34" s="1"/>
  <c r="C42" i="34" s="1"/>
  <c r="C43" i="34" s="1"/>
  <c r="C44" i="34" s="1"/>
  <c r="C45" i="34" s="1"/>
  <c r="C46" i="34" s="1"/>
  <c r="C47" i="34" s="1"/>
  <c r="C48" i="34" s="1"/>
  <c r="C49" i="34" s="1"/>
  <c r="C50" i="34" s="1"/>
  <c r="C51" i="34" s="1"/>
  <c r="C52" i="34" s="1"/>
  <c r="C53" i="34" s="1"/>
  <c r="C54" i="34" s="1"/>
  <c r="C55" i="34" s="1"/>
  <c r="C56" i="34" s="1"/>
  <c r="C57" i="34" s="1"/>
  <c r="C58" i="34" s="1"/>
  <c r="C59" i="34" s="1"/>
  <c r="C60" i="34" s="1"/>
  <c r="C61" i="34" s="1"/>
  <c r="C62" i="34" s="1"/>
  <c r="C63" i="34" s="1"/>
  <c r="C64" i="34" s="1"/>
  <c r="C65" i="34" s="1"/>
  <c r="C66" i="34" s="1"/>
  <c r="C67" i="34" s="1"/>
  <c r="C68" i="34" s="1"/>
  <c r="C69" i="34" s="1"/>
  <c r="C70" i="34" s="1"/>
  <c r="C71" i="34" s="1"/>
  <c r="C72" i="34" s="1"/>
  <c r="C73" i="34" s="1"/>
  <c r="C74" i="34" s="1"/>
  <c r="C75" i="34" s="1"/>
  <c r="C76" i="34" s="1"/>
  <c r="C77" i="34" s="1"/>
  <c r="C78" i="34" s="1"/>
  <c r="C79" i="34" s="1"/>
  <c r="C80" i="34" s="1"/>
  <c r="C81" i="34" s="1"/>
  <c r="C82" i="34" s="1"/>
  <c r="C83" i="34" s="1"/>
  <c r="C84" i="34" s="1"/>
  <c r="C85" i="34" s="1"/>
  <c r="C86" i="34" s="1"/>
  <c r="C87" i="34" s="1"/>
  <c r="C88" i="34" s="1"/>
  <c r="C89" i="34" s="1"/>
  <c r="C90" i="34" s="1"/>
  <c r="C91" i="34" s="1"/>
  <c r="C92" i="34" s="1"/>
  <c r="C93" i="34" s="1"/>
  <c r="C94" i="34" s="1"/>
  <c r="C95" i="34" s="1"/>
  <c r="C96" i="34" s="1"/>
  <c r="C97" i="34" s="1"/>
  <c r="C98" i="34" s="1"/>
  <c r="C99" i="34" s="1"/>
  <c r="C100" i="34" s="1"/>
  <c r="C101" i="34" s="1"/>
  <c r="C102" i="34" s="1"/>
  <c r="C103" i="34" s="1"/>
  <c r="C104" i="34" s="1"/>
  <c r="C105" i="34" s="1"/>
  <c r="C106" i="34" s="1"/>
  <c r="C107" i="34" s="1"/>
  <c r="B23" i="34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I124" i="1"/>
  <c r="H124" i="1"/>
  <c r="G124" i="1"/>
  <c r="F124" i="1"/>
  <c r="E124" i="1"/>
  <c r="D124" i="1"/>
  <c r="C124" i="1"/>
  <c r="C29" i="33"/>
  <c r="D69" i="32" s="1"/>
  <c r="D29" i="33"/>
  <c r="E69" i="32" s="1"/>
  <c r="E29" i="33"/>
  <c r="F69" i="32" s="1"/>
  <c r="F29" i="33"/>
  <c r="G69" i="32" s="1"/>
  <c r="G29" i="33"/>
  <c r="H69" i="32" s="1"/>
  <c r="H29" i="33"/>
  <c r="I69" i="32" s="1"/>
  <c r="C27" i="33"/>
  <c r="D58" i="32" s="1"/>
  <c r="D27" i="33"/>
  <c r="E58" i="32" s="1"/>
  <c r="E27" i="33"/>
  <c r="F58" i="32" s="1"/>
  <c r="F27" i="33"/>
  <c r="G58" i="32" s="1"/>
  <c r="G27" i="33"/>
  <c r="H58" i="32" s="1"/>
  <c r="H27" i="33"/>
  <c r="I58" i="32" s="1"/>
  <c r="C49" i="1"/>
  <c r="I46" i="32"/>
  <c r="I79" i="32" s="1"/>
  <c r="I93" i="32" s="1"/>
  <c r="I45" i="32"/>
  <c r="I57" i="32"/>
  <c r="I6" i="32"/>
  <c r="G8" i="35" s="1"/>
  <c r="I5" i="32"/>
  <c r="I85" i="32"/>
  <c r="I6" i="1"/>
  <c r="I100" i="2" s="1"/>
  <c r="I40" i="2" s="1"/>
  <c r="I48" i="2" s="1"/>
  <c r="I111" i="2" s="1"/>
  <c r="I66" i="2" s="1"/>
  <c r="I76" i="2" s="1"/>
  <c r="I91" i="2" s="1"/>
  <c r="I29" i="2" s="1"/>
  <c r="I56" i="2" s="1"/>
  <c r="I121" i="2" s="1"/>
  <c r="H6" i="1"/>
  <c r="G6" i="1"/>
  <c r="G46" i="1" s="1"/>
  <c r="G81" i="1" s="1"/>
  <c r="G96" i="1" s="1"/>
  <c r="G108" i="1" s="1"/>
  <c r="H5" i="32"/>
  <c r="I9" i="2"/>
  <c r="H9" i="2"/>
  <c r="H46" i="32"/>
  <c r="H79" i="32" s="1"/>
  <c r="H93" i="32" s="1"/>
  <c r="H45" i="32"/>
  <c r="H57" i="32"/>
  <c r="H85" i="32"/>
  <c r="C95" i="26"/>
  <c r="C96" i="26"/>
  <c r="C87" i="26"/>
  <c r="C88" i="26"/>
  <c r="C80" i="26"/>
  <c r="C79" i="26"/>
  <c r="I5" i="1"/>
  <c r="I45" i="1" s="1"/>
  <c r="H5" i="1"/>
  <c r="H45" i="1" s="1"/>
  <c r="A50" i="27"/>
  <c r="N52" i="27"/>
  <c r="A43" i="27"/>
  <c r="A36" i="27"/>
  <c r="N45" i="27"/>
  <c r="G5" i="32"/>
  <c r="G45" i="32" s="1"/>
  <c r="G46" i="32"/>
  <c r="G79" i="32"/>
  <c r="G93" i="32" s="1"/>
  <c r="G57" i="32"/>
  <c r="G9" i="2"/>
  <c r="G85" i="32"/>
  <c r="N38" i="27"/>
  <c r="C94" i="26"/>
  <c r="C86" i="26"/>
  <c r="C78" i="26"/>
  <c r="G5" i="1"/>
  <c r="E8" i="20" s="1"/>
  <c r="E33" i="20" s="1"/>
  <c r="C115" i="1"/>
  <c r="A2" i="35"/>
  <c r="A3" i="35"/>
  <c r="A1" i="35"/>
  <c r="I114" i="26"/>
  <c r="I109" i="26"/>
  <c r="I110" i="26" s="1"/>
  <c r="C29" i="1"/>
  <c r="C30" i="32" s="1"/>
  <c r="C64" i="32"/>
  <c r="I45" i="26"/>
  <c r="I46" i="26" s="1"/>
  <c r="F9" i="2"/>
  <c r="E9" i="2"/>
  <c r="D9" i="2"/>
  <c r="C100" i="1"/>
  <c r="A24" i="33"/>
  <c r="A54" i="32" s="1"/>
  <c r="C58" i="1"/>
  <c r="C119" i="1"/>
  <c r="C53" i="1"/>
  <c r="A58" i="1"/>
  <c r="A59" i="32"/>
  <c r="B24" i="33"/>
  <c r="C54" i="32" s="1"/>
  <c r="B19" i="33"/>
  <c r="A19" i="33"/>
  <c r="E85" i="32"/>
  <c r="F85" i="32"/>
  <c r="C85" i="32"/>
  <c r="A85" i="32"/>
  <c r="C9" i="27"/>
  <c r="D86" i="1"/>
  <c r="E86" i="1" s="1"/>
  <c r="F86" i="1" s="1"/>
  <c r="E14" i="34"/>
  <c r="A2" i="34"/>
  <c r="A3" i="34"/>
  <c r="A1" i="34"/>
  <c r="C70" i="1"/>
  <c r="C73" i="1"/>
  <c r="C57" i="1"/>
  <c r="C56" i="31" s="1"/>
  <c r="I117" i="26"/>
  <c r="I119" i="26" s="1"/>
  <c r="C98" i="1"/>
  <c r="C99" i="1"/>
  <c r="D16" i="25"/>
  <c r="B6" i="33"/>
  <c r="B5" i="33"/>
  <c r="C21" i="24"/>
  <c r="A2" i="32"/>
  <c r="A41" i="32" s="1"/>
  <c r="A3" i="32"/>
  <c r="A42" i="32" s="1"/>
  <c r="A1" i="32"/>
  <c r="A40" i="32" s="1"/>
  <c r="A2" i="27"/>
  <c r="A3" i="27"/>
  <c r="A1" i="27"/>
  <c r="A3" i="24"/>
  <c r="A4" i="24"/>
  <c r="A2" i="24"/>
  <c r="A2" i="20"/>
  <c r="A3" i="20"/>
  <c r="A1" i="20"/>
  <c r="A2" i="2"/>
  <c r="A3" i="2"/>
  <c r="A1" i="2"/>
  <c r="F57" i="32"/>
  <c r="E57" i="32"/>
  <c r="C57" i="32"/>
  <c r="D57" i="32"/>
  <c r="F6" i="32"/>
  <c r="E6" i="32"/>
  <c r="C8" i="35" s="1"/>
  <c r="F5" i="32"/>
  <c r="F45" i="32" s="1"/>
  <c r="E5" i="32"/>
  <c r="E45" i="32" s="1"/>
  <c r="D5" i="32"/>
  <c r="D45" i="32" s="1"/>
  <c r="C6" i="32"/>
  <c r="C46" i="32" s="1"/>
  <c r="C79" i="32" s="1"/>
  <c r="C93" i="32" s="1"/>
  <c r="C5" i="32"/>
  <c r="C45" i="32" s="1"/>
  <c r="F6" i="1"/>
  <c r="F100" i="2" s="1"/>
  <c r="F40" i="2" s="1"/>
  <c r="F48" i="2" s="1"/>
  <c r="F111" i="2" s="1"/>
  <c r="F66" i="2" s="1"/>
  <c r="F76" i="2" s="1"/>
  <c r="F91" i="2" s="1"/>
  <c r="F29" i="2" s="1"/>
  <c r="F56" i="2" s="1"/>
  <c r="F121" i="2" s="1"/>
  <c r="E6" i="1"/>
  <c r="E46" i="1" s="1"/>
  <c r="D6" i="1"/>
  <c r="C6" i="1"/>
  <c r="C6" i="33" s="1"/>
  <c r="F5" i="1"/>
  <c r="E5" i="1"/>
  <c r="E45" i="1" s="1"/>
  <c r="D5" i="1"/>
  <c r="C5" i="1"/>
  <c r="C45" i="1" s="1"/>
  <c r="F6" i="31"/>
  <c r="F45" i="31" s="1"/>
  <c r="F79" i="31" s="1"/>
  <c r="F93" i="31" s="1"/>
  <c r="E6" i="31"/>
  <c r="E45" i="31" s="1"/>
  <c r="E79" i="31" s="1"/>
  <c r="E93" i="31" s="1"/>
  <c r="D6" i="31"/>
  <c r="D45" i="31" s="1"/>
  <c r="D79" i="31" s="1"/>
  <c r="D93" i="31" s="1"/>
  <c r="C6" i="31"/>
  <c r="C45" i="31" s="1"/>
  <c r="C79" i="31" s="1"/>
  <c r="C93" i="31" s="1"/>
  <c r="F5" i="31"/>
  <c r="F44" i="31" s="1"/>
  <c r="E5" i="31"/>
  <c r="E44" i="31" s="1"/>
  <c r="D5" i="31"/>
  <c r="D44" i="31" s="1"/>
  <c r="C5" i="31"/>
  <c r="C44" i="31" s="1"/>
  <c r="C75" i="26"/>
  <c r="C83" i="26" s="1"/>
  <c r="C91" i="26" s="1"/>
  <c r="C76" i="26"/>
  <c r="C84" i="26" s="1"/>
  <c r="C92" i="26" s="1"/>
  <c r="C77" i="26"/>
  <c r="C85" i="26" s="1"/>
  <c r="C93" i="26" s="1"/>
  <c r="C74" i="26"/>
  <c r="C82" i="26" s="1"/>
  <c r="C90" i="26" s="1"/>
  <c r="A70" i="32"/>
  <c r="D6" i="32"/>
  <c r="D46" i="32" s="1"/>
  <c r="D79" i="32" s="1"/>
  <c r="D93" i="32" s="1"/>
  <c r="C72" i="1"/>
  <c r="B30" i="33" s="1"/>
  <c r="C71" i="32" s="1"/>
  <c r="C67" i="1"/>
  <c r="C65" i="31" s="1"/>
  <c r="C56" i="1"/>
  <c r="C55" i="31" s="1"/>
  <c r="C86" i="1"/>
  <c r="C84" i="31" s="1"/>
  <c r="C83" i="1"/>
  <c r="C81" i="31" s="1"/>
  <c r="C23" i="1"/>
  <c r="D23" i="1" s="1"/>
  <c r="E23" i="1" s="1"/>
  <c r="C18" i="1"/>
  <c r="C18" i="31" s="1"/>
  <c r="C16" i="1"/>
  <c r="C85" i="1"/>
  <c r="C83" i="32" s="1"/>
  <c r="C84" i="1"/>
  <c r="C82" i="31" s="1"/>
  <c r="C10" i="1"/>
  <c r="C10" i="31" s="1"/>
  <c r="C12" i="31" s="1"/>
  <c r="D68" i="31"/>
  <c r="E68" i="31"/>
  <c r="F68" i="31"/>
  <c r="D56" i="31"/>
  <c r="E56" i="31"/>
  <c r="F56" i="31"/>
  <c r="A69" i="31"/>
  <c r="A41" i="31"/>
  <c r="A39" i="31"/>
  <c r="A2" i="31"/>
  <c r="A40" i="31" s="1"/>
  <c r="A71" i="1"/>
  <c r="C26" i="22"/>
  <c r="C34" i="22" s="1"/>
  <c r="I113" i="26"/>
  <c r="D8" i="23"/>
  <c r="C12" i="27"/>
  <c r="N31" i="27"/>
  <c r="N24" i="27"/>
  <c r="D20" i="25"/>
  <c r="D12" i="25"/>
  <c r="D9" i="25"/>
  <c r="I100" i="26"/>
  <c r="C40" i="22"/>
  <c r="C36" i="22"/>
  <c r="A3" i="23"/>
  <c r="A1" i="23"/>
  <c r="C12" i="23"/>
  <c r="A1" i="22"/>
  <c r="A3" i="22"/>
  <c r="D12" i="23"/>
  <c r="B12" i="23"/>
  <c r="D7" i="22"/>
  <c r="C8" i="23"/>
  <c r="B7" i="22"/>
  <c r="C7" i="22"/>
  <c r="B8" i="23"/>
  <c r="F7" i="22"/>
  <c r="E7" i="22"/>
  <c r="C14" i="22"/>
  <c r="C13" i="22"/>
  <c r="C21" i="22" s="1"/>
  <c r="A2" i="22"/>
  <c r="A2" i="23"/>
  <c r="C65" i="1"/>
  <c r="C63" i="31" s="1"/>
  <c r="A25" i="33"/>
  <c r="F46" i="1"/>
  <c r="F81" i="1" s="1"/>
  <c r="F96" i="1" s="1"/>
  <c r="F108" i="1" s="1"/>
  <c r="D9" i="20"/>
  <c r="D34" i="20" s="1"/>
  <c r="I84" i="26"/>
  <c r="I85" i="26" s="1"/>
  <c r="I86" i="26" s="1"/>
  <c r="I87" i="26" s="1"/>
  <c r="I88" i="26" s="1"/>
  <c r="F6" i="33"/>
  <c r="G8" i="20"/>
  <c r="C71" i="1"/>
  <c r="C126" i="1" s="1"/>
  <c r="F10" i="24"/>
  <c r="C127" i="1"/>
  <c r="D158" i="34" l="1"/>
  <c r="E157" i="34"/>
  <c r="C17" i="27"/>
  <c r="B36" i="22"/>
  <c r="C71" i="31"/>
  <c r="I108" i="26"/>
  <c r="I111" i="26" s="1"/>
  <c r="D10" i="1" s="1"/>
  <c r="D83" i="1" s="1"/>
  <c r="I101" i="26"/>
  <c r="D19" i="27"/>
  <c r="D20" i="27" s="1"/>
  <c r="D23" i="27" s="1"/>
  <c r="D25" i="27" s="1"/>
  <c r="E19" i="27"/>
  <c r="E20" i="27" s="1"/>
  <c r="E23" i="27" s="1"/>
  <c r="E25" i="27" s="1"/>
  <c r="F19" i="27"/>
  <c r="F20" i="27" s="1"/>
  <c r="F23" i="27" s="1"/>
  <c r="F25" i="27" s="1"/>
  <c r="G19" i="27"/>
  <c r="H19" i="27"/>
  <c r="H20" i="27" s="1"/>
  <c r="H23" i="27" s="1"/>
  <c r="H25" i="27" s="1"/>
  <c r="I19" i="27"/>
  <c r="J19" i="27"/>
  <c r="J20" i="27" s="1"/>
  <c r="J23" i="27" s="1"/>
  <c r="J25" i="27" s="1"/>
  <c r="K19" i="27"/>
  <c r="L19" i="27"/>
  <c r="L20" i="27" s="1"/>
  <c r="L23" i="27" s="1"/>
  <c r="L25" i="27" s="1"/>
  <c r="M19" i="27"/>
  <c r="C17" i="1"/>
  <c r="I39" i="26"/>
  <c r="C88" i="1" s="1"/>
  <c r="M20" i="27"/>
  <c r="M23" i="27" s="1"/>
  <c r="M25" i="27" s="1"/>
  <c r="K20" i="27"/>
  <c r="K23" i="27" s="1"/>
  <c r="K25" i="27" s="1"/>
  <c r="I20" i="27"/>
  <c r="I23" i="27" s="1"/>
  <c r="I25" i="27" s="1"/>
  <c r="G20" i="27"/>
  <c r="G23" i="27" s="1"/>
  <c r="G25" i="27" s="1"/>
  <c r="A29" i="27"/>
  <c r="F5" i="33"/>
  <c r="G45" i="1"/>
  <c r="C23" i="31"/>
  <c r="C9" i="20"/>
  <c r="C34" i="20" s="1"/>
  <c r="D5" i="33"/>
  <c r="C66" i="32"/>
  <c r="B8" i="35"/>
  <c r="D84" i="31"/>
  <c r="C8" i="20"/>
  <c r="D84" i="1"/>
  <c r="I46" i="1"/>
  <c r="I81" i="1" s="1"/>
  <c r="I96" i="1" s="1"/>
  <c r="I108" i="1" s="1"/>
  <c r="E6" i="33"/>
  <c r="G5" i="33"/>
  <c r="C46" i="1"/>
  <c r="C81" i="1" s="1"/>
  <c r="C96" i="1" s="1"/>
  <c r="C108" i="1" s="1"/>
  <c r="E81" i="1"/>
  <c r="E96" i="1" s="1"/>
  <c r="E108" i="1" s="1"/>
  <c r="A22" i="27"/>
  <c r="C18" i="32"/>
  <c r="C95" i="32"/>
  <c r="B17" i="33"/>
  <c r="C27" i="22"/>
  <c r="B26" i="33"/>
  <c r="D11" i="24"/>
  <c r="C84" i="32"/>
  <c r="C19" i="32"/>
  <c r="D17" i="32" s="1"/>
  <c r="E100" i="2"/>
  <c r="E40" i="2" s="1"/>
  <c r="E48" i="2" s="1"/>
  <c r="E111" i="2" s="1"/>
  <c r="E66" i="2" s="1"/>
  <c r="E76" i="2" s="1"/>
  <c r="E91" i="2" s="1"/>
  <c r="E29" i="2" s="1"/>
  <c r="E56" i="2" s="1"/>
  <c r="E121" i="2" s="1"/>
  <c r="F8" i="20"/>
  <c r="G10" i="24" s="1"/>
  <c r="B12" i="33"/>
  <c r="C100" i="2"/>
  <c r="C40" i="2" s="1"/>
  <c r="C48" i="2" s="1"/>
  <c r="C111" i="2" s="1"/>
  <c r="C66" i="2" s="1"/>
  <c r="C76" i="2" s="1"/>
  <c r="C91" i="2" s="1"/>
  <c r="C29" i="2" s="1"/>
  <c r="C56" i="2" s="1"/>
  <c r="C121" i="2" s="1"/>
  <c r="C70" i="31"/>
  <c r="E46" i="32"/>
  <c r="E79" i="32" s="1"/>
  <c r="E93" i="32" s="1"/>
  <c r="B28" i="33"/>
  <c r="B13" i="33"/>
  <c r="B40" i="22"/>
  <c r="B43" i="22" s="1"/>
  <c r="H5" i="33"/>
  <c r="E9" i="20"/>
  <c r="G6" i="33"/>
  <c r="C96" i="31"/>
  <c r="B18" i="33"/>
  <c r="C102" i="1"/>
  <c r="C33" i="1" s="1"/>
  <c r="B26" i="22" s="1"/>
  <c r="C96" i="32"/>
  <c r="D12" i="33"/>
  <c r="E24" i="32" s="1"/>
  <c r="F23" i="1"/>
  <c r="F23" i="31" s="1"/>
  <c r="C68" i="31"/>
  <c r="B29" i="33"/>
  <c r="C69" i="32" s="1"/>
  <c r="C129" i="1"/>
  <c r="B31" i="33"/>
  <c r="C72" i="32" s="1"/>
  <c r="B14" i="33"/>
  <c r="C82" i="32"/>
  <c r="B11" i="33"/>
  <c r="C70" i="32" s="1"/>
  <c r="C24" i="32"/>
  <c r="D16" i="1"/>
  <c r="D16" i="31" s="1"/>
  <c r="C37" i="22"/>
  <c r="C38" i="22" s="1"/>
  <c r="I60" i="26"/>
  <c r="I62" i="26" s="1"/>
  <c r="F84" i="31"/>
  <c r="F84" i="32"/>
  <c r="G86" i="1"/>
  <c r="E23" i="31"/>
  <c r="D84" i="32"/>
  <c r="B27" i="33"/>
  <c r="C58" i="32" s="1"/>
  <c r="C12" i="1"/>
  <c r="C95" i="31"/>
  <c r="C52" i="1"/>
  <c r="D52" i="1" s="1"/>
  <c r="G9" i="20"/>
  <c r="G34" i="20" s="1"/>
  <c r="E11" i="24"/>
  <c r="G100" i="2"/>
  <c r="G40" i="2" s="1"/>
  <c r="G48" i="2" s="1"/>
  <c r="G111" i="2" s="1"/>
  <c r="G66" i="2" s="1"/>
  <c r="G76" i="2" s="1"/>
  <c r="G91" i="2" s="1"/>
  <c r="G29" i="2" s="1"/>
  <c r="G56" i="2" s="1"/>
  <c r="G121" i="2" s="1"/>
  <c r="C69" i="31"/>
  <c r="C28" i="22"/>
  <c r="B8" i="20"/>
  <c r="D45" i="1"/>
  <c r="C5" i="33"/>
  <c r="F45" i="1"/>
  <c r="D8" i="20"/>
  <c r="E5" i="33"/>
  <c r="B9" i="20"/>
  <c r="D46" i="1"/>
  <c r="D6" i="33"/>
  <c r="B25" i="33"/>
  <c r="C59" i="32" s="1"/>
  <c r="C17" i="22"/>
  <c r="C29" i="31"/>
  <c r="B14" i="22"/>
  <c r="D100" i="2"/>
  <c r="D40" i="2" s="1"/>
  <c r="D48" i="2" s="1"/>
  <c r="D111" i="2" s="1"/>
  <c r="D66" i="2" s="1"/>
  <c r="D76" i="2" s="1"/>
  <c r="D91" i="2" s="1"/>
  <c r="D29" i="2" s="1"/>
  <c r="D56" i="2" s="1"/>
  <c r="D121" i="2" s="1"/>
  <c r="C75" i="1"/>
  <c r="H10" i="24"/>
  <c r="G33" i="20"/>
  <c r="I115" i="26"/>
  <c r="D18" i="1" s="1"/>
  <c r="B9" i="33"/>
  <c r="C11" i="32"/>
  <c r="B15" i="33"/>
  <c r="C83" i="31"/>
  <c r="C16" i="31"/>
  <c r="C17" i="32"/>
  <c r="F46" i="32"/>
  <c r="F79" i="32" s="1"/>
  <c r="F93" i="32" s="1"/>
  <c r="D8" i="35"/>
  <c r="C12" i="33"/>
  <c r="D24" i="32" s="1"/>
  <c r="D23" i="31"/>
  <c r="C19" i="22"/>
  <c r="D67" i="1"/>
  <c r="E84" i="31"/>
  <c r="E84" i="32"/>
  <c r="H100" i="2"/>
  <c r="H40" i="2" s="1"/>
  <c r="H48" i="2" s="1"/>
  <c r="H111" i="2" s="1"/>
  <c r="H66" i="2" s="1"/>
  <c r="H76" i="2" s="1"/>
  <c r="H91" i="2" s="1"/>
  <c r="H29" i="2" s="1"/>
  <c r="H56" i="2" s="1"/>
  <c r="H121" i="2" s="1"/>
  <c r="H46" i="1"/>
  <c r="H81" i="1" s="1"/>
  <c r="H96" i="1" s="1"/>
  <c r="H108" i="1" s="1"/>
  <c r="F9" i="20"/>
  <c r="H6" i="33"/>
  <c r="D159" i="34" l="1"/>
  <c r="E158" i="34"/>
  <c r="C17" i="31"/>
  <c r="C19" i="31" s="1"/>
  <c r="C21" i="31" s="1"/>
  <c r="B10" i="33"/>
  <c r="C19" i="1"/>
  <c r="C21" i="1" s="1"/>
  <c r="I82" i="26" s="1"/>
  <c r="D26" i="27"/>
  <c r="D27" i="27" s="1"/>
  <c r="D30" i="27" s="1"/>
  <c r="D32" i="27" s="1"/>
  <c r="F26" i="27"/>
  <c r="F27" i="27" s="1"/>
  <c r="F30" i="27" s="1"/>
  <c r="F32" i="27" s="1"/>
  <c r="H26" i="27"/>
  <c r="H27" i="27" s="1"/>
  <c r="H30" i="27" s="1"/>
  <c r="H32" i="27" s="1"/>
  <c r="J26" i="27"/>
  <c r="J27" i="27" s="1"/>
  <c r="J30" i="27" s="1"/>
  <c r="J32" i="27" s="1"/>
  <c r="B16" i="33"/>
  <c r="C92" i="1"/>
  <c r="C25" i="1" s="1"/>
  <c r="C27" i="1" s="1"/>
  <c r="C31" i="1" s="1"/>
  <c r="C85" i="31"/>
  <c r="C89" i="31" s="1"/>
  <c r="C25" i="31" s="1"/>
  <c r="C27" i="31" s="1"/>
  <c r="C31" i="31" s="1"/>
  <c r="C86" i="32"/>
  <c r="C90" i="32" s="1"/>
  <c r="C26" i="32" s="1"/>
  <c r="C99" i="31"/>
  <c r="C33" i="31" s="1"/>
  <c r="E26" i="27"/>
  <c r="E27" i="27" s="1"/>
  <c r="E30" i="27" s="1"/>
  <c r="E32" i="27" s="1"/>
  <c r="M26" i="27"/>
  <c r="M27" i="27" s="1"/>
  <c r="M30" i="27" s="1"/>
  <c r="M32" i="27" s="1"/>
  <c r="K26" i="27"/>
  <c r="K27" i="27" s="1"/>
  <c r="K30" i="27" s="1"/>
  <c r="K32" i="27" s="1"/>
  <c r="I27" i="27"/>
  <c r="I30" i="27" s="1"/>
  <c r="I32" i="27" s="1"/>
  <c r="I26" i="27"/>
  <c r="G26" i="27"/>
  <c r="G27" i="27" s="1"/>
  <c r="G30" i="27" s="1"/>
  <c r="G32" i="27" s="1"/>
  <c r="C33" i="20"/>
  <c r="D10" i="24"/>
  <c r="C14" i="33"/>
  <c r="D82" i="32" s="1"/>
  <c r="E84" i="1"/>
  <c r="E82" i="31" s="1"/>
  <c r="L26" i="27"/>
  <c r="L27" i="27"/>
  <c r="L30" i="27" s="1"/>
  <c r="L32" i="27" s="1"/>
  <c r="C99" i="32"/>
  <c r="H11" i="24"/>
  <c r="G23" i="1"/>
  <c r="F12" i="33" s="1"/>
  <c r="G24" i="32" s="1"/>
  <c r="F84" i="1"/>
  <c r="E14" i="33" s="1"/>
  <c r="F82" i="32" s="1"/>
  <c r="E12" i="33"/>
  <c r="F24" i="32" s="1"/>
  <c r="D82" i="31"/>
  <c r="C74" i="32"/>
  <c r="C60" i="32" s="1"/>
  <c r="C75" i="32" s="1"/>
  <c r="C33" i="2"/>
  <c r="D14" i="33"/>
  <c r="E82" i="32" s="1"/>
  <c r="F33" i="20"/>
  <c r="C73" i="31"/>
  <c r="C58" i="31" s="1"/>
  <c r="C74" i="31" s="1"/>
  <c r="E34" i="20"/>
  <c r="F11" i="24"/>
  <c r="C43" i="22"/>
  <c r="D36" i="22"/>
  <c r="B23" i="33"/>
  <c r="C53" i="32" s="1"/>
  <c r="C16" i="22"/>
  <c r="C52" i="31"/>
  <c r="H86" i="1"/>
  <c r="G84" i="32"/>
  <c r="C60" i="1"/>
  <c r="C76" i="1" s="1"/>
  <c r="C28" i="33"/>
  <c r="D66" i="32" s="1"/>
  <c r="E67" i="1"/>
  <c r="E19" i="22" s="1"/>
  <c r="D29" i="22"/>
  <c r="D65" i="31"/>
  <c r="D81" i="31"/>
  <c r="C13" i="33"/>
  <c r="D114" i="1"/>
  <c r="C23" i="33"/>
  <c r="D52" i="31"/>
  <c r="D98" i="1"/>
  <c r="E52" i="1"/>
  <c r="E114" i="1" s="1"/>
  <c r="C20" i="32"/>
  <c r="C68" i="2" s="1"/>
  <c r="C69" i="2"/>
  <c r="C78" i="2"/>
  <c r="C84" i="2" s="1"/>
  <c r="B36" i="33" s="1"/>
  <c r="C13" i="32"/>
  <c r="C11" i="33"/>
  <c r="D19" i="32" s="1"/>
  <c r="E16" i="1"/>
  <c r="E16" i="31" s="1"/>
  <c r="D18" i="31"/>
  <c r="D71" i="1"/>
  <c r="E18" i="1"/>
  <c r="A15" i="27"/>
  <c r="D81" i="1"/>
  <c r="D96" i="1" s="1"/>
  <c r="D108" i="1" s="1"/>
  <c r="E8" i="34"/>
  <c r="I65" i="26"/>
  <c r="H25" i="25"/>
  <c r="D87" i="1"/>
  <c r="D85" i="32" s="1"/>
  <c r="G11" i="24"/>
  <c r="F34" i="20"/>
  <c r="B9" i="23"/>
  <c r="E10" i="1"/>
  <c r="E83" i="1" s="1"/>
  <c r="D12" i="1"/>
  <c r="D10" i="31"/>
  <c r="D12" i="31" s="1"/>
  <c r="D21" i="1"/>
  <c r="C9" i="33"/>
  <c r="D11" i="32" s="1"/>
  <c r="D85" i="1"/>
  <c r="D72" i="1"/>
  <c r="D88" i="1"/>
  <c r="C34" i="2"/>
  <c r="D160" i="34"/>
  <c r="E159" i="34"/>
  <c r="B34" i="20"/>
  <c r="C11" i="24"/>
  <c r="E10" i="24"/>
  <c r="D33" i="20"/>
  <c r="B33" i="20"/>
  <c r="C10" i="24"/>
  <c r="F82" i="31"/>
  <c r="G84" i="1"/>
  <c r="C105" i="2" l="1"/>
  <c r="C34" i="32"/>
  <c r="C35" i="31"/>
  <c r="D33" i="27"/>
  <c r="D34" i="27" s="1"/>
  <c r="D37" i="27" s="1"/>
  <c r="D39" i="27" s="1"/>
  <c r="F33" i="27"/>
  <c r="F34" i="27" s="1"/>
  <c r="F37" i="27" s="1"/>
  <c r="F39" i="27" s="1"/>
  <c r="H33" i="27"/>
  <c r="H34" i="27" s="1"/>
  <c r="H37" i="27" s="1"/>
  <c r="H39" i="27" s="1"/>
  <c r="J33" i="27"/>
  <c r="J34" i="27" s="1"/>
  <c r="J37" i="27" s="1"/>
  <c r="J39" i="27" s="1"/>
  <c r="E33" i="27"/>
  <c r="E34" i="27" s="1"/>
  <c r="E37" i="27" s="1"/>
  <c r="E39" i="27" s="1"/>
  <c r="M33" i="27"/>
  <c r="M34" i="27" s="1"/>
  <c r="M37" i="27" s="1"/>
  <c r="M39" i="27" s="1"/>
  <c r="K33" i="27"/>
  <c r="K34" i="27" s="1"/>
  <c r="K37" i="27" s="1"/>
  <c r="K39" i="27" s="1"/>
  <c r="I34" i="27"/>
  <c r="I37" i="27" s="1"/>
  <c r="I39" i="27" s="1"/>
  <c r="I33" i="27"/>
  <c r="G33" i="27"/>
  <c r="G34" i="27" s="1"/>
  <c r="G37" i="27" s="1"/>
  <c r="G39" i="27" s="1"/>
  <c r="L33" i="27"/>
  <c r="L34" i="27" s="1"/>
  <c r="L37" i="27" s="1"/>
  <c r="L39" i="27" s="1"/>
  <c r="H23" i="1"/>
  <c r="G12" i="33" s="1"/>
  <c r="H24" i="32" s="1"/>
  <c r="C113" i="2"/>
  <c r="C115" i="2" s="1"/>
  <c r="C49" i="31"/>
  <c r="C50" i="32"/>
  <c r="C58" i="2" s="1"/>
  <c r="B38" i="33" s="1"/>
  <c r="E98" i="1"/>
  <c r="E95" i="31" s="1"/>
  <c r="C22" i="32"/>
  <c r="C31" i="2"/>
  <c r="B37" i="33" s="1"/>
  <c r="H84" i="32"/>
  <c r="I86" i="1"/>
  <c r="I84" i="32" s="1"/>
  <c r="E160" i="34"/>
  <c r="D161" i="34"/>
  <c r="C16" i="33"/>
  <c r="D86" i="32" s="1"/>
  <c r="E88" i="1"/>
  <c r="D85" i="31"/>
  <c r="C15" i="33"/>
  <c r="D83" i="32" s="1"/>
  <c r="E85" i="1"/>
  <c r="D83" i="31"/>
  <c r="B10" i="23"/>
  <c r="B11" i="23" s="1"/>
  <c r="B13" i="23"/>
  <c r="B14" i="23" s="1"/>
  <c r="N17" i="27"/>
  <c r="C18" i="27"/>
  <c r="C19" i="27" s="1"/>
  <c r="E71" i="1"/>
  <c r="E18" i="31"/>
  <c r="F16" i="1"/>
  <c r="F16" i="31" s="1"/>
  <c r="D11" i="33"/>
  <c r="E19" i="32" s="1"/>
  <c r="F18" i="1"/>
  <c r="E17" i="32"/>
  <c r="D70" i="32"/>
  <c r="D69" i="2"/>
  <c r="D13" i="33"/>
  <c r="E81" i="31"/>
  <c r="E65" i="31"/>
  <c r="F67" i="1"/>
  <c r="D28" i="33"/>
  <c r="E66" i="32" s="1"/>
  <c r="F14" i="33"/>
  <c r="G82" i="32" s="1"/>
  <c r="H84" i="1"/>
  <c r="D19" i="1"/>
  <c r="D17" i="1" s="1"/>
  <c r="D70" i="31"/>
  <c r="C30" i="33"/>
  <c r="D71" i="32" s="1"/>
  <c r="D27" i="22"/>
  <c r="D127" i="1"/>
  <c r="C13" i="24"/>
  <c r="C15" i="24" s="1"/>
  <c r="C18" i="24" s="1"/>
  <c r="C23" i="24" s="1"/>
  <c r="C43" i="33" s="1"/>
  <c r="D78" i="2"/>
  <c r="D84" i="2" s="1"/>
  <c r="C36" i="33" s="1"/>
  <c r="D13" i="32"/>
  <c r="E72" i="1"/>
  <c r="E12" i="1"/>
  <c r="D9" i="33"/>
  <c r="E11" i="32" s="1"/>
  <c r="E10" i="31"/>
  <c r="E12" i="31" s="1"/>
  <c r="C9" i="23"/>
  <c r="E21" i="1"/>
  <c r="F10" i="1"/>
  <c r="F24" i="34"/>
  <c r="G23" i="34"/>
  <c r="I23" i="1"/>
  <c r="H12" i="33" s="1"/>
  <c r="I24" i="32" s="1"/>
  <c r="D126" i="1"/>
  <c r="D28" i="22"/>
  <c r="D69" i="31"/>
  <c r="C70" i="2"/>
  <c r="F52" i="1"/>
  <c r="E52" i="31"/>
  <c r="D23" i="33"/>
  <c r="C17" i="33"/>
  <c r="D95" i="32" s="1"/>
  <c r="D95" i="31"/>
  <c r="D53" i="32"/>
  <c r="D17" i="33"/>
  <c r="E95" i="32" s="1"/>
  <c r="D92" i="1"/>
  <c r="D25" i="1" s="1"/>
  <c r="D27" i="1" s="1"/>
  <c r="C35" i="1"/>
  <c r="B13" i="22"/>
  <c r="B21" i="22" s="1"/>
  <c r="B37" i="22" s="1"/>
  <c r="F98" i="1" l="1"/>
  <c r="F95" i="31" s="1"/>
  <c r="C42" i="2"/>
  <c r="B34" i="33" s="1"/>
  <c r="C28" i="32"/>
  <c r="C32" i="32" s="1"/>
  <c r="D40" i="27"/>
  <c r="D41" i="27" s="1"/>
  <c r="D44" i="27" s="1"/>
  <c r="D46" i="27" s="1"/>
  <c r="F40" i="27"/>
  <c r="F41" i="27" s="1"/>
  <c r="F44" i="27" s="1"/>
  <c r="F46" i="27" s="1"/>
  <c r="H40" i="27"/>
  <c r="H41" i="27" s="1"/>
  <c r="H44" i="27" s="1"/>
  <c r="H46" i="27" s="1"/>
  <c r="J40" i="27"/>
  <c r="J41" i="27" s="1"/>
  <c r="J44" i="27" s="1"/>
  <c r="J46" i="27" s="1"/>
  <c r="E40" i="27"/>
  <c r="E41" i="27" s="1"/>
  <c r="E44" i="27" s="1"/>
  <c r="E46" i="27" s="1"/>
  <c r="M40" i="27"/>
  <c r="M41" i="27" s="1"/>
  <c r="M44" i="27" s="1"/>
  <c r="M46" i="27" s="1"/>
  <c r="K40" i="27"/>
  <c r="K41" i="27" s="1"/>
  <c r="K44" i="27" s="1"/>
  <c r="K46" i="27" s="1"/>
  <c r="I40" i="27"/>
  <c r="I41" i="27" s="1"/>
  <c r="I44" i="27" s="1"/>
  <c r="I46" i="27" s="1"/>
  <c r="G40" i="27"/>
  <c r="G41" i="27" s="1"/>
  <c r="G44" i="27" s="1"/>
  <c r="G46" i="27" s="1"/>
  <c r="D129" i="1"/>
  <c r="D56" i="1" s="1"/>
  <c r="L40" i="27"/>
  <c r="L41" i="27" s="1"/>
  <c r="L44" i="27" s="1"/>
  <c r="L46" i="27" s="1"/>
  <c r="C93" i="2"/>
  <c r="F114" i="1"/>
  <c r="D89" i="31"/>
  <c r="D25" i="31" s="1"/>
  <c r="D90" i="32"/>
  <c r="D26" i="32" s="1"/>
  <c r="E92" i="1"/>
  <c r="E25" i="1" s="1"/>
  <c r="E27" i="1" s="1"/>
  <c r="E17" i="33"/>
  <c r="F95" i="32" s="1"/>
  <c r="E53" i="32"/>
  <c r="F25" i="34"/>
  <c r="B15" i="35"/>
  <c r="G10" i="1"/>
  <c r="E9" i="33"/>
  <c r="F11" i="32" s="1"/>
  <c r="D9" i="23"/>
  <c r="F12" i="1"/>
  <c r="F10" i="31"/>
  <c r="F12" i="31" s="1"/>
  <c r="F21" i="1"/>
  <c r="F72" i="1"/>
  <c r="C10" i="23"/>
  <c r="C11" i="23" s="1"/>
  <c r="C13" i="23"/>
  <c r="C14" i="23" s="1"/>
  <c r="D13" i="24"/>
  <c r="D15" i="24" s="1"/>
  <c r="D18" i="24" s="1"/>
  <c r="D23" i="24" s="1"/>
  <c r="D43" i="33" s="1"/>
  <c r="E13" i="32"/>
  <c r="E70" i="31"/>
  <c r="E27" i="22"/>
  <c r="E127" i="1"/>
  <c r="D30" i="33"/>
  <c r="E71" i="32" s="1"/>
  <c r="E78" i="2" s="1"/>
  <c r="E84" i="2" s="1"/>
  <c r="D36" i="33" s="1"/>
  <c r="D17" i="31"/>
  <c r="D19" i="31" s="1"/>
  <c r="D21" i="31" s="1"/>
  <c r="C10" i="33"/>
  <c r="D18" i="32" s="1"/>
  <c r="D20" i="32" s="1"/>
  <c r="D68" i="2" s="1"/>
  <c r="D70" i="2" s="1"/>
  <c r="E28" i="33"/>
  <c r="F66" i="32" s="1"/>
  <c r="G67" i="1"/>
  <c r="F65" i="31"/>
  <c r="F83" i="1"/>
  <c r="E11" i="33"/>
  <c r="F19" i="32" s="1"/>
  <c r="F18" i="31"/>
  <c r="G18" i="1"/>
  <c r="F71" i="1"/>
  <c r="G16" i="1"/>
  <c r="E126" i="1"/>
  <c r="E28" i="22"/>
  <c r="E69" i="31"/>
  <c r="D16" i="33"/>
  <c r="E86" i="32" s="1"/>
  <c r="F88" i="1"/>
  <c r="E85" i="31"/>
  <c r="D162" i="34"/>
  <c r="E161" i="34"/>
  <c r="E23" i="33"/>
  <c r="G52" i="1"/>
  <c r="G114" i="1" s="1"/>
  <c r="F52" i="31"/>
  <c r="G24" i="34"/>
  <c r="E24" i="34"/>
  <c r="E19" i="1"/>
  <c r="E17" i="1" s="1"/>
  <c r="G14" i="33"/>
  <c r="H82" i="32" s="1"/>
  <c r="I84" i="1"/>
  <c r="H14" i="33" s="1"/>
  <c r="I82" i="32" s="1"/>
  <c r="F19" i="22"/>
  <c r="E69" i="2"/>
  <c r="F17" i="32"/>
  <c r="E70" i="32"/>
  <c r="N18" i="27"/>
  <c r="N19" i="27"/>
  <c r="D29" i="1" s="1"/>
  <c r="D15" i="33"/>
  <c r="E83" i="32" s="1"/>
  <c r="E90" i="32" s="1"/>
  <c r="E26" i="32" s="1"/>
  <c r="E83" i="31"/>
  <c r="F85" i="1"/>
  <c r="C36" i="32" l="1"/>
  <c r="C104" i="2"/>
  <c r="C102" i="2" s="1"/>
  <c r="D27" i="31"/>
  <c r="D47" i="27"/>
  <c r="D48" i="27" s="1"/>
  <c r="D51" i="27" s="1"/>
  <c r="D53" i="27" s="1"/>
  <c r="F47" i="27"/>
  <c r="F48" i="27" s="1"/>
  <c r="F51" i="27" s="1"/>
  <c r="F53" i="27" s="1"/>
  <c r="H47" i="27"/>
  <c r="H48" i="27" s="1"/>
  <c r="H51" i="27" s="1"/>
  <c r="H53" i="27" s="1"/>
  <c r="J47" i="27"/>
  <c r="J48" i="27" s="1"/>
  <c r="J51" i="27" s="1"/>
  <c r="J53" i="27" s="1"/>
  <c r="E47" i="27"/>
  <c r="E48" i="27" s="1"/>
  <c r="E51" i="27" s="1"/>
  <c r="E53" i="27" s="1"/>
  <c r="M47" i="27"/>
  <c r="M48" i="27" s="1"/>
  <c r="M51" i="27" s="1"/>
  <c r="M53" i="27" s="1"/>
  <c r="K47" i="27"/>
  <c r="K48" i="27" s="1"/>
  <c r="K51" i="27" s="1"/>
  <c r="K53" i="27" s="1"/>
  <c r="I47" i="27"/>
  <c r="I48" i="27" s="1"/>
  <c r="I51" i="27" s="1"/>
  <c r="I53" i="27" s="1"/>
  <c r="G47" i="27"/>
  <c r="G48" i="27" s="1"/>
  <c r="G51" i="27" s="1"/>
  <c r="G53" i="27" s="1"/>
  <c r="D99" i="1"/>
  <c r="D18" i="22"/>
  <c r="B15" i="23"/>
  <c r="B16" i="23" s="1"/>
  <c r="C26" i="33"/>
  <c r="D73" i="1"/>
  <c r="D55" i="31"/>
  <c r="L47" i="27"/>
  <c r="L48" i="27" s="1"/>
  <c r="L51" i="27" s="1"/>
  <c r="L53" i="27" s="1"/>
  <c r="E89" i="31"/>
  <c r="E25" i="31" s="1"/>
  <c r="D22" i="32"/>
  <c r="C20" i="27"/>
  <c r="N20" i="27" s="1"/>
  <c r="D65" i="1" s="1"/>
  <c r="G98" i="1"/>
  <c r="F17" i="33" s="1"/>
  <c r="G95" i="32" s="1"/>
  <c r="E129" i="1"/>
  <c r="E56" i="1" s="1"/>
  <c r="C15" i="23" s="1"/>
  <c r="C16" i="23" s="1"/>
  <c r="E15" i="33"/>
  <c r="F83" i="32" s="1"/>
  <c r="G85" i="1"/>
  <c r="F83" i="31"/>
  <c r="C23" i="27"/>
  <c r="D24" i="34"/>
  <c r="F53" i="32"/>
  <c r="D163" i="34"/>
  <c r="E162" i="34"/>
  <c r="F85" i="31"/>
  <c r="G88" i="1"/>
  <c r="E16" i="33"/>
  <c r="F86" i="32" s="1"/>
  <c r="H18" i="1"/>
  <c r="F11" i="33"/>
  <c r="G19" i="32" s="1"/>
  <c r="G71" i="1"/>
  <c r="G126" i="1" s="1"/>
  <c r="H16" i="1"/>
  <c r="G17" i="32"/>
  <c r="F70" i="32"/>
  <c r="F81" i="31"/>
  <c r="E13" i="33"/>
  <c r="F92" i="1"/>
  <c r="F25" i="1" s="1"/>
  <c r="F27" i="1" s="1"/>
  <c r="G83" i="1"/>
  <c r="F28" i="33"/>
  <c r="G66" i="32" s="1"/>
  <c r="H67" i="1"/>
  <c r="F70" i="31"/>
  <c r="F127" i="1"/>
  <c r="E30" i="33"/>
  <c r="F71" i="32" s="1"/>
  <c r="F78" i="2" s="1"/>
  <c r="F84" i="2" s="1"/>
  <c r="E36" i="33" s="1"/>
  <c r="F27" i="22"/>
  <c r="D10" i="23"/>
  <c r="D11" i="23" s="1"/>
  <c r="D13" i="23"/>
  <c r="D14" i="23" s="1"/>
  <c r="G12" i="1"/>
  <c r="H10" i="1"/>
  <c r="F9" i="33"/>
  <c r="G11" i="32" s="1"/>
  <c r="G72" i="1"/>
  <c r="G21" i="1"/>
  <c r="B16" i="35"/>
  <c r="F26" i="34"/>
  <c r="D30" i="32"/>
  <c r="D29" i="31"/>
  <c r="D14" i="22"/>
  <c r="F69" i="2"/>
  <c r="E17" i="31"/>
  <c r="E19" i="31" s="1"/>
  <c r="E21" i="31" s="1"/>
  <c r="D10" i="33"/>
  <c r="E18" i="32" s="1"/>
  <c r="E20" i="32" s="1"/>
  <c r="E68" i="2" s="1"/>
  <c r="E70" i="2" s="1"/>
  <c r="E25" i="34"/>
  <c r="D25" i="34" s="1"/>
  <c r="G25" i="34"/>
  <c r="F23" i="33"/>
  <c r="H52" i="1"/>
  <c r="F126" i="1"/>
  <c r="F69" i="31"/>
  <c r="F28" i="22"/>
  <c r="F19" i="1"/>
  <c r="F17" i="1" s="1"/>
  <c r="E13" i="24"/>
  <c r="E15" i="24" s="1"/>
  <c r="E18" i="24" s="1"/>
  <c r="E23" i="24" s="1"/>
  <c r="E43" i="33" s="1"/>
  <c r="F13" i="32"/>
  <c r="D31" i="1"/>
  <c r="D31" i="31" l="1"/>
  <c r="C50" i="2"/>
  <c r="B35" i="33" s="1"/>
  <c r="B20" i="33"/>
  <c r="C123" i="2"/>
  <c r="D28" i="32"/>
  <c r="D42" i="2"/>
  <c r="C34" i="33" s="1"/>
  <c r="E73" i="1"/>
  <c r="E55" i="31"/>
  <c r="D54" i="27"/>
  <c r="D55" i="27" s="1"/>
  <c r="F54" i="27"/>
  <c r="F55" i="27" s="1"/>
  <c r="H54" i="27"/>
  <c r="H55" i="27" s="1"/>
  <c r="J54" i="27"/>
  <c r="J55" i="27" s="1"/>
  <c r="E54" i="27"/>
  <c r="E55" i="27" s="1"/>
  <c r="M54" i="27"/>
  <c r="M55" i="27" s="1"/>
  <c r="K54" i="27"/>
  <c r="K55" i="27" s="1"/>
  <c r="I54" i="27"/>
  <c r="I55" i="27" s="1"/>
  <c r="G54" i="27"/>
  <c r="G55" i="27" s="1"/>
  <c r="D96" i="31"/>
  <c r="D99" i="31" s="1"/>
  <c r="D33" i="31" s="1"/>
  <c r="E99" i="1"/>
  <c r="C18" i="33"/>
  <c r="D96" i="32" s="1"/>
  <c r="D40" i="22"/>
  <c r="D71" i="31"/>
  <c r="C31" i="33"/>
  <c r="D72" i="32" s="1"/>
  <c r="L54" i="27"/>
  <c r="L55" i="27" s="1"/>
  <c r="E27" i="31"/>
  <c r="D26" i="33"/>
  <c r="E18" i="22"/>
  <c r="E22" i="32"/>
  <c r="F89" i="31"/>
  <c r="F25" i="31" s="1"/>
  <c r="D13" i="22"/>
  <c r="E10" i="33"/>
  <c r="F18" i="32" s="1"/>
  <c r="F20" i="32" s="1"/>
  <c r="F68" i="2" s="1"/>
  <c r="F70" i="2" s="1"/>
  <c r="F17" i="31"/>
  <c r="F19" i="31" s="1"/>
  <c r="F21" i="31" s="1"/>
  <c r="G23" i="33"/>
  <c r="I52" i="1"/>
  <c r="H23" i="33" s="1"/>
  <c r="I53" i="32" s="1"/>
  <c r="G53" i="32"/>
  <c r="E26" i="34"/>
  <c r="D26" i="34" s="1"/>
  <c r="G26" i="34"/>
  <c r="D33" i="2"/>
  <c r="B11" i="20"/>
  <c r="F13" i="24"/>
  <c r="F15" i="24" s="1"/>
  <c r="F18" i="24" s="1"/>
  <c r="F23" i="24" s="1"/>
  <c r="F43" i="33" s="1"/>
  <c r="G13" i="32"/>
  <c r="G19" i="1"/>
  <c r="G17" i="1" s="1"/>
  <c r="F10" i="33" s="1"/>
  <c r="G18" i="32" s="1"/>
  <c r="G20" i="32" s="1"/>
  <c r="G68" i="2" s="1"/>
  <c r="G28" i="33"/>
  <c r="H66" i="32" s="1"/>
  <c r="I67" i="1"/>
  <c r="H28" i="33" s="1"/>
  <c r="I66" i="32" s="1"/>
  <c r="F13" i="33"/>
  <c r="H83" i="1"/>
  <c r="G92" i="1"/>
  <c r="G25" i="1" s="1"/>
  <c r="G27" i="1" s="1"/>
  <c r="H98" i="1"/>
  <c r="G17" i="33" s="1"/>
  <c r="H95" i="32" s="1"/>
  <c r="H17" i="32"/>
  <c r="G70" i="32"/>
  <c r="F16" i="33"/>
  <c r="G86" i="32" s="1"/>
  <c r="H88" i="1"/>
  <c r="C25" i="27"/>
  <c r="N23" i="27"/>
  <c r="F15" i="33"/>
  <c r="G83" i="32" s="1"/>
  <c r="H85" i="1"/>
  <c r="F129" i="1"/>
  <c r="F56" i="1" s="1"/>
  <c r="H114" i="1"/>
  <c r="B17" i="35"/>
  <c r="F27" i="34"/>
  <c r="G127" i="1"/>
  <c r="G129" i="1" s="1"/>
  <c r="G56" i="1" s="1"/>
  <c r="F30" i="33"/>
  <c r="G71" i="32" s="1"/>
  <c r="G78" i="2" s="1"/>
  <c r="G84" i="2" s="1"/>
  <c r="F36" i="33" s="1"/>
  <c r="G9" i="33"/>
  <c r="H11" i="32" s="1"/>
  <c r="H12" i="1"/>
  <c r="H21" i="1"/>
  <c r="H72" i="1"/>
  <c r="I10" i="1"/>
  <c r="G69" i="2"/>
  <c r="G11" i="33"/>
  <c r="H19" i="32" s="1"/>
  <c r="H71" i="1"/>
  <c r="H126" i="1" s="1"/>
  <c r="I18" i="1"/>
  <c r="I16" i="1"/>
  <c r="D164" i="34"/>
  <c r="E163" i="34"/>
  <c r="D63" i="31"/>
  <c r="D73" i="31" s="1"/>
  <c r="D58" i="31" s="1"/>
  <c r="D64" i="32"/>
  <c r="D74" i="32" s="1"/>
  <c r="D60" i="32" s="1"/>
  <c r="D75" i="1"/>
  <c r="D60" i="1" s="1"/>
  <c r="F90" i="32"/>
  <c r="F26" i="32" s="1"/>
  <c r="D35" i="31" l="1"/>
  <c r="D32" i="32"/>
  <c r="D104" i="2" s="1"/>
  <c r="D16" i="2"/>
  <c r="E71" i="31"/>
  <c r="D31" i="33"/>
  <c r="E72" i="32" s="1"/>
  <c r="E40" i="22"/>
  <c r="D18" i="33"/>
  <c r="E96" i="32" s="1"/>
  <c r="E96" i="31"/>
  <c r="E99" i="31" s="1"/>
  <c r="E33" i="31" s="1"/>
  <c r="F99" i="1"/>
  <c r="E28" i="32"/>
  <c r="E16" i="2" s="1"/>
  <c r="E42" i="2"/>
  <c r="D34" i="33" s="1"/>
  <c r="G90" i="32"/>
  <c r="G26" i="32" s="1"/>
  <c r="F27" i="31"/>
  <c r="H19" i="1"/>
  <c r="H17" i="1" s="1"/>
  <c r="G10" i="33" s="1"/>
  <c r="H18" i="32" s="1"/>
  <c r="H20" i="32" s="1"/>
  <c r="H68" i="2" s="1"/>
  <c r="G22" i="32"/>
  <c r="G42" i="2" s="1"/>
  <c r="F34" i="33" s="1"/>
  <c r="I114" i="1"/>
  <c r="F22" i="32"/>
  <c r="F28" i="32" s="1"/>
  <c r="D75" i="32"/>
  <c r="I71" i="1"/>
  <c r="I126" i="1" s="1"/>
  <c r="H11" i="33"/>
  <c r="I19" i="32" s="1"/>
  <c r="I70" i="32" s="1"/>
  <c r="H70" i="32"/>
  <c r="I17" i="32"/>
  <c r="I12" i="1"/>
  <c r="H9" i="33"/>
  <c r="I11" i="32" s="1"/>
  <c r="I72" i="1"/>
  <c r="I21" i="1"/>
  <c r="G30" i="33"/>
  <c r="H71" i="32" s="1"/>
  <c r="H78" i="2" s="1"/>
  <c r="H84" i="2" s="1"/>
  <c r="G36" i="33" s="1"/>
  <c r="H127" i="1"/>
  <c r="H129" i="1" s="1"/>
  <c r="H56" i="1" s="1"/>
  <c r="B18" i="35"/>
  <c r="F28" i="34"/>
  <c r="E26" i="33"/>
  <c r="F18" i="22"/>
  <c r="D15" i="23"/>
  <c r="D16" i="23" s="1"/>
  <c r="F55" i="31"/>
  <c r="F73" i="1"/>
  <c r="G15" i="33"/>
  <c r="H83" i="32" s="1"/>
  <c r="I85" i="1"/>
  <c r="H15" i="33" s="1"/>
  <c r="I83" i="32" s="1"/>
  <c r="I88" i="1"/>
  <c r="H16" i="33" s="1"/>
  <c r="I86" i="32" s="1"/>
  <c r="G16" i="33"/>
  <c r="H86" i="32" s="1"/>
  <c r="D76" i="1"/>
  <c r="D49" i="31"/>
  <c r="D74" i="31"/>
  <c r="D165" i="34"/>
  <c r="E164" i="34"/>
  <c r="C11" i="20"/>
  <c r="E33" i="2"/>
  <c r="F26" i="33"/>
  <c r="G73" i="1"/>
  <c r="F31" i="33" s="1"/>
  <c r="G72" i="32" s="1"/>
  <c r="G70" i="2"/>
  <c r="H13" i="32"/>
  <c r="G13" i="24"/>
  <c r="G15" i="24" s="1"/>
  <c r="G18" i="24" s="1"/>
  <c r="G23" i="24" s="1"/>
  <c r="G43" i="33" s="1"/>
  <c r="C26" i="27"/>
  <c r="N26" i="27" s="1"/>
  <c r="E29" i="1" s="1"/>
  <c r="N25" i="27"/>
  <c r="H69" i="2"/>
  <c r="I98" i="1"/>
  <c r="H17" i="33" s="1"/>
  <c r="I95" i="32" s="1"/>
  <c r="H92" i="1"/>
  <c r="H25" i="1" s="1"/>
  <c r="H27" i="1" s="1"/>
  <c r="I83" i="1"/>
  <c r="G13" i="33"/>
  <c r="B36" i="20"/>
  <c r="E27" i="34"/>
  <c r="G27" i="34"/>
  <c r="H53" i="32"/>
  <c r="F96" i="31" l="1"/>
  <c r="F99" i="31" s="1"/>
  <c r="F33" i="31" s="1"/>
  <c r="E18" i="33"/>
  <c r="F96" i="32" s="1"/>
  <c r="G99" i="1"/>
  <c r="G28" i="32"/>
  <c r="G16" i="2" s="1"/>
  <c r="F42" i="2"/>
  <c r="E34" i="33" s="1"/>
  <c r="H90" i="32"/>
  <c r="H26" i="32" s="1"/>
  <c r="C27" i="27"/>
  <c r="C30" i="27" s="1"/>
  <c r="G28" i="34"/>
  <c r="E28" i="34"/>
  <c r="D28" i="34" s="1"/>
  <c r="B44" i="20"/>
  <c r="H13" i="33"/>
  <c r="I92" i="1"/>
  <c r="I25" i="1" s="1"/>
  <c r="I27" i="1" s="1"/>
  <c r="H73" i="1"/>
  <c r="G31" i="33" s="1"/>
  <c r="H72" i="32" s="1"/>
  <c r="H33" i="2" s="1"/>
  <c r="G26" i="33"/>
  <c r="F16" i="2"/>
  <c r="E11" i="20"/>
  <c r="G33" i="2"/>
  <c r="F29" i="34"/>
  <c r="B19" i="35"/>
  <c r="I19" i="1"/>
  <c r="I17" i="1" s="1"/>
  <c r="H10" i="33" s="1"/>
  <c r="I18" i="32" s="1"/>
  <c r="I20" i="32" s="1"/>
  <c r="I68" i="2" s="1"/>
  <c r="D27" i="34"/>
  <c r="H70" i="2"/>
  <c r="E14" i="22"/>
  <c r="E29" i="31"/>
  <c r="E31" i="31" s="1"/>
  <c r="E35" i="31" s="1"/>
  <c r="E30" i="32"/>
  <c r="E32" i="32" s="1"/>
  <c r="E31" i="1"/>
  <c r="H22" i="32"/>
  <c r="C36" i="20"/>
  <c r="E165" i="34"/>
  <c r="D166" i="34"/>
  <c r="I90" i="32"/>
  <c r="I26" i="32" s="1"/>
  <c r="F40" i="22"/>
  <c r="E31" i="33"/>
  <c r="F72" i="32" s="1"/>
  <c r="F71" i="31"/>
  <c r="H30" i="33"/>
  <c r="I71" i="32" s="1"/>
  <c r="I78" i="2" s="1"/>
  <c r="I84" i="2" s="1"/>
  <c r="H36" i="33" s="1"/>
  <c r="I127" i="1"/>
  <c r="I129" i="1" s="1"/>
  <c r="I56" i="1" s="1"/>
  <c r="H13" i="24"/>
  <c r="H15" i="24" s="1"/>
  <c r="H18" i="24" s="1"/>
  <c r="H23" i="24" s="1"/>
  <c r="H43" i="33" s="1"/>
  <c r="I13" i="32"/>
  <c r="I69" i="2"/>
  <c r="H99" i="1" l="1"/>
  <c r="F18" i="33"/>
  <c r="G96" i="32" s="1"/>
  <c r="F11" i="20"/>
  <c r="F36" i="20" s="1"/>
  <c r="N27" i="27"/>
  <c r="E65" i="1" s="1"/>
  <c r="I22" i="32"/>
  <c r="I42" i="2" s="1"/>
  <c r="H34" i="33" s="1"/>
  <c r="I73" i="1"/>
  <c r="H31" i="33" s="1"/>
  <c r="I72" i="32" s="1"/>
  <c r="H26" i="33"/>
  <c r="C44" i="20"/>
  <c r="E13" i="22"/>
  <c r="B20" i="35"/>
  <c r="B21" i="35" s="1"/>
  <c r="F30" i="34"/>
  <c r="E36" i="20"/>
  <c r="C32" i="27"/>
  <c r="N30" i="27"/>
  <c r="I70" i="2"/>
  <c r="F33" i="2"/>
  <c r="D11" i="20"/>
  <c r="D167" i="34"/>
  <c r="E166" i="34"/>
  <c r="H42" i="2"/>
  <c r="G34" i="33" s="1"/>
  <c r="H28" i="32"/>
  <c r="E104" i="2"/>
  <c r="E29" i="34"/>
  <c r="D29" i="34" s="1"/>
  <c r="G29" i="34"/>
  <c r="E64" i="32" l="1"/>
  <c r="E74" i="32" s="1"/>
  <c r="E60" i="32" s="1"/>
  <c r="E75" i="32" s="1"/>
  <c r="E75" i="1"/>
  <c r="E60" i="1" s="1"/>
  <c r="E76" i="1" s="1"/>
  <c r="G18" i="33"/>
  <c r="H96" i="32" s="1"/>
  <c r="I99" i="1"/>
  <c r="H18" i="33" s="1"/>
  <c r="I96" i="32" s="1"/>
  <c r="I28" i="32"/>
  <c r="I16" i="2" s="1"/>
  <c r="E63" i="31"/>
  <c r="E73" i="31" s="1"/>
  <c r="E58" i="31" s="1"/>
  <c r="E74" i="31" s="1"/>
  <c r="F44" i="20"/>
  <c r="H16" i="2"/>
  <c r="C33" i="27"/>
  <c r="N33" i="27" s="1"/>
  <c r="F29" i="1" s="1"/>
  <c r="N32" i="27"/>
  <c r="D21" i="2"/>
  <c r="D112" i="1"/>
  <c r="D115" i="1" s="1"/>
  <c r="E30" i="34"/>
  <c r="D117" i="1"/>
  <c r="G30" i="34"/>
  <c r="D110" i="1"/>
  <c r="E167" i="34"/>
  <c r="D168" i="34"/>
  <c r="D36" i="20"/>
  <c r="E44" i="20"/>
  <c r="C9" i="35"/>
  <c r="F31" i="34"/>
  <c r="G11" i="20"/>
  <c r="I33" i="2"/>
  <c r="E49" i="31" l="1"/>
  <c r="C34" i="27"/>
  <c r="C37" i="27" s="1"/>
  <c r="F32" i="34"/>
  <c r="C10" i="35"/>
  <c r="D44" i="20"/>
  <c r="D169" i="34"/>
  <c r="E168" i="34"/>
  <c r="G31" i="34"/>
  <c r="E31" i="34"/>
  <c r="D31" i="34" s="1"/>
  <c r="D30" i="34"/>
  <c r="G36" i="20"/>
  <c r="C19" i="33"/>
  <c r="D97" i="32" s="1"/>
  <c r="D99" i="32" s="1"/>
  <c r="D100" i="1"/>
  <c r="D102" i="1" s="1"/>
  <c r="D33" i="1" s="1"/>
  <c r="D25" i="22"/>
  <c r="D34" i="22" s="1"/>
  <c r="F14" i="22"/>
  <c r="F30" i="32"/>
  <c r="F32" i="32" s="1"/>
  <c r="F29" i="31"/>
  <c r="F31" i="31" s="1"/>
  <c r="F35" i="31" s="1"/>
  <c r="F31" i="1"/>
  <c r="N34" i="27" l="1"/>
  <c r="F65" i="1" s="1"/>
  <c r="D34" i="32"/>
  <c r="D36" i="32" s="1"/>
  <c r="D20" i="2"/>
  <c r="D23" i="2" s="1"/>
  <c r="D11" i="2" s="1"/>
  <c r="D105" i="2"/>
  <c r="D102" i="2" s="1"/>
  <c r="C39" i="27"/>
  <c r="N37" i="27"/>
  <c r="F13" i="22"/>
  <c r="F104" i="2"/>
  <c r="D26" i="22"/>
  <c r="D35" i="1"/>
  <c r="G44" i="20"/>
  <c r="E32" i="34"/>
  <c r="G32" i="34"/>
  <c r="E169" i="34"/>
  <c r="D170" i="34"/>
  <c r="C11" i="35"/>
  <c r="F33" i="34"/>
  <c r="F63" i="31" l="1"/>
  <c r="F73" i="31" s="1"/>
  <c r="F58" i="31" s="1"/>
  <c r="F64" i="32"/>
  <c r="F74" i="32" s="1"/>
  <c r="F60" i="32" s="1"/>
  <c r="F75" i="32" s="1"/>
  <c r="F75" i="1"/>
  <c r="F60" i="1" s="1"/>
  <c r="F76" i="1" s="1"/>
  <c r="D32" i="34"/>
  <c r="D50" i="2"/>
  <c r="C35" i="33" s="1"/>
  <c r="C20" i="33"/>
  <c r="F34" i="34"/>
  <c r="C12" i="35"/>
  <c r="D171" i="34"/>
  <c r="E170" i="34"/>
  <c r="G33" i="34"/>
  <c r="E33" i="34"/>
  <c r="D33" i="34" s="1"/>
  <c r="C40" i="27"/>
  <c r="N40" i="27" s="1"/>
  <c r="G29" i="1" s="1"/>
  <c r="N39" i="27"/>
  <c r="F74" i="31" l="1"/>
  <c r="F49" i="31"/>
  <c r="C41" i="27"/>
  <c r="C44" i="27" s="1"/>
  <c r="G30" i="32"/>
  <c r="G32" i="32" s="1"/>
  <c r="G31" i="1"/>
  <c r="G34" i="34"/>
  <c r="E34" i="34"/>
  <c r="D34" i="34" s="1"/>
  <c r="E171" i="34"/>
  <c r="D172" i="34"/>
  <c r="F35" i="34"/>
  <c r="C13" i="35"/>
  <c r="N41" i="27" l="1"/>
  <c r="G65" i="1" s="1"/>
  <c r="G64" i="32" s="1"/>
  <c r="G74" i="32" s="1"/>
  <c r="G60" i="32" s="1"/>
  <c r="E172" i="34"/>
  <c r="D173" i="34"/>
  <c r="C46" i="27"/>
  <c r="N44" i="27"/>
  <c r="F36" i="34"/>
  <c r="C14" i="35"/>
  <c r="E35" i="34"/>
  <c r="D35" i="34" s="1"/>
  <c r="G35" i="34"/>
  <c r="G104" i="2"/>
  <c r="G75" i="1" l="1"/>
  <c r="G60" i="1" s="1"/>
  <c r="G76" i="1" s="1"/>
  <c r="G75" i="32"/>
  <c r="F37" i="34"/>
  <c r="C15" i="35"/>
  <c r="E173" i="34"/>
  <c r="D174" i="34"/>
  <c r="G36" i="34"/>
  <c r="E36" i="34"/>
  <c r="D36" i="34" s="1"/>
  <c r="C47" i="27"/>
  <c r="N47" i="27" s="1"/>
  <c r="H29" i="1" s="1"/>
  <c r="N46" i="27"/>
  <c r="C48" i="27" l="1"/>
  <c r="C51" i="27" s="1"/>
  <c r="E37" i="34"/>
  <c r="D37" i="34" s="1"/>
  <c r="G37" i="34"/>
  <c r="C16" i="35"/>
  <c r="F38" i="34"/>
  <c r="H30" i="32"/>
  <c r="H32" i="32" s="1"/>
  <c r="H31" i="1"/>
  <c r="E174" i="34"/>
  <c r="D175" i="34"/>
  <c r="N48" i="27" l="1"/>
  <c r="H65" i="1" s="1"/>
  <c r="H64" i="32" s="1"/>
  <c r="H74" i="32" s="1"/>
  <c r="H60" i="32" s="1"/>
  <c r="D176" i="34"/>
  <c r="E175" i="34"/>
  <c r="F39" i="34"/>
  <c r="C17" i="35"/>
  <c r="E38" i="34"/>
  <c r="D38" i="34" s="1"/>
  <c r="G38" i="34"/>
  <c r="H104" i="2"/>
  <c r="C53" i="27"/>
  <c r="N51" i="27"/>
  <c r="H75" i="1" l="1"/>
  <c r="H60" i="1" s="1"/>
  <c r="H76" i="1" s="1"/>
  <c r="C54" i="27"/>
  <c r="N54" i="27" s="1"/>
  <c r="I29" i="1" s="1"/>
  <c r="N53" i="27"/>
  <c r="G39" i="34"/>
  <c r="E39" i="34"/>
  <c r="D39" i="34" s="1"/>
  <c r="E176" i="34"/>
  <c r="D177" i="34"/>
  <c r="H75" i="32"/>
  <c r="F40" i="34"/>
  <c r="C18" i="35"/>
  <c r="C55" i="27" l="1"/>
  <c r="N55" i="27" s="1"/>
  <c r="I65" i="1" s="1"/>
  <c r="I64" i="32" s="1"/>
  <c r="I74" i="32" s="1"/>
  <c r="I60" i="32" s="1"/>
  <c r="F41" i="34"/>
  <c r="C19" i="35"/>
  <c r="E177" i="34"/>
  <c r="D178" i="34"/>
  <c r="G40" i="34"/>
  <c r="E40" i="34"/>
  <c r="D40" i="34" s="1"/>
  <c r="I30" i="32"/>
  <c r="I32" i="32" s="1"/>
  <c r="I31" i="1"/>
  <c r="I75" i="1" l="1"/>
  <c r="I60" i="1" s="1"/>
  <c r="I76" i="1" s="1"/>
  <c r="E178" i="34"/>
  <c r="D179" i="34"/>
  <c r="I104" i="2"/>
  <c r="G41" i="34"/>
  <c r="E41" i="34"/>
  <c r="F42" i="34"/>
  <c r="C20" i="35"/>
  <c r="C21" i="35" s="1"/>
  <c r="I75" i="32"/>
  <c r="D9" i="35" l="1"/>
  <c r="F43" i="34"/>
  <c r="E117" i="1"/>
  <c r="E42" i="34"/>
  <c r="G42" i="34"/>
  <c r="E112" i="1"/>
  <c r="E115" i="1" s="1"/>
  <c r="B22" i="35"/>
  <c r="D118" i="1" s="1"/>
  <c r="E21" i="2"/>
  <c r="D41" i="34"/>
  <c r="E110" i="1"/>
  <c r="D180" i="34"/>
  <c r="E179" i="34"/>
  <c r="D181" i="34" l="1"/>
  <c r="E180" i="34"/>
  <c r="C25" i="33"/>
  <c r="D59" i="32" s="1"/>
  <c r="D58" i="1"/>
  <c r="D17" i="22" s="1"/>
  <c r="D21" i="22" s="1"/>
  <c r="D37" i="22" s="1"/>
  <c r="D38" i="22" s="1"/>
  <c r="D119" i="1"/>
  <c r="D42" i="34"/>
  <c r="F44" i="34"/>
  <c r="D10" i="35"/>
  <c r="E100" i="1"/>
  <c r="E102" i="1" s="1"/>
  <c r="E33" i="1" s="1"/>
  <c r="D19" i="33"/>
  <c r="E97" i="32" s="1"/>
  <c r="E99" i="32" s="1"/>
  <c r="E43" i="34"/>
  <c r="D43" i="34" s="1"/>
  <c r="G43" i="34"/>
  <c r="E25" i="22"/>
  <c r="E26" i="22" l="1"/>
  <c r="E34" i="22" s="1"/>
  <c r="E35" i="1"/>
  <c r="D11" i="35"/>
  <c r="F45" i="34"/>
  <c r="D43" i="22"/>
  <c r="E36" i="22"/>
  <c r="G44" i="34"/>
  <c r="E44" i="34"/>
  <c r="D44" i="34" s="1"/>
  <c r="E34" i="32"/>
  <c r="E36" i="32" s="1"/>
  <c r="E105" i="2"/>
  <c r="E102" i="2" s="1"/>
  <c r="E20" i="2"/>
  <c r="E23" i="2" s="1"/>
  <c r="E11" i="2" s="1"/>
  <c r="D53" i="1"/>
  <c r="D49" i="1" s="1"/>
  <c r="C24" i="33"/>
  <c r="D54" i="32" s="1"/>
  <c r="D50" i="32" s="1"/>
  <c r="D34" i="2"/>
  <c r="B13" i="20"/>
  <c r="B22" i="20"/>
  <c r="B46" i="20" s="1"/>
  <c r="E181" i="34"/>
  <c r="D182" i="34"/>
  <c r="D183" i="34" l="1"/>
  <c r="E182" i="34"/>
  <c r="D113" i="2"/>
  <c r="D115" i="2" s="1"/>
  <c r="D31" i="2"/>
  <c r="C37" i="33" s="1"/>
  <c r="D20" i="33"/>
  <c r="E50" i="2"/>
  <c r="D35" i="33" s="1"/>
  <c r="E45" i="34"/>
  <c r="G45" i="34"/>
  <c r="B38" i="20"/>
  <c r="B41" i="20" s="1"/>
  <c r="B16" i="20"/>
  <c r="D58" i="2"/>
  <c r="C38" i="33" s="1"/>
  <c r="D93" i="2"/>
  <c r="D123" i="2"/>
  <c r="F46" i="34"/>
  <c r="D12" i="35"/>
  <c r="F47" i="34" l="1"/>
  <c r="D13" i="35"/>
  <c r="B19" i="20"/>
  <c r="B24" i="20" s="1"/>
  <c r="B26" i="20"/>
  <c r="D45" i="34"/>
  <c r="B50" i="20"/>
  <c r="B48" i="20"/>
  <c r="G46" i="34"/>
  <c r="E46" i="34"/>
  <c r="D46" i="34" s="1"/>
  <c r="E183" i="34"/>
  <c r="D184" i="34"/>
  <c r="B28" i="20" l="1"/>
  <c r="C41" i="33" s="1"/>
  <c r="G47" i="34"/>
  <c r="E47" i="34"/>
  <c r="D47" i="34" s="1"/>
  <c r="D185" i="34"/>
  <c r="E184" i="34"/>
  <c r="B52" i="20"/>
  <c r="C42" i="33" s="1"/>
  <c r="D14" i="35"/>
  <c r="F48" i="34"/>
  <c r="E185" i="34" l="1"/>
  <c r="D186" i="34"/>
  <c r="D15" i="35"/>
  <c r="F49" i="34"/>
  <c r="E48" i="34"/>
  <c r="D48" i="34" s="1"/>
  <c r="G48" i="34"/>
  <c r="F50" i="34" l="1"/>
  <c r="D16" i="35"/>
  <c r="E186" i="34"/>
  <c r="D187" i="34"/>
  <c r="E49" i="34"/>
  <c r="D49" i="34" s="1"/>
  <c r="G49" i="34"/>
  <c r="G50" i="34" l="1"/>
  <c r="E50" i="34"/>
  <c r="D50" i="34" s="1"/>
  <c r="E187" i="34"/>
  <c r="D188" i="34"/>
  <c r="F51" i="34"/>
  <c r="D17" i="35"/>
  <c r="D189" i="34" l="1"/>
  <c r="E188" i="34"/>
  <c r="D18" i="35"/>
  <c r="F52" i="34"/>
  <c r="E51" i="34"/>
  <c r="D51" i="34" s="1"/>
  <c r="G51" i="34"/>
  <c r="E52" i="34" l="1"/>
  <c r="D52" i="34" s="1"/>
  <c r="G52" i="34"/>
  <c r="D19" i="35"/>
  <c r="F53" i="34"/>
  <c r="E189" i="34"/>
  <c r="D190" i="34"/>
  <c r="E190" i="34" l="1"/>
  <c r="D191" i="34"/>
  <c r="D20" i="35"/>
  <c r="D21" i="35" s="1"/>
  <c r="F54" i="34"/>
  <c r="E53" i="34"/>
  <c r="G53" i="34"/>
  <c r="E54" i="34" l="1"/>
  <c r="F117" i="1"/>
  <c r="G54" i="34"/>
  <c r="F55" i="34"/>
  <c r="E9" i="35"/>
  <c r="E191" i="34"/>
  <c r="D192" i="34"/>
  <c r="E192" i="34" s="1"/>
  <c r="D53" i="34"/>
  <c r="F110" i="1"/>
  <c r="C22" i="35"/>
  <c r="E118" i="1" s="1"/>
  <c r="F112" i="1"/>
  <c r="F115" i="1" s="1"/>
  <c r="F21" i="2"/>
  <c r="D25" i="33" l="1"/>
  <c r="E59" i="32" s="1"/>
  <c r="E58" i="1"/>
  <c r="E17" i="22" s="1"/>
  <c r="E21" i="22" s="1"/>
  <c r="E37" i="22" s="1"/>
  <c r="E38" i="22" s="1"/>
  <c r="E119" i="1"/>
  <c r="F56" i="34"/>
  <c r="E10" i="35"/>
  <c r="F25" i="22"/>
  <c r="E19" i="33"/>
  <c r="F97" i="32" s="1"/>
  <c r="F99" i="32" s="1"/>
  <c r="F100" i="1"/>
  <c r="F102" i="1" s="1"/>
  <c r="F33" i="1" s="1"/>
  <c r="E193" i="34"/>
  <c r="E55" i="34"/>
  <c r="D55" i="34" s="1"/>
  <c r="G55" i="34"/>
  <c r="D54" i="34"/>
  <c r="F105" i="2" l="1"/>
  <c r="F102" i="2" s="1"/>
  <c r="F34" i="32"/>
  <c r="F36" i="32" s="1"/>
  <c r="F20" i="2"/>
  <c r="F23" i="2" s="1"/>
  <c r="F11" i="2" s="1"/>
  <c r="F57" i="34"/>
  <c r="E11" i="35"/>
  <c r="F36" i="22"/>
  <c r="E43" i="22"/>
  <c r="E56" i="34"/>
  <c r="G56" i="34"/>
  <c r="F26" i="22"/>
  <c r="F34" i="22" s="1"/>
  <c r="F35" i="1"/>
  <c r="D24" i="33"/>
  <c r="E54" i="32" s="1"/>
  <c r="E50" i="32" s="1"/>
  <c r="E53" i="1"/>
  <c r="E49" i="1" s="1"/>
  <c r="C13" i="20"/>
  <c r="E34" i="2"/>
  <c r="C22" i="20"/>
  <c r="C46" i="20" s="1"/>
  <c r="E113" i="2" l="1"/>
  <c r="E115" i="2" s="1"/>
  <c r="E31" i="2"/>
  <c r="D37" i="33" s="1"/>
  <c r="D56" i="34"/>
  <c r="F58" i="34"/>
  <c r="E12" i="35"/>
  <c r="F50" i="2"/>
  <c r="E35" i="33" s="1"/>
  <c r="E20" i="33"/>
  <c r="C38" i="20"/>
  <c r="C41" i="20" s="1"/>
  <c r="C16" i="20"/>
  <c r="E58" i="2"/>
  <c r="D38" i="33" s="1"/>
  <c r="E93" i="2"/>
  <c r="E123" i="2"/>
  <c r="E57" i="34"/>
  <c r="D57" i="34" s="1"/>
  <c r="G57" i="34"/>
  <c r="G58" i="34" l="1"/>
  <c r="E58" i="34"/>
  <c r="C48" i="20"/>
  <c r="C50" i="20"/>
  <c r="C26" i="20"/>
  <c r="C19" i="20"/>
  <c r="C24" i="20" s="1"/>
  <c r="F59" i="34"/>
  <c r="E13" i="35"/>
  <c r="C52" i="20" l="1"/>
  <c r="D42" i="33" s="1"/>
  <c r="C28" i="20"/>
  <c r="D41" i="33" s="1"/>
  <c r="G59" i="34"/>
  <c r="E59" i="34"/>
  <c r="D59" i="34" s="1"/>
  <c r="E14" i="35"/>
  <c r="F60" i="34"/>
  <c r="D58" i="34"/>
  <c r="E15" i="35" l="1"/>
  <c r="F61" i="34"/>
  <c r="G60" i="34"/>
  <c r="E60" i="34"/>
  <c r="D60" i="34" l="1"/>
  <c r="F62" i="34"/>
  <c r="E16" i="35"/>
  <c r="E61" i="34"/>
  <c r="D61" i="34" s="1"/>
  <c r="G61" i="34"/>
  <c r="E62" i="34" l="1"/>
  <c r="G62" i="34"/>
  <c r="E17" i="35"/>
  <c r="F63" i="34"/>
  <c r="E18" i="35" l="1"/>
  <c r="F64" i="34"/>
  <c r="E63" i="34"/>
  <c r="D63" i="34" s="1"/>
  <c r="G63" i="34"/>
  <c r="D62" i="34"/>
  <c r="G64" i="34" l="1"/>
  <c r="E64" i="34"/>
  <c r="D64" i="34" s="1"/>
  <c r="E19" i="35"/>
  <c r="F65" i="34"/>
  <c r="E20" i="35" l="1"/>
  <c r="E21" i="35" s="1"/>
  <c r="F66" i="34"/>
  <c r="E65" i="34"/>
  <c r="G65" i="34"/>
  <c r="E66" i="34" l="1"/>
  <c r="G117" i="1"/>
  <c r="G66" i="34"/>
  <c r="F67" i="34"/>
  <c r="F9" i="35"/>
  <c r="D65" i="34"/>
  <c r="G110" i="1"/>
  <c r="D22" i="35"/>
  <c r="F118" i="1" s="1"/>
  <c r="G112" i="1"/>
  <c r="G115" i="1" s="1"/>
  <c r="G21" i="2"/>
  <c r="F58" i="1" l="1"/>
  <c r="F17" i="22" s="1"/>
  <c r="F21" i="22" s="1"/>
  <c r="F37" i="22" s="1"/>
  <c r="F38" i="22" s="1"/>
  <c r="F43" i="22" s="1"/>
  <c r="E25" i="33"/>
  <c r="F59" i="32" s="1"/>
  <c r="F119" i="1"/>
  <c r="F10" i="35"/>
  <c r="F68" i="34"/>
  <c r="F19" i="33"/>
  <c r="G97" i="32" s="1"/>
  <c r="G99" i="32" s="1"/>
  <c r="G100" i="1"/>
  <c r="G102" i="1" s="1"/>
  <c r="G33" i="1" s="1"/>
  <c r="G35" i="1" s="1"/>
  <c r="G67" i="34"/>
  <c r="E67" i="34"/>
  <c r="D67" i="34" s="1"/>
  <c r="D66" i="34"/>
  <c r="E68" i="34" l="1"/>
  <c r="G68" i="34"/>
  <c r="D13" i="20"/>
  <c r="F34" i="2"/>
  <c r="D22" i="20"/>
  <c r="D46" i="20" s="1"/>
  <c r="G105" i="2"/>
  <c r="G102" i="2" s="1"/>
  <c r="G34" i="32"/>
  <c r="G36" i="32" s="1"/>
  <c r="G20" i="2"/>
  <c r="G23" i="2" s="1"/>
  <c r="G11" i="2" s="1"/>
  <c r="F11" i="35"/>
  <c r="F69" i="34"/>
  <c r="F53" i="1"/>
  <c r="F49" i="1" s="1"/>
  <c r="E24" i="33"/>
  <c r="F54" i="32" s="1"/>
  <c r="F50" i="32" s="1"/>
  <c r="G50" i="2" l="1"/>
  <c r="F35" i="33" s="1"/>
  <c r="F20" i="33"/>
  <c r="D38" i="20"/>
  <c r="D41" i="20" s="1"/>
  <c r="D16" i="20"/>
  <c r="D68" i="34"/>
  <c r="F58" i="2"/>
  <c r="E38" i="33" s="1"/>
  <c r="F93" i="2"/>
  <c r="F123" i="2"/>
  <c r="F70" i="34"/>
  <c r="F12" i="35"/>
  <c r="F31" i="2"/>
  <c r="E37" i="33" s="1"/>
  <c r="F113" i="2"/>
  <c r="F115" i="2" s="1"/>
  <c r="G69" i="34"/>
  <c r="E69" i="34"/>
  <c r="D69" i="34" s="1"/>
  <c r="E70" i="34" l="1"/>
  <c r="G70" i="34"/>
  <c r="F13" i="35"/>
  <c r="F71" i="34"/>
  <c r="D19" i="20"/>
  <c r="D24" i="20" s="1"/>
  <c r="D26" i="20"/>
  <c r="D48" i="20"/>
  <c r="D50" i="20"/>
  <c r="D52" i="20" l="1"/>
  <c r="E42" i="33" s="1"/>
  <c r="F72" i="34"/>
  <c r="F14" i="35"/>
  <c r="G71" i="34"/>
  <c r="E71" i="34"/>
  <c r="D71" i="34" s="1"/>
  <c r="D28" i="20"/>
  <c r="E41" i="33" s="1"/>
  <c r="D70" i="34"/>
  <c r="E72" i="34" l="1"/>
  <c r="D72" i="34" s="1"/>
  <c r="G72" i="34"/>
  <c r="F73" i="34"/>
  <c r="F15" i="35"/>
  <c r="F16" i="35" l="1"/>
  <c r="F74" i="34"/>
  <c r="E73" i="34"/>
  <c r="D73" i="34" s="1"/>
  <c r="G73" i="34"/>
  <c r="E74" i="34" l="1"/>
  <c r="D74" i="34" s="1"/>
  <c r="G74" i="34"/>
  <c r="F17" i="35"/>
  <c r="F75" i="34"/>
  <c r="F76" i="34" l="1"/>
  <c r="F18" i="35"/>
  <c r="E75" i="34"/>
  <c r="D75" i="34" s="1"/>
  <c r="G75" i="34"/>
  <c r="G76" i="34" l="1"/>
  <c r="E76" i="34"/>
  <c r="D76" i="34" s="1"/>
  <c r="F19" i="35"/>
  <c r="F77" i="34"/>
  <c r="F78" i="34" l="1"/>
  <c r="F20" i="35"/>
  <c r="F21" i="35" s="1"/>
  <c r="E77" i="34"/>
  <c r="G77" i="34"/>
  <c r="H117" i="1" l="1"/>
  <c r="E78" i="34"/>
  <c r="G78" i="34"/>
  <c r="H112" i="1"/>
  <c r="H115" i="1" s="1"/>
  <c r="H21" i="2"/>
  <c r="E22" i="35"/>
  <c r="G118" i="1" s="1"/>
  <c r="D77" i="34"/>
  <c r="H110" i="1"/>
  <c r="G9" i="35"/>
  <c r="F79" i="34"/>
  <c r="F80" i="34" l="1"/>
  <c r="G10" i="35"/>
  <c r="G19" i="33"/>
  <c r="H97" i="32" s="1"/>
  <c r="H99" i="32" s="1"/>
  <c r="H100" i="1"/>
  <c r="H102" i="1" s="1"/>
  <c r="H33" i="1" s="1"/>
  <c r="H35" i="1" s="1"/>
  <c r="F25" i="33"/>
  <c r="G59" i="32" s="1"/>
  <c r="G58" i="1"/>
  <c r="G119" i="1"/>
  <c r="D78" i="34"/>
  <c r="G79" i="34"/>
  <c r="E79" i="34"/>
  <c r="D79" i="34" s="1"/>
  <c r="E80" i="34" l="1"/>
  <c r="D80" i="34" s="1"/>
  <c r="G80" i="34"/>
  <c r="F24" i="33"/>
  <c r="G54" i="32" s="1"/>
  <c r="G50" i="32" s="1"/>
  <c r="G53" i="1"/>
  <c r="G49" i="1" s="1"/>
  <c r="G34" i="2"/>
  <c r="E13" i="20"/>
  <c r="E22" i="20"/>
  <c r="E46" i="20" s="1"/>
  <c r="H20" i="2"/>
  <c r="H23" i="2" s="1"/>
  <c r="H11" i="2" s="1"/>
  <c r="H105" i="2"/>
  <c r="H102" i="2" s="1"/>
  <c r="H34" i="32"/>
  <c r="H36" i="32" s="1"/>
  <c r="F81" i="34"/>
  <c r="G11" i="35"/>
  <c r="F82" i="34" l="1"/>
  <c r="G12" i="35"/>
  <c r="G113" i="2"/>
  <c r="G115" i="2" s="1"/>
  <c r="G31" i="2"/>
  <c r="F37" i="33" s="1"/>
  <c r="G58" i="2"/>
  <c r="F38" i="33" s="1"/>
  <c r="G93" i="2"/>
  <c r="G123" i="2"/>
  <c r="G81" i="34"/>
  <c r="E81" i="34"/>
  <c r="H50" i="2"/>
  <c r="G35" i="33" s="1"/>
  <c r="G20" i="33"/>
  <c r="E38" i="20"/>
  <c r="E41" i="20" s="1"/>
  <c r="E16" i="20"/>
  <c r="E50" i="20" l="1"/>
  <c r="E48" i="20"/>
  <c r="E82" i="34"/>
  <c r="D82" i="34" s="1"/>
  <c r="G82" i="34"/>
  <c r="E19" i="20"/>
  <c r="E24" i="20" s="1"/>
  <c r="E26" i="20"/>
  <c r="D81" i="34"/>
  <c r="G13" i="35"/>
  <c r="F83" i="34"/>
  <c r="E52" i="20" l="1"/>
  <c r="F42" i="33" s="1"/>
  <c r="E83" i="34"/>
  <c r="G83" i="34"/>
  <c r="G14" i="35"/>
  <c r="F84" i="34"/>
  <c r="E28" i="20"/>
  <c r="F41" i="33" s="1"/>
  <c r="D83" i="34" l="1"/>
  <c r="G15" i="35"/>
  <c r="F85" i="34"/>
  <c r="E84" i="34"/>
  <c r="D84" i="34" s="1"/>
  <c r="G84" i="34"/>
  <c r="G85" i="34" l="1"/>
  <c r="E85" i="34"/>
  <c r="G16" i="35"/>
  <c r="F86" i="34"/>
  <c r="G17" i="35" l="1"/>
  <c r="F87" i="34"/>
  <c r="D85" i="34"/>
  <c r="E86" i="34"/>
  <c r="D86" i="34" s="1"/>
  <c r="G86" i="34"/>
  <c r="E87" i="34" l="1"/>
  <c r="D87" i="34" s="1"/>
  <c r="G87" i="34"/>
  <c r="G18" i="35"/>
  <c r="F88" i="34"/>
  <c r="F89" i="34" l="1"/>
  <c r="G19" i="35"/>
  <c r="E88" i="34"/>
  <c r="D88" i="34" s="1"/>
  <c r="G88" i="34"/>
  <c r="E89" i="34" l="1"/>
  <c r="G89" i="34"/>
  <c r="F90" i="34"/>
  <c r="G20" i="35"/>
  <c r="G21" i="35" s="1"/>
  <c r="I21" i="2" l="1"/>
  <c r="I112" i="1"/>
  <c r="I115" i="1" s="1"/>
  <c r="F22" i="35"/>
  <c r="H118" i="1" s="1"/>
  <c r="E90" i="34"/>
  <c r="D90" i="34" s="1"/>
  <c r="I117" i="1"/>
  <c r="G90" i="34"/>
  <c r="F91" i="34"/>
  <c r="H9" i="35"/>
  <c r="D89" i="34"/>
  <c r="I110" i="1"/>
  <c r="I100" i="1" l="1"/>
  <c r="I102" i="1" s="1"/>
  <c r="I33" i="1" s="1"/>
  <c r="I35" i="1" s="1"/>
  <c r="H19" i="33"/>
  <c r="I97" i="32" s="1"/>
  <c r="I99" i="32" s="1"/>
  <c r="E91" i="34"/>
  <c r="D91" i="34" s="1"/>
  <c r="G91" i="34"/>
  <c r="H10" i="35"/>
  <c r="F92" i="34"/>
  <c r="H58" i="1"/>
  <c r="G25" i="33"/>
  <c r="H59" i="32" s="1"/>
  <c r="H119" i="1"/>
  <c r="H34" i="2" l="1"/>
  <c r="F13" i="20"/>
  <c r="F22" i="20"/>
  <c r="F46" i="20" s="1"/>
  <c r="I34" i="32"/>
  <c r="I36" i="32" s="1"/>
  <c r="I20" i="2"/>
  <c r="I23" i="2" s="1"/>
  <c r="I11" i="2" s="1"/>
  <c r="I105" i="2"/>
  <c r="I102" i="2" s="1"/>
  <c r="G24" i="33"/>
  <c r="H54" i="32" s="1"/>
  <c r="H50" i="32" s="1"/>
  <c r="H53" i="1"/>
  <c r="H49" i="1" s="1"/>
  <c r="F93" i="34"/>
  <c r="H11" i="35"/>
  <c r="E92" i="34"/>
  <c r="D92" i="34" s="1"/>
  <c r="G92" i="34"/>
  <c r="F94" i="34" l="1"/>
  <c r="H12" i="35"/>
  <c r="H58" i="2"/>
  <c r="G38" i="33" s="1"/>
  <c r="H93" i="2"/>
  <c r="H123" i="2"/>
  <c r="H31" i="2"/>
  <c r="G37" i="33" s="1"/>
  <c r="H113" i="2"/>
  <c r="H115" i="2" s="1"/>
  <c r="G93" i="34"/>
  <c r="E93" i="34"/>
  <c r="D93" i="34" s="1"/>
  <c r="I50" i="2"/>
  <c r="H35" i="33" s="1"/>
  <c r="H20" i="33"/>
  <c r="F38" i="20"/>
  <c r="F41" i="20" s="1"/>
  <c r="F16" i="20"/>
  <c r="F95" i="34" l="1"/>
  <c r="H13" i="35"/>
  <c r="F50" i="20"/>
  <c r="F48" i="20"/>
  <c r="F19" i="20"/>
  <c r="F24" i="20" s="1"/>
  <c r="F26" i="20"/>
  <c r="E94" i="34"/>
  <c r="D94" i="34" s="1"/>
  <c r="G94" i="34"/>
  <c r="F52" i="20" l="1"/>
  <c r="G42" i="33" s="1"/>
  <c r="E95" i="34"/>
  <c r="D95" i="34" s="1"/>
  <c r="G95" i="34"/>
  <c r="F28" i="20"/>
  <c r="G41" i="33" s="1"/>
  <c r="H14" i="35"/>
  <c r="F96" i="34"/>
  <c r="E96" i="34" l="1"/>
  <c r="D96" i="34" s="1"/>
  <c r="G96" i="34"/>
  <c r="F97" i="34"/>
  <c r="H15" i="35"/>
  <c r="E97" i="34" l="1"/>
  <c r="D97" i="34" s="1"/>
  <c r="G97" i="34"/>
  <c r="F98" i="34"/>
  <c r="H16" i="35"/>
  <c r="E98" i="34" l="1"/>
  <c r="D98" i="34" s="1"/>
  <c r="G98" i="34"/>
  <c r="F99" i="34"/>
  <c r="H17" i="35"/>
  <c r="G99" i="34" l="1"/>
  <c r="E99" i="34"/>
  <c r="D99" i="34" s="1"/>
  <c r="F100" i="34"/>
  <c r="H18" i="35"/>
  <c r="H19" i="35" l="1"/>
  <c r="F101" i="34"/>
  <c r="E100" i="34"/>
  <c r="D100" i="34" s="1"/>
  <c r="G100" i="34"/>
  <c r="G101" i="34" l="1"/>
  <c r="E101" i="34"/>
  <c r="D101" i="34" s="1"/>
  <c r="F102" i="34"/>
  <c r="H20" i="35"/>
  <c r="H21" i="35" s="1"/>
  <c r="G22" i="35" s="1"/>
  <c r="I118" i="1" s="1"/>
  <c r="H25" i="33" l="1"/>
  <c r="I59" i="32" s="1"/>
  <c r="I58" i="1"/>
  <c r="I119" i="1"/>
  <c r="I9" i="35"/>
  <c r="F103" i="34"/>
  <c r="E102" i="34"/>
  <c r="D102" i="34" s="1"/>
  <c r="G102" i="34"/>
  <c r="G103" i="34" l="1"/>
  <c r="E103" i="34"/>
  <c r="D103" i="34" s="1"/>
  <c r="F104" i="34"/>
  <c r="I10" i="35"/>
  <c r="H24" i="33"/>
  <c r="I54" i="32" s="1"/>
  <c r="I50" i="32" s="1"/>
  <c r="I53" i="1"/>
  <c r="I49" i="1" s="1"/>
  <c r="I34" i="2"/>
  <c r="G13" i="20"/>
  <c r="G22" i="20"/>
  <c r="G46" i="20" s="1"/>
  <c r="I31" i="2" l="1"/>
  <c r="H37" i="33" s="1"/>
  <c r="I113" i="2"/>
  <c r="I115" i="2" s="1"/>
  <c r="I58" i="2"/>
  <c r="H38" i="33" s="1"/>
  <c r="I93" i="2"/>
  <c r="I123" i="2"/>
  <c r="I11" i="35"/>
  <c r="F105" i="34"/>
  <c r="G104" i="34"/>
  <c r="E104" i="34"/>
  <c r="D104" i="34" s="1"/>
  <c r="G38" i="20"/>
  <c r="G41" i="20" s="1"/>
  <c r="G16" i="20"/>
  <c r="G26" i="20" l="1"/>
  <c r="G19" i="20"/>
  <c r="G24" i="20" s="1"/>
  <c r="F106" i="34"/>
  <c r="I12" i="35"/>
  <c r="G48" i="20"/>
  <c r="G50" i="20"/>
  <c r="E105" i="34"/>
  <c r="D105" i="34" s="1"/>
  <c r="G105" i="34"/>
  <c r="G28" i="20" l="1"/>
  <c r="H41" i="33" s="1"/>
  <c r="G52" i="20"/>
  <c r="H42" i="33" s="1"/>
  <c r="F107" i="34"/>
  <c r="I14" i="35" s="1"/>
  <c r="I13" i="35"/>
  <c r="E106" i="34"/>
  <c r="D106" i="34" s="1"/>
  <c r="G106" i="34"/>
  <c r="E107" i="34" l="1"/>
  <c r="D107" i="34" s="1"/>
  <c r="G107" i="34"/>
  <c r="I21" i="35"/>
  <c r="H22" i="35" s="1"/>
</calcChain>
</file>

<file path=xl/sharedStrings.xml><?xml version="1.0" encoding="utf-8"?>
<sst xmlns="http://schemas.openxmlformats.org/spreadsheetml/2006/main" count="766" uniqueCount="432">
  <si>
    <t>PARTICULARS</t>
  </si>
  <si>
    <t>Opening Stock</t>
  </si>
  <si>
    <t>Closing Stock</t>
  </si>
  <si>
    <t>Current Liabilities</t>
  </si>
  <si>
    <t>Debtors</t>
  </si>
  <si>
    <t>Interest</t>
  </si>
  <si>
    <t>Cost of Goods Sold:</t>
  </si>
  <si>
    <t>TRADING, PROFIT &amp; LOSS ACCOUNT FOR YEAR ENDED</t>
  </si>
  <si>
    <t>SOURCES OF FUNDS:</t>
  </si>
  <si>
    <t>APPLICATION OF FUNDS:</t>
  </si>
  <si>
    <t>BALANCE SHEET AS ON</t>
  </si>
  <si>
    <t>COGS</t>
  </si>
  <si>
    <t>AVERAGE STOCK</t>
  </si>
  <si>
    <t>Higher the ratio indicates good performance of the company. Lower ratio indicates poor performance.</t>
  </si>
  <si>
    <t xml:space="preserve">* No. of  Days  Assumed  as </t>
  </si>
  <si>
    <t>(No of days/debtor turnover ratio)</t>
  </si>
  <si>
    <t>It Indicates Inventory Management . It shows how offten company sells it inventory.</t>
  </si>
  <si>
    <t>collection.</t>
  </si>
  <si>
    <t>Credit sales / Average debtors</t>
  </si>
  <si>
    <t>*Sales assumed as credit sales</t>
  </si>
  <si>
    <t>RATIO ANALYSIS</t>
  </si>
  <si>
    <t>Gross profit / Sales * 100</t>
  </si>
  <si>
    <t>Netprofit / Sales * 100</t>
  </si>
  <si>
    <t>Particulars</t>
  </si>
  <si>
    <t>Partiiculars</t>
  </si>
  <si>
    <t>Sales / Networking Capital</t>
  </si>
  <si>
    <t>Current Assets / Current Liabilities</t>
  </si>
  <si>
    <t>Current Assets</t>
  </si>
  <si>
    <t>Networking capital (CA - CL)</t>
  </si>
  <si>
    <t>IDEAL RATIO   -   &gt;  1</t>
  </si>
  <si>
    <t>Sales / (Capital+Long Term  Loan)</t>
  </si>
  <si>
    <t>STR = (COGS / AVRG STOCK)</t>
  </si>
  <si>
    <t>PAT / (Capital+Long Term loan)</t>
  </si>
  <si>
    <t>Depreciation</t>
  </si>
  <si>
    <t>EBI</t>
  </si>
  <si>
    <t>E B I   / Interest</t>
  </si>
  <si>
    <t>Sch 1</t>
  </si>
  <si>
    <t>Schedules</t>
  </si>
  <si>
    <t>Schedule 1  -  Explanation for Administrative &amp; Selling Expenses</t>
  </si>
  <si>
    <t>Schedule 2  - Interest Statement</t>
  </si>
  <si>
    <t>Sch 2</t>
  </si>
  <si>
    <t>Turnover</t>
  </si>
  <si>
    <t xml:space="preserve"> 1. Total current assets</t>
  </si>
  <si>
    <t xml:space="preserve"> 2. Other  current liabilities</t>
  </si>
  <si>
    <t xml:space="preserve">    (Other than bank borrowings )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</si>
  <si>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</si>
  <si>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</si>
  <si>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</si>
  <si>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</si>
  <si>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</si>
  <si>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</si>
  <si>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PROJECTED CASH FLOW STATEMENTS:</t>
  </si>
  <si>
    <t>In flows:</t>
  </si>
  <si>
    <t>Outflows:</t>
  </si>
  <si>
    <t>Opening balance of cash</t>
  </si>
  <si>
    <t>Surplus during the year</t>
  </si>
  <si>
    <t>Closing balance of cash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</si>
  <si>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</si>
  <si>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</si>
  <si>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</si>
  <si>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</si>
  <si>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Ability to generate Sales per Rupee of Long term Investment</t>
    </r>
  </si>
  <si>
    <r>
      <t xml:space="preserve">NOTE : </t>
    </r>
    <r>
      <rPr>
        <sz val="10"/>
        <rFont val="Trebuchet MS"/>
        <family val="2"/>
      </rPr>
      <t>Ability to generate sales per Rupee of Working Capital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</si>
  <si>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 xml:space="preserve">: Stock turn over ratio anaysis helps us to understand business performance of the company. </t>
    </r>
  </si>
  <si>
    <r>
      <t>NOTES :</t>
    </r>
    <r>
      <rPr>
        <sz val="10"/>
        <rFont val="Trebuchet MS"/>
        <family val="2"/>
      </rPr>
      <t xml:space="preserve"> Indicates Basic Profitability of the Business.</t>
    </r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</si>
  <si>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</si>
  <si>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 xml:space="preserve">NOTES : </t>
    </r>
    <r>
      <rPr>
        <sz val="10"/>
        <rFont val="Trebuchet MS"/>
        <family val="2"/>
      </rPr>
      <t>Indicates Ability to repay short term commitments promptly 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</si>
  <si>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</si>
  <si>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</si>
  <si>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</si>
  <si>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</si>
  <si>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</si>
  <si>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</si>
  <si>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Decrease in debtors</t>
  </si>
  <si>
    <t>Increase in Debtors</t>
  </si>
  <si>
    <t>Increase in Stock</t>
  </si>
  <si>
    <t>Increase in Current liabilities</t>
  </si>
  <si>
    <t>Decrease in current liabilities</t>
  </si>
  <si>
    <t>Operating Expenses</t>
  </si>
  <si>
    <t>TOL / TW</t>
  </si>
  <si>
    <t>MEDICAID LABS LLP</t>
  </si>
  <si>
    <t>Electricity</t>
  </si>
  <si>
    <t>Salaries &amp; Wages</t>
  </si>
  <si>
    <t>AUTONAGAR , VIJAYAWADA - 520 007</t>
  </si>
  <si>
    <t xml:space="preserve">    (25% of Current Assets)</t>
  </si>
  <si>
    <t>Working Capital Requirement as per Nayak Committee Recommandations</t>
  </si>
  <si>
    <t>TURNOVER METHOD</t>
  </si>
  <si>
    <t>A. Turnover</t>
  </si>
  <si>
    <t>B. 25% of (A)</t>
  </si>
  <si>
    <t>H.Excess Borrowings ( I - H )</t>
  </si>
  <si>
    <t>D.  Net Working Capital</t>
  </si>
  <si>
    <t>F. Maximum Permissable Bank Finance</t>
  </si>
  <si>
    <t>C. Margin Required at 5% Turnover</t>
  </si>
  <si>
    <t>E. Eligible Bank Finance ( 20% of Turnover)</t>
  </si>
  <si>
    <t>I. Actual Bank Borrowings Required</t>
  </si>
  <si>
    <t>Drawings</t>
  </si>
  <si>
    <t>Decrease in Creditors</t>
  </si>
  <si>
    <t>Decrease in Other current assets</t>
  </si>
  <si>
    <t>Interest on CC/OD</t>
  </si>
  <si>
    <t>Increase in Unsecured loans</t>
  </si>
  <si>
    <t>Processing Charges</t>
  </si>
  <si>
    <t>Profit before Interest &amp; Tax but after Depreciation</t>
  </si>
  <si>
    <t>Increase in CC limit</t>
  </si>
  <si>
    <t>Increase in Other Current assets</t>
  </si>
  <si>
    <t>Interest paid</t>
  </si>
  <si>
    <t>Decrease in Unsecured Loans</t>
  </si>
  <si>
    <t>Total Inflows</t>
  </si>
  <si>
    <t>Total Outflows</t>
  </si>
  <si>
    <t>TERM LOANS:</t>
  </si>
  <si>
    <t>Net Capital</t>
  </si>
  <si>
    <t>(Opening capital + Net profit -Drawings)</t>
  </si>
  <si>
    <t>FIXED ASSETS:</t>
  </si>
  <si>
    <t>CURRENT ASSETS:</t>
  </si>
  <si>
    <t>H . CAPITAL TURNOVER RATIO</t>
  </si>
  <si>
    <t>K . RETURN ON CAPITAL EMPLOYED</t>
  </si>
  <si>
    <t>CURRENT LIABILITIES:</t>
  </si>
  <si>
    <t>WORKING CAPITAL ASSESSMENT - TURNOVER METHOD</t>
  </si>
  <si>
    <t>NAYAK COMMITTEE RECOMONDATIONS</t>
  </si>
  <si>
    <t>(25% of Turnover)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</si>
  <si>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</si>
  <si>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</si>
  <si>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</si>
  <si>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</si>
  <si>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</si>
  <si>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OF</t>
  </si>
  <si>
    <t>PREPARED BY</t>
  </si>
  <si>
    <t>Working capital Loan</t>
  </si>
  <si>
    <t>Direct Material &amp; Expenses</t>
  </si>
  <si>
    <t>Stock growth every year</t>
  </si>
  <si>
    <t>Projected</t>
  </si>
  <si>
    <t>Sales growth</t>
  </si>
  <si>
    <t>Working capital loan interest</t>
  </si>
  <si>
    <t>No of months in financial year</t>
  </si>
  <si>
    <t>Months completed</t>
  </si>
  <si>
    <t>Furniture and Fittings</t>
  </si>
  <si>
    <t>Plant and Machinery</t>
  </si>
  <si>
    <t>Stock value</t>
  </si>
  <si>
    <t>Name of Firm</t>
  </si>
  <si>
    <t>Firm address</t>
  </si>
  <si>
    <t>Estimated</t>
  </si>
  <si>
    <t>times of Working capital</t>
  </si>
  <si>
    <t>Existing</t>
  </si>
  <si>
    <t>Working capital (% on Turnover)</t>
  </si>
  <si>
    <t>Other Assets</t>
  </si>
  <si>
    <t>of working capital limit</t>
  </si>
  <si>
    <t>of previous year stock</t>
  </si>
  <si>
    <t>Yes</t>
  </si>
  <si>
    <t>CALCULATION OF DEPRECIATION AS PER INCOME TAX  ACT</t>
  </si>
  <si>
    <t>Total</t>
  </si>
  <si>
    <t>Add Additions</t>
  </si>
  <si>
    <t>Depreciation rates</t>
  </si>
  <si>
    <t>Manual entry</t>
  </si>
  <si>
    <t>No</t>
  </si>
  <si>
    <t>compared to previous year</t>
  </si>
  <si>
    <t>of loan amount</t>
  </si>
  <si>
    <t>per annum</t>
  </si>
  <si>
    <t>Loan amount</t>
  </si>
  <si>
    <t>Months</t>
  </si>
  <si>
    <t>2024-25</t>
  </si>
  <si>
    <t>2025-26</t>
  </si>
  <si>
    <t>2026-27</t>
  </si>
  <si>
    <t xml:space="preserve">Sales   </t>
  </si>
  <si>
    <t>on Sales</t>
  </si>
  <si>
    <t>Nature of Business</t>
  </si>
  <si>
    <t>Yearly pricipal deduction</t>
  </si>
  <si>
    <t>Interest on Other loans</t>
  </si>
  <si>
    <t>Secured and Unsecured Loans</t>
  </si>
  <si>
    <t>Other current liabilities</t>
  </si>
  <si>
    <t>INVESTMENTS:</t>
  </si>
  <si>
    <t>Other current Assets</t>
  </si>
  <si>
    <t>Loan repayment term period</t>
  </si>
  <si>
    <t>Bank CC/OD loan</t>
  </si>
  <si>
    <t>Gross Reciepts:</t>
  </si>
  <si>
    <t>Section</t>
  </si>
  <si>
    <t>Question</t>
  </si>
  <si>
    <t>Question Type</t>
  </si>
  <si>
    <t>Editable</t>
  </si>
  <si>
    <t>Options</t>
  </si>
  <si>
    <t>Min - Max</t>
  </si>
  <si>
    <t>Details which are required to be given by Customer</t>
  </si>
  <si>
    <t>Answer</t>
  </si>
  <si>
    <t xml:space="preserve">STEP 1 - START WITH </t>
  </si>
  <si>
    <t>Sector</t>
  </si>
  <si>
    <t>Manufacturing / Service (with stock) / Trading</t>
  </si>
  <si>
    <t>Business ( New / Existing)</t>
  </si>
  <si>
    <t>Loan required</t>
  </si>
  <si>
    <t xml:space="preserve">STEP 2 </t>
  </si>
  <si>
    <t>1st Financial year</t>
  </si>
  <si>
    <t>Non Editable</t>
  </si>
  <si>
    <t>2nd Financial year</t>
  </si>
  <si>
    <t>Next Financial year</t>
  </si>
  <si>
    <t>3rd Financial year</t>
  </si>
  <si>
    <t>2027-28</t>
  </si>
  <si>
    <t>4th Financial year</t>
  </si>
  <si>
    <t>2028-29</t>
  </si>
  <si>
    <t>5th Financial year</t>
  </si>
  <si>
    <t>STEP 3</t>
  </si>
  <si>
    <t xml:space="preserve">Note : </t>
  </si>
  <si>
    <t>Provisonal means - running financial year , but not yet audited</t>
  </si>
  <si>
    <t>Means of Finance details</t>
  </si>
  <si>
    <t>General Information</t>
  </si>
  <si>
    <t>Balance months left for Current financial year</t>
  </si>
  <si>
    <t>If Non Operating income exists in Provisional , then growth of it to be</t>
  </si>
  <si>
    <t>Off Admin and Marketing Expenses</t>
  </si>
  <si>
    <t>Auto Generated and Predefined , hence cannot be Edited</t>
  </si>
  <si>
    <t>Rent</t>
  </si>
  <si>
    <t>Service Equipment</t>
  </si>
  <si>
    <t>Yes,No</t>
  </si>
  <si>
    <t>Next fill the Means of finance,General Information.</t>
  </si>
  <si>
    <t>Completed Financial year and audited</t>
  </si>
  <si>
    <t>Audited period sale</t>
  </si>
  <si>
    <t>Are there any Other Term loans as per Audited financial statements?</t>
  </si>
  <si>
    <r>
      <t xml:space="preserve">Turnover </t>
    </r>
    <r>
      <rPr>
        <b/>
        <sz val="20"/>
        <rFont val="Trebuchet MS"/>
        <family val="2"/>
      </rPr>
      <t>(A1)</t>
    </r>
  </si>
  <si>
    <t>The Next financial year is selected as Estimated</t>
  </si>
  <si>
    <t>The very Next financial year will be (Option to select how many financial years projected is required will be given)</t>
  </si>
  <si>
    <t>Are you going for Working capital limit Topup from present limit?</t>
  </si>
  <si>
    <t>Audited / Provisional</t>
  </si>
  <si>
    <t>Processing fees (Inclusing GST)</t>
  </si>
  <si>
    <t xml:space="preserve">If First Financial year is Selected as "Audited / Provisional" </t>
  </si>
  <si>
    <t xml:space="preserve">Turnover </t>
  </si>
  <si>
    <t xml:space="preserve">Non Operating Income </t>
  </si>
  <si>
    <t>Net Capital (Opening capital +Net Profit -Drawings)</t>
  </si>
  <si>
    <t>Term Loans (Secured and Unsecured Loans Total)</t>
  </si>
  <si>
    <t>Gross Total Fixed Assets</t>
  </si>
  <si>
    <t>Net Total Fixed Assets</t>
  </si>
  <si>
    <t>Investments</t>
  </si>
  <si>
    <t>Other Current Assets if any</t>
  </si>
  <si>
    <t xml:space="preserve">Gross Profit </t>
  </si>
  <si>
    <t>Non Operating Income</t>
  </si>
  <si>
    <t>Adm &amp; Selling Expenses</t>
  </si>
  <si>
    <t>EBDIT</t>
  </si>
  <si>
    <t xml:space="preserve">Less : Depreciation  </t>
  </si>
  <si>
    <t>EBIT</t>
  </si>
  <si>
    <t xml:space="preserve">Less: Interest </t>
  </si>
  <si>
    <t>EBT</t>
  </si>
  <si>
    <t>Interest on CC / OD Loan</t>
  </si>
  <si>
    <t>CC Loan Outstanding</t>
  </si>
  <si>
    <t xml:space="preserve">Other Current Liabilities </t>
  </si>
  <si>
    <t>FINVOIS OPEN BUSINESS SOLUTIONS LLP</t>
  </si>
  <si>
    <t>Contact : 9618221011</t>
  </si>
  <si>
    <t>MPBF - Method 1 - 25% (Working Capital Gap)</t>
  </si>
  <si>
    <t>MPBF - Method 2 - 25% (Current Assets)</t>
  </si>
  <si>
    <t xml:space="preserve">Working capital Loan requirement </t>
  </si>
  <si>
    <t xml:space="preserve">Do you have working capital limit at present ? </t>
  </si>
  <si>
    <t>Financial Year</t>
  </si>
  <si>
    <t>Dropdown options to be provided</t>
  </si>
  <si>
    <t>CASH AND CASH EQUIVALENTS</t>
  </si>
  <si>
    <t>GP RATIO</t>
  </si>
  <si>
    <t>DEBTORS RATIO</t>
  </si>
  <si>
    <t>As per audited figures</t>
  </si>
  <si>
    <t>Assumptions</t>
  </si>
  <si>
    <t>STEP 1</t>
  </si>
  <si>
    <t>STEP 2 : BACK GROUND CALCULATION . NOT TO BE VISIBLE TO CUSTOMER</t>
  </si>
  <si>
    <t>WORKINGS FOR PROFIT AND LOSS ACCOUNT</t>
  </si>
  <si>
    <t>WORKINGS FOR BALANCESHEET</t>
  </si>
  <si>
    <t>WORKINGS FOR EXPENSES</t>
  </si>
  <si>
    <t>WORKINGS FOR INTEREST</t>
  </si>
  <si>
    <t>15% or more than 15%</t>
  </si>
  <si>
    <t>Manufacturing sector / Service sector (with stock) / Trading sector</t>
  </si>
  <si>
    <t>2024 - 25 to provide 10 years with Start Month to End Month</t>
  </si>
  <si>
    <t>Profit and Loss Items at a Glance :</t>
  </si>
  <si>
    <t>BalanceSheet Items at a Glance:</t>
  </si>
  <si>
    <t>RATIO ANALYSIS at a Glance: (Not Editable but displayed)</t>
  </si>
  <si>
    <t>All Items Editable</t>
  </si>
  <si>
    <t>Audited, Hence Not editable</t>
  </si>
  <si>
    <t>Gross profit ratio (%)</t>
  </si>
  <si>
    <t>Net Profit Ratio (%)</t>
  </si>
  <si>
    <t>Debtors Turonver Ratio (Days)</t>
  </si>
  <si>
    <t>Current Ratio</t>
  </si>
  <si>
    <t>Total outside Liabilities to Total Networth</t>
  </si>
  <si>
    <t>Financials and Ratios at a Glance</t>
  </si>
  <si>
    <t>MSME &amp; DPR Consultants</t>
  </si>
  <si>
    <t>Less :Admintrative &amp; Selling Expenses</t>
  </si>
  <si>
    <t>Other Current liabilities</t>
  </si>
  <si>
    <t>Rs in Lacs</t>
  </si>
  <si>
    <t>Cost of Project details</t>
  </si>
  <si>
    <t>Lacs</t>
  </si>
  <si>
    <t>Land</t>
  </si>
  <si>
    <t xml:space="preserve">Electrical Items &amp; fittings                    </t>
  </si>
  <si>
    <t>Electronic Items</t>
  </si>
  <si>
    <t>Vehicles</t>
  </si>
  <si>
    <t>Live stock</t>
  </si>
  <si>
    <t>Total Project Cost</t>
  </si>
  <si>
    <t>Autogenerated</t>
  </si>
  <si>
    <t>Eligible Term Loan amount</t>
  </si>
  <si>
    <t>Margin money amount for Fixed Assets</t>
  </si>
  <si>
    <t>Term Loan Rate of Interest</t>
  </si>
  <si>
    <t>Term Loan Tenure</t>
  </si>
  <si>
    <t>months</t>
  </si>
  <si>
    <t>EMI or Principal Amount shared Equally over loan Term period</t>
  </si>
  <si>
    <t>1. EMI shared equally over loan Term period, 2.Principal amount shard Equally over Loan term period</t>
  </si>
  <si>
    <t>Moratorium period , if any (In months)</t>
  </si>
  <si>
    <t>Processing fees rate (Including GST)</t>
  </si>
  <si>
    <t>EMI STATEMENT</t>
  </si>
  <si>
    <t>LOAN AMOUNT</t>
  </si>
  <si>
    <t>RATE OF INTEREST PER ANNUM</t>
  </si>
  <si>
    <t>RATE OF INTEREST PER MONTH</t>
  </si>
  <si>
    <t xml:space="preserve">NO OF INSTALLMENT </t>
  </si>
  <si>
    <t>EMI</t>
  </si>
  <si>
    <t>CALCULATION OF DETAILS OF EMI</t>
  </si>
  <si>
    <t>MONTHS</t>
  </si>
  <si>
    <t>INTEREST</t>
  </si>
  <si>
    <t>PRINCIPAL REPAYMENT</t>
  </si>
  <si>
    <t>OUTSTANDING PRINCIPAL</t>
  </si>
  <si>
    <t>Present Value Annuity Factor Table</t>
  </si>
  <si>
    <t>ANNUITY</t>
  </si>
  <si>
    <t xml:space="preserve">Repayment Schedule - Term Loan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</si>
  <si>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</si>
  <si>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</si>
  <si>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</si>
  <si>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</si>
  <si>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</si>
  <si>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</si>
  <si>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</si>
  <si>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</si>
  <si>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</si>
  <si>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</si>
  <si>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</si>
  <si>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</si>
  <si>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Short Term Loan Outstanding</t>
  </si>
  <si>
    <t>2029-30</t>
  </si>
  <si>
    <t>Processing Charges for CC Loan</t>
  </si>
  <si>
    <t>Interest on New Term loan</t>
  </si>
  <si>
    <t>Interest on Existing loans</t>
  </si>
  <si>
    <t>Processing Charges for New Term Loan</t>
  </si>
  <si>
    <t>New Term Loan</t>
  </si>
  <si>
    <t>Office Admin and Marketing Expenses</t>
  </si>
  <si>
    <t>Please refer "Repayment Sheet"</t>
  </si>
  <si>
    <t xml:space="preserve">Term Loan Outstanding (Including Short term loan) </t>
  </si>
  <si>
    <t>Short Term Loan Oustanding</t>
  </si>
  <si>
    <t>Term Loan (Only Long Term) Outstanding</t>
  </si>
  <si>
    <t>STEP 5 : DISPLAY TO CUSTOMER FOR MAKING EDITING</t>
  </si>
  <si>
    <t>WORKINGS FOR INTEREST , NEW TERM LOAN CALCULATION</t>
  </si>
  <si>
    <t>Outstanding Loan amount as on 31st March every year</t>
  </si>
  <si>
    <t>Proprietor / Managing Partner / Managing Director</t>
  </si>
  <si>
    <t>A . DEBT SERVICE COVERAGE RATIO</t>
  </si>
  <si>
    <t>IDEAL RATIO - 1.75 TO 3 Times</t>
  </si>
  <si>
    <t>DSCR  ( A / B )</t>
  </si>
  <si>
    <r>
      <t xml:space="preserve">  </t>
    </r>
    <r>
      <rPr>
        <u/>
        <sz val="10"/>
        <rFont val="Trebuchet MS"/>
        <family val="2"/>
      </rPr>
      <t>Earnings before Interest,Depreciation</t>
    </r>
    <r>
      <rPr>
        <sz val="10"/>
        <rFont val="Trebuchet MS"/>
        <family val="2"/>
      </rPr>
      <t xml:space="preserve"> </t>
    </r>
  </si>
  <si>
    <t xml:space="preserve">  Interest and Installment</t>
  </si>
  <si>
    <t xml:space="preserve"> A .Earnings Before Interest ,Depreciation</t>
  </si>
  <si>
    <t xml:space="preserve"> B .Total Interest and Installment</t>
  </si>
  <si>
    <t xml:space="preserve">    Total Interest</t>
  </si>
  <si>
    <t xml:space="preserve">    Installment</t>
  </si>
  <si>
    <t>NOTE : Indicates extent of current Earnings Available for meeting commitments towards interest and  Instalment .</t>
  </si>
  <si>
    <t>C . GROSS PROFIT RATIO</t>
  </si>
  <si>
    <t>D . NETPROFIT RATIO</t>
  </si>
  <si>
    <t>F . STOCK TURNOVER RATIO</t>
  </si>
  <si>
    <t>G  . DEBTORS TURNOVER RATIO</t>
  </si>
  <si>
    <t>Net Profit Before Tax</t>
  </si>
  <si>
    <r>
      <t xml:space="preserve">Turnover as per Working Capital to sales Ideal ratio </t>
    </r>
    <r>
      <rPr>
        <sz val="10"/>
        <color indexed="10"/>
        <rFont val="Arial"/>
        <family val="2"/>
      </rPr>
      <t>(A)</t>
    </r>
  </si>
  <si>
    <r>
      <t xml:space="preserve">Estimated period sale based on Audited performance at 20% growth </t>
    </r>
    <r>
      <rPr>
        <sz val="10"/>
        <color indexed="10"/>
        <rFont val="Arial"/>
        <family val="2"/>
      </rPr>
      <t>(B)</t>
    </r>
  </si>
  <si>
    <r>
      <t xml:space="preserve">Arrived sale for Estimated year </t>
    </r>
    <r>
      <rPr>
        <sz val="10"/>
        <color indexed="10"/>
        <rFont val="Arial"/>
        <family val="2"/>
      </rPr>
      <t>(Higher of A / B)</t>
    </r>
  </si>
  <si>
    <r>
      <t xml:space="preserve">Stock as per WC Loan </t>
    </r>
    <r>
      <rPr>
        <sz val="10"/>
        <color indexed="10"/>
        <rFont val="Arial"/>
        <family val="2"/>
      </rPr>
      <t>(A)</t>
    </r>
  </si>
  <si>
    <r>
      <t xml:space="preserve">Stock as per Audited financial statements </t>
    </r>
    <r>
      <rPr>
        <sz val="10"/>
        <color indexed="10"/>
        <rFont val="Arial"/>
        <family val="2"/>
      </rPr>
      <t>(B)</t>
    </r>
  </si>
  <si>
    <r>
      <t xml:space="preserve">Arrived stock in estimated </t>
    </r>
    <r>
      <rPr>
        <sz val="10"/>
        <color indexed="10"/>
        <rFont val="Arial"/>
        <family val="2"/>
      </rPr>
      <t>(A) or (B)</t>
    </r>
    <r>
      <rPr>
        <sz val="10"/>
        <rFont val="Arial"/>
        <family val="2"/>
      </rPr>
      <t xml:space="preserve"> Which ever is higher</t>
    </r>
  </si>
  <si>
    <t>Growth of Working capital Loan interest</t>
  </si>
  <si>
    <t>Office Admin, Marketing and Miscelleneous Expenses</t>
  </si>
  <si>
    <t>Total Principal amount Repayment for New Term Loan</t>
  </si>
  <si>
    <t>Total Principal amount Repayment for Existing Term Loans</t>
  </si>
  <si>
    <t xml:space="preserve">Total Principal amount Repayment </t>
  </si>
  <si>
    <t>NA</t>
  </si>
  <si>
    <t>6th Financial year</t>
  </si>
  <si>
    <t>2025 - 25 to provide 10 years with Start Month to End Month</t>
  </si>
  <si>
    <t>7th Financial year</t>
  </si>
  <si>
    <t>Opening Stock (A)</t>
  </si>
  <si>
    <t>Direct Material &amp; Expenses (B)</t>
  </si>
  <si>
    <t>Closing Stock(C )</t>
  </si>
  <si>
    <t>Operating Expenses (D = A+B-C)</t>
  </si>
  <si>
    <t>Gross Profit ( E = A1-D)</t>
  </si>
  <si>
    <t>Non Operating Income (F)</t>
  </si>
  <si>
    <t>Adm &amp; Selling Expenses(G)</t>
  </si>
  <si>
    <t>EBDIT(H = E+F-G)</t>
  </si>
  <si>
    <r>
      <t xml:space="preserve">Less : Depreciation  </t>
    </r>
    <r>
      <rPr>
        <b/>
        <sz val="20"/>
        <rFont val="Trebuchet MS"/>
        <family val="2"/>
      </rPr>
      <t>( I )</t>
    </r>
  </si>
  <si>
    <t>EBIT( J = H - I )</t>
  </si>
  <si>
    <t>Less: Interest (K)</t>
  </si>
  <si>
    <t>EBT(L = J- K )</t>
  </si>
  <si>
    <r>
      <t xml:space="preserve">Earnings Before Tax </t>
    </r>
    <r>
      <rPr>
        <b/>
        <sz val="20"/>
        <color indexed="17"/>
        <rFont val="Trebuchet MS"/>
        <family val="2"/>
      </rPr>
      <t>(Not Editable)</t>
    </r>
  </si>
  <si>
    <t>Total Term Loan Repayment</t>
  </si>
  <si>
    <t>Secured and Unsecured Loans(Existing)</t>
  </si>
  <si>
    <t>Existing Term Loans(Secured and Unsecured)</t>
  </si>
  <si>
    <t>New Asset Purchased during present year</t>
  </si>
  <si>
    <t>WORKING CAPITAL CALCULATION:</t>
  </si>
  <si>
    <t>Required WC Limit</t>
  </si>
  <si>
    <t>Closing stock</t>
  </si>
  <si>
    <t>Eligible Working capital limit</t>
  </si>
  <si>
    <t>No of Months EMI paid in First year of Term Loan</t>
  </si>
  <si>
    <t>MONTH</t>
  </si>
  <si>
    <t>From which month first EMI (New Term Loan) will be paid</t>
  </si>
  <si>
    <t>PROJECTIONS AND ESTIMATIONS</t>
  </si>
  <si>
    <t>Term Loan</t>
  </si>
  <si>
    <t>Working Capital Requirement</t>
  </si>
  <si>
    <t>Minimum Working Capital Limit</t>
  </si>
  <si>
    <t>(80%of Working Capital Requirment)</t>
  </si>
  <si>
    <t>2031-32</t>
  </si>
  <si>
    <t>2032-33</t>
  </si>
  <si>
    <t>IDEAL RATIO  &gt; 1.33</t>
  </si>
  <si>
    <t xml:space="preserve">B . CURRENT RATIO </t>
  </si>
  <si>
    <t>E .  TOTAL OUTSIDE LIABILITIES TO TOTAL NETWORTH RATIO :</t>
  </si>
  <si>
    <t>I . INTEREST COVERAGE RATIO</t>
  </si>
  <si>
    <t>J . WORKING CAPITAL TURNOVER RATIO :</t>
  </si>
  <si>
    <t>WDV as on year beginning</t>
  </si>
  <si>
    <t>WDV as on Year End</t>
  </si>
  <si>
    <t>Provisional / Audited</t>
  </si>
  <si>
    <t>Provisional or Audited</t>
  </si>
  <si>
    <t>Asset Category</t>
  </si>
  <si>
    <t>Sl.No</t>
  </si>
  <si>
    <t>Component</t>
  </si>
  <si>
    <t>Gross Amount             (Rs in Lacs)</t>
  </si>
  <si>
    <t>Net Amount (Rs in Lacs)</t>
  </si>
  <si>
    <t>Civil works &amp; Shed Construction</t>
  </si>
  <si>
    <t>Are you going for Fresh Term Loan in the Present Financial Year</t>
  </si>
  <si>
    <t>Shed and Civil works</t>
  </si>
  <si>
    <t>Electrical Items</t>
  </si>
  <si>
    <t xml:space="preserve">Other Assets </t>
  </si>
  <si>
    <t>Other Assets (Nil Depreciation)</t>
  </si>
  <si>
    <t>MAXIMUM PERMISSABLE BANK FINANCE:</t>
  </si>
  <si>
    <t>Method 1 : Working capital Method</t>
  </si>
  <si>
    <t>Method 1 : Current Assets Method</t>
  </si>
  <si>
    <t>Method 3 : Nayak Committee</t>
  </si>
  <si>
    <t>Closing Stock / WIP</t>
  </si>
  <si>
    <t>Gross Revenue / Turnover</t>
  </si>
  <si>
    <t>Gross Revenue / Turnover:</t>
  </si>
  <si>
    <t>Revenue</t>
  </si>
  <si>
    <t>Net Capital Including Net Reserves &amp; Surplus</t>
  </si>
  <si>
    <t>Status of Concern</t>
  </si>
  <si>
    <t>Soleproprietorship,Partnership,LLP,Company</t>
  </si>
  <si>
    <t>Amount in Rs</t>
  </si>
  <si>
    <t>SCHEDULE FOR NEW ASSET PURCHASED</t>
  </si>
  <si>
    <t>Debtors / Recievables</t>
  </si>
  <si>
    <t>Interest on CC/OD Loan</t>
  </si>
  <si>
    <t>New Term Loan Finance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</si>
</sst>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0.0"/>
    <numFmt numFmtId="167" formatCode="0.000%"/>
    <numFmt numFmtId="168" formatCode="#,##0.00;[Red]#,##0.00"/>
    <numFmt numFmtId="169" formatCode="_(* #,##0_);_(* \(#,##0\);_(* &quot;-&quot;??_);_(@_)"/>
    <numFmt numFmtId="170" formatCode="0.0000"/>
    <numFmt numFmtId="171" formatCode="0.00000"/>
  </numFmts>
  <fonts count="64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i/>
      <u/>
      <sz val="11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i/>
      <sz val="11"/>
      <name val="Trebuchet MS"/>
      <family val="2"/>
    </font>
    <font>
      <b/>
      <i/>
      <sz val="11"/>
      <name val="Trebuchet MS"/>
      <family val="2"/>
    </font>
    <font>
      <b/>
      <sz val="18"/>
      <name val="Trebuchet MS"/>
      <family val="2"/>
    </font>
    <font>
      <sz val="18"/>
      <name val="Trebuchet MS"/>
      <family val="2"/>
    </font>
    <font>
      <b/>
      <u/>
      <sz val="18"/>
      <name val="Trebuchet MS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name val="Trebuchet MS"/>
      <family val="2"/>
    </font>
    <font>
      <b/>
      <sz val="24"/>
      <name val="Trebuchet MS"/>
      <family val="2"/>
    </font>
    <font>
      <b/>
      <i/>
      <u/>
      <sz val="10"/>
      <name val="Trebuchet MS"/>
      <family val="2"/>
    </font>
    <font>
      <b/>
      <sz val="14"/>
      <name val="Arial"/>
      <family val="2"/>
    </font>
    <font>
      <b/>
      <sz val="22"/>
      <name val="Trebuchet MS"/>
      <family val="2"/>
    </font>
    <font>
      <b/>
      <u/>
      <sz val="20"/>
      <name val="Trebuchet MS"/>
      <family val="2"/>
    </font>
    <font>
      <b/>
      <sz val="16"/>
      <name val="Arial"/>
      <family val="2"/>
    </font>
    <font>
      <b/>
      <sz val="10"/>
      <color indexed="10"/>
      <name val="Trebuchet MS"/>
      <family val="2"/>
    </font>
    <font>
      <b/>
      <sz val="10"/>
      <color indexed="48"/>
      <name val="Trebuchet MS"/>
      <family val="2"/>
    </font>
    <font>
      <sz val="10"/>
      <color indexed="10"/>
      <name val="Trebuchet MS"/>
      <family val="2"/>
    </font>
    <font>
      <b/>
      <sz val="10"/>
      <color indexed="63"/>
      <name val="Trebuchet MS"/>
      <family val="2"/>
    </font>
    <font>
      <b/>
      <sz val="16"/>
      <name val="Trebuchet MS"/>
      <family val="2"/>
    </font>
    <font>
      <b/>
      <i/>
      <sz val="16"/>
      <name val="Trebuchet MS"/>
      <family val="2"/>
    </font>
    <font>
      <u/>
      <sz val="10"/>
      <name val="Trebuchet MS"/>
      <family val="2"/>
    </font>
    <font>
      <sz val="9"/>
      <name val="Trebuchet MS"/>
      <family val="2"/>
    </font>
    <font>
      <sz val="10"/>
      <color indexed="10"/>
      <name val="Arial"/>
      <family val="2"/>
    </font>
    <font>
      <b/>
      <sz val="20"/>
      <color indexed="17"/>
      <name val="Trebuchet MS"/>
      <family val="2"/>
    </font>
    <font>
      <b/>
      <sz val="11"/>
      <name val="Arial"/>
      <family val="2"/>
    </font>
    <font>
      <sz val="12"/>
      <color rgb="FF000000"/>
      <name val="Trebuchet MS"/>
      <family val="2"/>
    </font>
    <font>
      <b/>
      <i/>
      <sz val="10"/>
      <color theme="9" tint="-0.499984740745262"/>
      <name val="Trebuchet MS"/>
      <family val="2"/>
    </font>
    <font>
      <sz val="20"/>
      <color theme="1"/>
      <name val="Trebuchet MS"/>
      <family val="2"/>
    </font>
    <font>
      <b/>
      <i/>
      <sz val="18"/>
      <color rgb="FFFF0000"/>
      <name val="Trebuchet MS"/>
      <family val="2"/>
    </font>
    <font>
      <b/>
      <sz val="11"/>
      <color rgb="FF00B050"/>
      <name val="Trebuchet MS"/>
      <family val="2"/>
    </font>
    <font>
      <b/>
      <sz val="20"/>
      <color theme="0"/>
      <name val="Trebuchet MS"/>
      <family val="2"/>
    </font>
    <font>
      <sz val="20"/>
      <color theme="0"/>
      <name val="Trebuchet MS"/>
      <family val="2"/>
    </font>
    <font>
      <i/>
      <sz val="20"/>
      <color theme="0"/>
      <name val="Trebuchet MS"/>
      <family val="2"/>
    </font>
    <font>
      <b/>
      <sz val="28"/>
      <color rgb="FFFFFF00"/>
      <name val="Trebuchet MS"/>
      <family val="2"/>
    </font>
    <font>
      <b/>
      <sz val="36"/>
      <color rgb="FFFFFF00"/>
      <name val="Trebuchet MS"/>
      <family val="2"/>
    </font>
    <font>
      <b/>
      <sz val="24"/>
      <color rgb="FFFFFF00"/>
      <name val="Trebuchet MS"/>
      <family val="2"/>
    </font>
    <font>
      <sz val="20"/>
      <color rgb="FFFFFF00"/>
      <name val="Trebuchet MS"/>
      <family val="2"/>
    </font>
    <font>
      <b/>
      <sz val="14"/>
      <color rgb="FFFF0000"/>
      <name val="Trebuchet MS"/>
      <family val="2"/>
    </font>
    <font>
      <b/>
      <sz val="10"/>
      <color theme="0"/>
      <name val="Arial"/>
      <family val="2"/>
    </font>
    <font>
      <b/>
      <sz val="20"/>
      <color rgb="FFFF0000"/>
      <name val="Trebuchet MS"/>
      <family val="2"/>
    </font>
    <font>
      <b/>
      <sz val="10"/>
      <color theme="9" tint="-0.499984740745262"/>
      <name val="Trebuchet MS"/>
      <family val="2"/>
    </font>
    <font>
      <b/>
      <sz val="11"/>
      <color theme="1"/>
      <name val="Trebuchet MS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4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1" fontId="5" fillId="0" borderId="0" xfId="0" applyNumberFormat="1" applyFont="1"/>
    <xf numFmtId="1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/>
    <xf numFmtId="1" fontId="4" fillId="0" borderId="2" xfId="0" applyNumberFormat="1" applyFont="1" applyBorder="1"/>
    <xf numFmtId="1" fontId="4" fillId="0" borderId="0" xfId="0" applyNumberFormat="1" applyFont="1" applyAlignment="1">
      <alignment vertical="center"/>
    </xf>
    <xf numFmtId="1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2" fontId="9" fillId="0" borderId="0" xfId="0" applyNumberFormat="1" applyFont="1"/>
    <xf numFmtId="0" fontId="10" fillId="0" borderId="0" xfId="0" applyFont="1"/>
    <xf numFmtId="1" fontId="10" fillId="0" borderId="0" xfId="0" applyNumberFormat="1" applyFont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1" fontId="9" fillId="0" borderId="0" xfId="0" applyNumberFormat="1" applyFont="1"/>
    <xf numFmtId="0" fontId="10" fillId="0" borderId="1" xfId="0" applyFont="1" applyBorder="1"/>
    <xf numFmtId="0" fontId="47" fillId="0" borderId="0" xfId="0" applyFont="1" applyAlignment="1">
      <alignment horizontal="right"/>
    </xf>
    <xf numFmtId="0" fontId="47" fillId="0" borderId="1" xfId="0" applyFont="1" applyBorder="1" applyAlignment="1">
      <alignment horizontal="right"/>
    </xf>
    <xf numFmtId="0" fontId="48" fillId="0" borderId="0" xfId="0" applyFont="1"/>
    <xf numFmtId="0" fontId="15" fillId="0" borderId="0" xfId="0" applyFont="1"/>
    <xf numFmtId="2" fontId="15" fillId="0" borderId="0" xfId="0" applyNumberFormat="1" applyFont="1"/>
    <xf numFmtId="0" fontId="17" fillId="0" borderId="0" xfId="0" applyFont="1"/>
    <xf numFmtId="0" fontId="15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right"/>
    </xf>
    <xf numFmtId="1" fontId="15" fillId="0" borderId="0" xfId="0" applyNumberFormat="1" applyFont="1"/>
    <xf numFmtId="0" fontId="14" fillId="0" borderId="0" xfId="0" applyFont="1" applyAlignment="1">
      <alignment horizontal="center"/>
    </xf>
    <xf numFmtId="0" fontId="18" fillId="0" borderId="0" xfId="0" applyFont="1"/>
    <xf numFmtId="0" fontId="48" fillId="2" borderId="0" xfId="0" applyFont="1" applyFill="1"/>
    <xf numFmtId="0" fontId="19" fillId="0" borderId="3" xfId="0" applyFont="1" applyBorder="1"/>
    <xf numFmtId="0" fontId="21" fillId="0" borderId="0" xfId="0" applyFont="1"/>
    <xf numFmtId="1" fontId="5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" fontId="4" fillId="0" borderId="4" xfId="0" applyNumberFormat="1" applyFont="1" applyBorder="1"/>
    <xf numFmtId="1" fontId="5" fillId="0" borderId="0" xfId="0" applyNumberFormat="1" applyFont="1" applyAlignment="1">
      <alignment horizontal="center"/>
    </xf>
    <xf numFmtId="1" fontId="49" fillId="0" borderId="0" xfId="0" applyNumberFormat="1" applyFont="1"/>
    <xf numFmtId="0" fontId="14" fillId="3" borderId="5" xfId="0" applyFont="1" applyFill="1" applyBorder="1" applyAlignment="1" applyProtection="1">
      <alignment horizontal="right" vertical="top" wrapText="1"/>
      <protection locked="0"/>
    </xf>
    <xf numFmtId="0" fontId="14" fillId="3" borderId="6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alignment horizontal="justify" wrapText="1"/>
      <protection locked="0"/>
    </xf>
    <xf numFmtId="0" fontId="15" fillId="0" borderId="0" xfId="0" applyFont="1" applyAlignment="1" applyProtection="1">
      <alignment horizontal="justify"/>
      <protection locked="0"/>
    </xf>
    <xf numFmtId="1" fontId="15" fillId="0" borderId="0" xfId="0" applyNumberFormat="1" applyFont="1" applyAlignment="1" applyProtection="1">
      <alignment horizontal="right" wrapText="1"/>
      <protection hidden="1"/>
    </xf>
    <xf numFmtId="0" fontId="15" fillId="0" borderId="1" xfId="0" applyFont="1" applyBorder="1" applyAlignment="1" applyProtection="1">
      <alignment horizontal="justify" wrapText="1"/>
      <protection locked="0"/>
    </xf>
    <xf numFmtId="1" fontId="15" fillId="0" borderId="1" xfId="0" applyNumberFormat="1" applyFont="1" applyBorder="1" applyAlignment="1" applyProtection="1">
      <alignment horizontal="right" vertical="top" wrapText="1"/>
      <protection hidden="1"/>
    </xf>
    <xf numFmtId="1" fontId="22" fillId="4" borderId="0" xfId="0" applyNumberFormat="1" applyFont="1" applyFill="1" applyAlignment="1" applyProtection="1">
      <alignment wrapText="1"/>
      <protection hidden="1"/>
    </xf>
    <xf numFmtId="0" fontId="15" fillId="0" borderId="1" xfId="0" applyFont="1" applyBorder="1"/>
    <xf numFmtId="1" fontId="15" fillId="0" borderId="0" xfId="0" applyNumberFormat="1" applyFont="1" applyAlignment="1">
      <alignment horizontal="right"/>
    </xf>
    <xf numFmtId="1" fontId="14" fillId="0" borderId="0" xfId="0" applyNumberFormat="1" applyFont="1"/>
    <xf numFmtId="0" fontId="50" fillId="0" borderId="0" xfId="0" applyFont="1" applyAlignment="1">
      <alignment vertical="top"/>
    </xf>
    <xf numFmtId="0" fontId="51" fillId="0" borderId="0" xfId="0" applyFont="1"/>
    <xf numFmtId="1" fontId="51" fillId="0" borderId="0" xfId="0" applyNumberFormat="1" applyFont="1"/>
    <xf numFmtId="0" fontId="5" fillId="5" borderId="2" xfId="0" applyFont="1" applyFill="1" applyBorder="1"/>
    <xf numFmtId="0" fontId="4" fillId="5" borderId="2" xfId="0" applyFont="1" applyFill="1" applyBorder="1" applyAlignment="1">
      <alignment horizontal="right"/>
    </xf>
    <xf numFmtId="0" fontId="10" fillId="5" borderId="7" xfId="0" applyFont="1" applyFill="1" applyBorder="1" applyAlignment="1">
      <alignment horizontal="center"/>
    </xf>
    <xf numFmtId="0" fontId="10" fillId="5" borderId="7" xfId="0" applyFont="1" applyFill="1" applyBorder="1"/>
    <xf numFmtId="0" fontId="10" fillId="5" borderId="7" xfId="0" applyFont="1" applyFill="1" applyBorder="1" applyAlignment="1">
      <alignment horizontal="right"/>
    </xf>
    <xf numFmtId="0" fontId="12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5" borderId="7" xfId="0" applyFont="1" applyFill="1" applyBorder="1"/>
    <xf numFmtId="0" fontId="14" fillId="5" borderId="2" xfId="0" applyFont="1" applyFill="1" applyBorder="1"/>
    <xf numFmtId="0" fontId="14" fillId="5" borderId="2" xfId="0" applyFont="1" applyFill="1" applyBorder="1" applyAlignment="1">
      <alignment horizontal="center" wrapText="1"/>
    </xf>
    <xf numFmtId="1" fontId="23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5" fillId="0" borderId="1" xfId="0" applyFont="1" applyBorder="1"/>
    <xf numFmtId="0" fontId="25" fillId="5" borderId="8" xfId="0" applyFont="1" applyFill="1" applyBorder="1"/>
    <xf numFmtId="0" fontId="25" fillId="5" borderId="9" xfId="0" applyFont="1" applyFill="1" applyBorder="1"/>
    <xf numFmtId="0" fontId="25" fillId="5" borderId="10" xfId="0" applyFont="1" applyFill="1" applyBorder="1"/>
    <xf numFmtId="0" fontId="25" fillId="5" borderId="3" xfId="0" applyFont="1" applyFill="1" applyBorder="1"/>
    <xf numFmtId="0" fontId="25" fillId="5" borderId="0" xfId="0" applyFont="1" applyFill="1"/>
    <xf numFmtId="0" fontId="25" fillId="5" borderId="11" xfId="0" applyFont="1" applyFill="1" applyBorder="1"/>
    <xf numFmtId="0" fontId="25" fillId="5" borderId="12" xfId="0" applyFont="1" applyFill="1" applyBorder="1"/>
    <xf numFmtId="0" fontId="24" fillId="5" borderId="11" xfId="0" applyFont="1" applyFill="1" applyBorder="1" applyAlignment="1">
      <alignment wrapText="1"/>
    </xf>
    <xf numFmtId="0" fontId="25" fillId="5" borderId="13" xfId="0" applyFont="1" applyFill="1" applyBorder="1"/>
    <xf numFmtId="0" fontId="25" fillId="5" borderId="1" xfId="0" applyFont="1" applyFill="1" applyBorder="1"/>
    <xf numFmtId="0" fontId="3" fillId="0" borderId="0" xfId="0" applyFont="1"/>
    <xf numFmtId="2" fontId="52" fillId="0" borderId="0" xfId="0" applyNumberFormat="1" applyFont="1"/>
    <xf numFmtId="0" fontId="53" fillId="0" borderId="0" xfId="0" applyFont="1"/>
    <xf numFmtId="0" fontId="54" fillId="0" borderId="0" xfId="0" applyFont="1"/>
    <xf numFmtId="2" fontId="52" fillId="0" borderId="0" xfId="0" applyNumberFormat="1" applyFont="1" applyAlignment="1">
      <alignment vertical="center"/>
    </xf>
    <xf numFmtId="2" fontId="53" fillId="0" borderId="0" xfId="0" applyNumberFormat="1" applyFont="1"/>
    <xf numFmtId="2" fontId="5" fillId="0" borderId="0" xfId="0" applyNumberFormat="1" applyFont="1"/>
    <xf numFmtId="0" fontId="10" fillId="0" borderId="0" xfId="0" applyFont="1" applyAlignment="1">
      <alignment vertical="top" wrapText="1"/>
    </xf>
    <xf numFmtId="17" fontId="4" fillId="5" borderId="5" xfId="0" applyNumberFormat="1" applyFont="1" applyFill="1" applyBorder="1" applyAlignment="1">
      <alignment horizontal="center" vertical="center"/>
    </xf>
    <xf numFmtId="0" fontId="27" fillId="0" borderId="0" xfId="0" applyFont="1"/>
    <xf numFmtId="0" fontId="10" fillId="0" borderId="0" xfId="0" applyFont="1" applyAlignment="1">
      <alignment horizontal="center"/>
    </xf>
    <xf numFmtId="0" fontId="9" fillId="5" borderId="5" xfId="0" applyFont="1" applyFill="1" applyBorder="1"/>
    <xf numFmtId="0" fontId="10" fillId="5" borderId="5" xfId="0" applyFont="1" applyFill="1" applyBorder="1" applyAlignment="1">
      <alignment horizontal="center"/>
    </xf>
    <xf numFmtId="0" fontId="10" fillId="5" borderId="5" xfId="0" applyFont="1" applyFill="1" applyBorder="1"/>
    <xf numFmtId="0" fontId="9" fillId="5" borderId="0" xfId="0" applyFont="1" applyFill="1"/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wrapText="1"/>
    </xf>
    <xf numFmtId="0" fontId="10" fillId="5" borderId="0" xfId="0" applyFont="1" applyFill="1"/>
    <xf numFmtId="0" fontId="9" fillId="5" borderId="6" xfId="0" applyFont="1" applyFill="1" applyBorder="1"/>
    <xf numFmtId="10" fontId="10" fillId="5" borderId="6" xfId="0" applyNumberFormat="1" applyFont="1" applyFill="1" applyBorder="1" applyAlignment="1">
      <alignment horizontal="center"/>
    </xf>
    <xf numFmtId="9" fontId="10" fillId="5" borderId="6" xfId="2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2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 wrapText="1"/>
    </xf>
    <xf numFmtId="0" fontId="10" fillId="5" borderId="0" xfId="0" applyFont="1" applyFill="1" applyAlignment="1">
      <alignment vertical="center" wrapText="1"/>
    </xf>
    <xf numFmtId="0" fontId="9" fillId="0" borderId="14" xfId="0" applyFont="1" applyBorder="1"/>
    <xf numFmtId="17" fontId="13" fillId="0" borderId="0" xfId="0" applyNumberFormat="1" applyFont="1"/>
    <xf numFmtId="0" fontId="3" fillId="0" borderId="15" xfId="0" applyFont="1" applyBorder="1"/>
    <xf numFmtId="0" fontId="55" fillId="0" borderId="0" xfId="0" applyFont="1"/>
    <xf numFmtId="0" fontId="3" fillId="0" borderId="15" xfId="0" applyFont="1" applyBorder="1" applyAlignment="1">
      <alignment horizontal="center"/>
    </xf>
    <xf numFmtId="0" fontId="28" fillId="6" borderId="0" xfId="0" applyFont="1" applyFill="1"/>
    <xf numFmtId="0" fontId="10" fillId="5" borderId="16" xfId="0" applyFont="1" applyFill="1" applyBorder="1"/>
    <xf numFmtId="0" fontId="27" fillId="0" borderId="17" xfId="0" applyFont="1" applyBorder="1"/>
    <xf numFmtId="0" fontId="27" fillId="5" borderId="18" xfId="0" applyFont="1" applyFill="1" applyBorder="1"/>
    <xf numFmtId="0" fontId="0" fillId="0" borderId="19" xfId="0" applyBorder="1" applyAlignment="1">
      <alignment horizontal="center"/>
    </xf>
    <xf numFmtId="0" fontId="27" fillId="0" borderId="15" xfId="0" applyFont="1" applyBorder="1"/>
    <xf numFmtId="0" fontId="3" fillId="0" borderId="15" xfId="0" applyFont="1" applyBorder="1" applyAlignment="1">
      <alignment vertical="top"/>
    </xf>
    <xf numFmtId="0" fontId="3" fillId="7" borderId="15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27" fillId="8" borderId="0" xfId="0" applyFont="1" applyFill="1" applyAlignment="1">
      <alignment horizontal="center"/>
    </xf>
    <xf numFmtId="0" fontId="27" fillId="8" borderId="0" xfId="0" applyFont="1" applyFill="1" applyAlignment="1">
      <alignment horizontal="center" wrapText="1"/>
    </xf>
    <xf numFmtId="0" fontId="3" fillId="0" borderId="19" xfId="0" applyFont="1" applyBorder="1" applyAlignment="1">
      <alignment horizontal="center"/>
    </xf>
    <xf numFmtId="0" fontId="0" fillId="9" borderId="15" xfId="0" applyFill="1" applyBorder="1"/>
    <xf numFmtId="0" fontId="0" fillId="0" borderId="15" xfId="0" applyBorder="1"/>
    <xf numFmtId="0" fontId="3" fillId="0" borderId="20" xfId="0" applyFont="1" applyBorder="1" applyAlignment="1">
      <alignment horizontal="center"/>
    </xf>
    <xf numFmtId="0" fontId="0" fillId="9" borderId="20" xfId="0" applyFill="1" applyBorder="1"/>
    <xf numFmtId="0" fontId="3" fillId="0" borderId="21" xfId="0" applyFont="1" applyBorder="1" applyAlignment="1">
      <alignment horizontal="center"/>
    </xf>
    <xf numFmtId="0" fontId="0" fillId="9" borderId="21" xfId="0" applyFill="1" applyBorder="1"/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0" fontId="10" fillId="3" borderId="15" xfId="0" applyFont="1" applyFill="1" applyBorder="1" applyAlignment="1">
      <alignment horizontal="center" vertical="top" wrapText="1"/>
    </xf>
    <xf numFmtId="0" fontId="10" fillId="3" borderId="15" xfId="0" applyFont="1" applyFill="1" applyBorder="1" applyAlignment="1">
      <alignment vertical="top" wrapText="1"/>
    </xf>
    <xf numFmtId="0" fontId="25" fillId="0" borderId="0" xfId="0" applyFont="1" applyAlignment="1">
      <alignment horizontal="center"/>
    </xf>
    <xf numFmtId="0" fontId="14" fillId="5" borderId="5" xfId="0" applyFont="1" applyFill="1" applyBorder="1"/>
    <xf numFmtId="17" fontId="14" fillId="5" borderId="5" xfId="0" applyNumberFormat="1" applyFont="1" applyFill="1" applyBorder="1" applyAlignment="1">
      <alignment horizontal="right"/>
    </xf>
    <xf numFmtId="0" fontId="14" fillId="5" borderId="6" xfId="0" applyFont="1" applyFill="1" applyBorder="1"/>
    <xf numFmtId="0" fontId="14" fillId="5" borderId="6" xfId="0" applyFont="1" applyFill="1" applyBorder="1" applyAlignment="1">
      <alignment horizontal="right"/>
    </xf>
    <xf numFmtId="0" fontId="14" fillId="5" borderId="5" xfId="0" applyFont="1" applyFill="1" applyBorder="1" applyAlignment="1">
      <alignment horizontal="right"/>
    </xf>
    <xf numFmtId="1" fontId="10" fillId="0" borderId="0" xfId="0" applyNumberFormat="1" applyFont="1" applyAlignment="1">
      <alignment horizontal="right"/>
    </xf>
    <xf numFmtId="0" fontId="27" fillId="3" borderId="22" xfId="0" applyFont="1" applyFill="1" applyBorder="1"/>
    <xf numFmtId="0" fontId="27" fillId="3" borderId="15" xfId="0" applyFont="1" applyFill="1" applyBorder="1" applyAlignment="1">
      <alignment horizontal="center" wrapText="1"/>
    </xf>
    <xf numFmtId="0" fontId="29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27" fillId="0" borderId="23" xfId="0" applyFont="1" applyBorder="1"/>
    <xf numFmtId="0" fontId="3" fillId="0" borderId="24" xfId="0" applyFont="1" applyBorder="1" applyAlignment="1">
      <alignment vertical="top"/>
    </xf>
    <xf numFmtId="2" fontId="4" fillId="0" borderId="0" xfId="0" applyNumberFormat="1" applyFont="1"/>
    <xf numFmtId="0" fontId="0" fillId="9" borderId="25" xfId="0" applyFill="1" applyBorder="1"/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56" fillId="0" borderId="0" xfId="0" applyFont="1"/>
    <xf numFmtId="0" fontId="57" fillId="0" borderId="0" xfId="0" applyFont="1"/>
    <xf numFmtId="0" fontId="58" fillId="0" borderId="0" xfId="0" applyFont="1"/>
    <xf numFmtId="0" fontId="30" fillId="0" borderId="0" xfId="0" applyFont="1"/>
    <xf numFmtId="1" fontId="4" fillId="0" borderId="1" xfId="0" applyNumberFormat="1" applyFont="1" applyBorder="1"/>
    <xf numFmtId="0" fontId="4" fillId="5" borderId="2" xfId="0" applyFont="1" applyFill="1" applyBorder="1"/>
    <xf numFmtId="0" fontId="31" fillId="0" borderId="0" xfId="0" applyFont="1"/>
    <xf numFmtId="0" fontId="31" fillId="2" borderId="0" xfId="0" applyFont="1" applyFill="1"/>
    <xf numFmtId="0" fontId="3" fillId="9" borderId="27" xfId="0" applyFont="1" applyFill="1" applyBorder="1"/>
    <xf numFmtId="0" fontId="3" fillId="9" borderId="28" xfId="0" applyFont="1" applyFill="1" applyBorder="1"/>
    <xf numFmtId="0" fontId="3" fillId="9" borderId="29" xfId="0" applyFont="1" applyFill="1" applyBorder="1"/>
    <xf numFmtId="0" fontId="3" fillId="0" borderId="20" xfId="0" applyFont="1" applyBorder="1"/>
    <xf numFmtId="17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10" fontId="0" fillId="0" borderId="0" xfId="0" applyNumberFormat="1"/>
    <xf numFmtId="17" fontId="27" fillId="0" borderId="0" xfId="0" applyNumberFormat="1" applyFont="1"/>
    <xf numFmtId="0" fontId="27" fillId="0" borderId="0" xfId="0" applyFont="1" applyAlignment="1">
      <alignment horizontal="center" wrapText="1"/>
    </xf>
    <xf numFmtId="1" fontId="27" fillId="0" borderId="0" xfId="0" applyNumberFormat="1" applyFont="1"/>
    <xf numFmtId="0" fontId="3" fillId="8" borderId="15" xfId="0" applyFont="1" applyFill="1" applyBorder="1" applyAlignment="1">
      <alignment horizontal="center"/>
    </xf>
    <xf numFmtId="0" fontId="3" fillId="8" borderId="15" xfId="0" applyFont="1" applyFill="1" applyBorder="1"/>
    <xf numFmtId="0" fontId="0" fillId="8" borderId="15" xfId="0" applyFill="1" applyBorder="1"/>
    <xf numFmtId="0" fontId="27" fillId="8" borderId="22" xfId="0" applyFont="1" applyFill="1" applyBorder="1"/>
    <xf numFmtId="0" fontId="3" fillId="0" borderId="21" xfId="0" applyFont="1" applyBorder="1" applyAlignment="1">
      <alignment vertical="top"/>
    </xf>
    <xf numFmtId="0" fontId="3" fillId="8" borderId="0" xfId="0" applyFont="1" applyFill="1"/>
    <xf numFmtId="0" fontId="3" fillId="8" borderId="0" xfId="0" applyFont="1" applyFill="1" applyAlignment="1">
      <alignment horizontal="center"/>
    </xf>
    <xf numFmtId="2" fontId="4" fillId="0" borderId="0" xfId="0" applyNumberFormat="1" applyFont="1" applyAlignment="1">
      <alignment vertical="center"/>
    </xf>
    <xf numFmtId="0" fontId="3" fillId="0" borderId="26" xfId="0" applyFont="1" applyBorder="1" applyAlignment="1">
      <alignment vertical="top"/>
    </xf>
    <xf numFmtId="0" fontId="0" fillId="9" borderId="26" xfId="0" applyFill="1" applyBorder="1"/>
    <xf numFmtId="0" fontId="27" fillId="2" borderId="0" xfId="0" applyFont="1" applyFill="1"/>
    <xf numFmtId="0" fontId="0" fillId="0" borderId="21" xfId="0" applyBorder="1" applyAlignment="1">
      <alignment horizontal="center"/>
    </xf>
    <xf numFmtId="0" fontId="27" fillId="8" borderId="7" xfId="0" applyFont="1" applyFill="1" applyBorder="1"/>
    <xf numFmtId="0" fontId="27" fillId="8" borderId="7" xfId="0" applyFont="1" applyFill="1" applyBorder="1" applyAlignment="1">
      <alignment horizontal="center"/>
    </xf>
    <xf numFmtId="0" fontId="27" fillId="8" borderId="7" xfId="0" applyFont="1" applyFill="1" applyBorder="1" applyAlignment="1">
      <alignment horizontal="center" wrapText="1"/>
    </xf>
    <xf numFmtId="0" fontId="27" fillId="8" borderId="0" xfId="0" applyFont="1" applyFill="1"/>
    <xf numFmtId="1" fontId="25" fillId="0" borderId="0" xfId="0" applyNumberFormat="1" applyFont="1" applyAlignment="1">
      <alignment horizontal="center"/>
    </xf>
    <xf numFmtId="0" fontId="10" fillId="8" borderId="30" xfId="0" applyFont="1" applyFill="1" applyBorder="1"/>
    <xf numFmtId="0" fontId="9" fillId="8" borderId="22" xfId="0" applyFont="1" applyFill="1" applyBorder="1" applyAlignment="1">
      <alignment horizontal="center"/>
    </xf>
    <xf numFmtId="0" fontId="9" fillId="0" borderId="22" xfId="0" applyFont="1" applyBorder="1"/>
    <xf numFmtId="0" fontId="9" fillId="0" borderId="15" xfId="0" applyFont="1" applyBorder="1"/>
    <xf numFmtId="0" fontId="0" fillId="8" borderId="0" xfId="0" applyFill="1"/>
    <xf numFmtId="0" fontId="0" fillId="8" borderId="23" xfId="0" applyFill="1" applyBorder="1"/>
    <xf numFmtId="0" fontId="9" fillId="0" borderId="15" xfId="0" applyFont="1" applyBorder="1" applyAlignment="1">
      <alignment horizontal="center"/>
    </xf>
    <xf numFmtId="0" fontId="9" fillId="9" borderId="15" xfId="0" applyFont="1" applyFill="1" applyBorder="1"/>
    <xf numFmtId="0" fontId="9" fillId="0" borderId="15" xfId="0" applyFont="1" applyBorder="1" applyAlignment="1">
      <alignment horizontal="center" wrapText="1"/>
    </xf>
    <xf numFmtId="169" fontId="10" fillId="0" borderId="15" xfId="1" applyNumberFormat="1" applyFont="1" applyFill="1" applyBorder="1" applyProtection="1">
      <protection locked="0"/>
    </xf>
    <xf numFmtId="0" fontId="37" fillId="0" borderId="0" xfId="0" applyFont="1" applyAlignment="1">
      <alignment vertical="center"/>
    </xf>
    <xf numFmtId="10" fontId="10" fillId="0" borderId="15" xfId="0" applyNumberFormat="1" applyFont="1" applyBorder="1"/>
    <xf numFmtId="0" fontId="37" fillId="0" borderId="0" xfId="0" applyFont="1" applyAlignment="1">
      <alignment horizontal="left"/>
    </xf>
    <xf numFmtId="9" fontId="10" fillId="0" borderId="0" xfId="0" applyNumberFormat="1" applyFont="1"/>
    <xf numFmtId="167" fontId="10" fillId="0" borderId="15" xfId="0" applyNumberFormat="1" applyFont="1" applyBorder="1"/>
    <xf numFmtId="167" fontId="10" fillId="0" borderId="0" xfId="0" applyNumberFormat="1" applyFont="1"/>
    <xf numFmtId="1" fontId="10" fillId="0" borderId="15" xfId="0" applyNumberFormat="1" applyFont="1" applyBorder="1"/>
    <xf numFmtId="0" fontId="10" fillId="10" borderId="0" xfId="0" applyFont="1" applyFill="1" applyAlignment="1">
      <alignment horizontal="left"/>
    </xf>
    <xf numFmtId="40" fontId="9" fillId="0" borderId="0" xfId="0" applyNumberFormat="1" applyFont="1"/>
    <xf numFmtId="0" fontId="36" fillId="0" borderId="0" xfId="0" applyFont="1" applyAlignment="1">
      <alignment horizontal="left"/>
    </xf>
    <xf numFmtId="38" fontId="10" fillId="0" borderId="0" xfId="0" applyNumberFormat="1" applyFont="1"/>
    <xf numFmtId="2" fontId="36" fillId="0" borderId="0" xfId="0" applyNumberFormat="1" applyFont="1" applyAlignment="1">
      <alignment horizontal="left"/>
    </xf>
    <xf numFmtId="168" fontId="9" fillId="0" borderId="0" xfId="0" applyNumberFormat="1" applyFont="1"/>
    <xf numFmtId="0" fontId="9" fillId="0" borderId="15" xfId="0" applyFont="1" applyBorder="1" applyAlignment="1">
      <alignment horizontal="right"/>
    </xf>
    <xf numFmtId="0" fontId="10" fillId="0" borderId="15" xfId="0" applyFont="1" applyBorder="1" applyAlignment="1">
      <alignment horizontal="center" wrapText="1"/>
    </xf>
    <xf numFmtId="169" fontId="9" fillId="0" borderId="15" xfId="0" applyNumberFormat="1" applyFont="1" applyBorder="1" applyAlignment="1">
      <alignment horizontal="right" wrapText="1"/>
    </xf>
    <xf numFmtId="38" fontId="9" fillId="0" borderId="15" xfId="0" applyNumberFormat="1" applyFont="1" applyBorder="1" applyAlignment="1">
      <alignment horizontal="right"/>
    </xf>
    <xf numFmtId="166" fontId="9" fillId="0" borderId="0" xfId="0" applyNumberFormat="1" applyFont="1"/>
    <xf numFmtId="165" fontId="9" fillId="0" borderId="0" xfId="0" applyNumberFormat="1" applyFont="1"/>
    <xf numFmtId="0" fontId="3" fillId="0" borderId="28" xfId="0" applyFont="1" applyBorder="1"/>
    <xf numFmtId="0" fontId="10" fillId="8" borderId="31" xfId="0" applyFont="1" applyFill="1" applyBorder="1"/>
    <xf numFmtId="0" fontId="0" fillId="8" borderId="15" xfId="0" applyFill="1" applyBorder="1" applyAlignment="1">
      <alignment horizontal="center"/>
    </xf>
    <xf numFmtId="1" fontId="3" fillId="8" borderId="15" xfId="0" applyNumberFormat="1" applyFont="1" applyFill="1" applyBorder="1" applyAlignment="1">
      <alignment horizontal="center"/>
    </xf>
    <xf numFmtId="0" fontId="0" fillId="8" borderId="32" xfId="0" applyFill="1" applyBorder="1" applyAlignment="1">
      <alignment horizontal="center" vertical="center"/>
    </xf>
    <xf numFmtId="0" fontId="27" fillId="8" borderId="33" xfId="0" applyFont="1" applyFill="1" applyBorder="1"/>
    <xf numFmtId="0" fontId="3" fillId="8" borderId="25" xfId="0" applyFont="1" applyFill="1" applyBorder="1"/>
    <xf numFmtId="0" fontId="3" fillId="8" borderId="33" xfId="0" applyFont="1" applyFill="1" applyBorder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0" fillId="8" borderId="25" xfId="0" applyFill="1" applyBorder="1"/>
    <xf numFmtId="0" fontId="3" fillId="8" borderId="28" xfId="0" applyFont="1" applyFill="1" applyBorder="1" applyAlignment="1">
      <alignment horizontal="center"/>
    </xf>
    <xf numFmtId="1" fontId="3" fillId="8" borderId="34" xfId="0" applyNumberFormat="1" applyFont="1" applyFill="1" applyBorder="1" applyAlignment="1">
      <alignment horizontal="center"/>
    </xf>
    <xf numFmtId="0" fontId="10" fillId="8" borderId="15" xfId="0" applyFont="1" applyFill="1" applyBorder="1" applyAlignment="1">
      <alignment horizontal="right"/>
    </xf>
    <xf numFmtId="0" fontId="28" fillId="8" borderId="0" xfId="0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1" fillId="0" borderId="0" xfId="0" applyFont="1" applyAlignment="1">
      <alignment wrapText="1"/>
    </xf>
    <xf numFmtId="2" fontId="10" fillId="0" borderId="0" xfId="0" applyNumberFormat="1" applyFont="1"/>
    <xf numFmtId="0" fontId="10" fillId="0" borderId="0" xfId="0" applyFont="1" applyAlignment="1">
      <alignment wrapText="1"/>
    </xf>
    <xf numFmtId="1" fontId="9" fillId="0" borderId="1" xfId="0" applyNumberFormat="1" applyFont="1" applyBorder="1"/>
    <xf numFmtId="0" fontId="10" fillId="5" borderId="7" xfId="0" applyFont="1" applyFill="1" applyBorder="1" applyAlignment="1">
      <alignment horizontal="right" wrapText="1"/>
    </xf>
    <xf numFmtId="0" fontId="43" fillId="0" borderId="1" xfId="0" applyFont="1" applyBorder="1"/>
    <xf numFmtId="0" fontId="39" fillId="5" borderId="0" xfId="0" applyFont="1" applyFill="1" applyAlignment="1">
      <alignment horizontal="left"/>
    </xf>
    <xf numFmtId="0" fontId="10" fillId="5" borderId="0" xfId="0" applyFont="1" applyFill="1" applyAlignment="1">
      <alignment horizontal="left" wrapText="1"/>
    </xf>
    <xf numFmtId="0" fontId="10" fillId="5" borderId="15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 wrapText="1"/>
    </xf>
    <xf numFmtId="0" fontId="14" fillId="5" borderId="15" xfId="0" applyFont="1" applyFill="1" applyBorder="1"/>
    <xf numFmtId="0" fontId="14" fillId="5" borderId="15" xfId="0" applyFont="1" applyFill="1" applyBorder="1" applyAlignment="1">
      <alignment horizontal="center" vertical="center" wrapText="1"/>
    </xf>
    <xf numFmtId="0" fontId="3" fillId="11" borderId="22" xfId="0" applyFont="1" applyFill="1" applyBorder="1"/>
    <xf numFmtId="0" fontId="3" fillId="11" borderId="15" xfId="0" applyFont="1" applyFill="1" applyBorder="1" applyAlignment="1">
      <alignment horizontal="center"/>
    </xf>
    <xf numFmtId="0" fontId="3" fillId="11" borderId="15" xfId="0" applyFont="1" applyFill="1" applyBorder="1"/>
    <xf numFmtId="0" fontId="0" fillId="11" borderId="15" xfId="0" applyFill="1" applyBorder="1"/>
    <xf numFmtId="1" fontId="3" fillId="11" borderId="15" xfId="0" applyNumberFormat="1" applyFont="1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1" fontId="0" fillId="11" borderId="15" xfId="0" applyNumberFormat="1" applyFill="1" applyBorder="1" applyAlignment="1">
      <alignment horizontal="center"/>
    </xf>
    <xf numFmtId="2" fontId="0" fillId="11" borderId="15" xfId="0" applyNumberFormat="1" applyFill="1" applyBorder="1" applyAlignment="1">
      <alignment horizontal="center"/>
    </xf>
    <xf numFmtId="0" fontId="10" fillId="11" borderId="15" xfId="0" applyFont="1" applyFill="1" applyBorder="1"/>
    <xf numFmtId="0" fontId="3" fillId="0" borderId="1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12" borderId="28" xfId="0" applyFont="1" applyFill="1" applyBorder="1"/>
    <xf numFmtId="0" fontId="4" fillId="5" borderId="6" xfId="0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0" fontId="3" fillId="8" borderId="22" xfId="0" applyFont="1" applyFill="1" applyBorder="1"/>
    <xf numFmtId="9" fontId="0" fillId="8" borderId="15" xfId="0" applyNumberForma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 applyAlignment="1">
      <alignment wrapText="1"/>
    </xf>
    <xf numFmtId="0" fontId="3" fillId="0" borderId="37" xfId="0" applyFont="1" applyBorder="1"/>
    <xf numFmtId="0" fontId="3" fillId="0" borderId="38" xfId="0" applyFont="1" applyBorder="1" applyAlignment="1">
      <alignment wrapText="1"/>
    </xf>
    <xf numFmtId="0" fontId="3" fillId="0" borderId="8" xfId="0" applyFont="1" applyBorder="1"/>
    <xf numFmtId="0" fontId="3" fillId="0" borderId="38" xfId="0" applyFont="1" applyBorder="1"/>
    <xf numFmtId="0" fontId="3" fillId="0" borderId="15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/>
    <xf numFmtId="9" fontId="5" fillId="0" borderId="0" xfId="0" applyNumberFormat="1" applyFont="1"/>
    <xf numFmtId="0" fontId="9" fillId="0" borderId="33" xfId="0" applyFont="1" applyBorder="1"/>
    <xf numFmtId="0" fontId="9" fillId="0" borderId="25" xfId="0" applyFont="1" applyBorder="1"/>
    <xf numFmtId="17" fontId="9" fillId="0" borderId="15" xfId="0" applyNumberFormat="1" applyFont="1" applyBorder="1" applyAlignment="1">
      <alignment horizontal="right"/>
    </xf>
    <xf numFmtId="0" fontId="24" fillId="5" borderId="0" xfId="0" applyFont="1" applyFill="1"/>
    <xf numFmtId="0" fontId="24" fillId="5" borderId="0" xfId="0" applyFont="1" applyFill="1" applyAlignment="1">
      <alignment horizontal="center"/>
    </xf>
    <xf numFmtId="0" fontId="24" fillId="5" borderId="0" xfId="0" applyFont="1" applyFill="1" applyAlignment="1">
      <alignment wrapText="1"/>
    </xf>
    <xf numFmtId="0" fontId="26" fillId="5" borderId="0" xfId="0" applyFont="1" applyFill="1" applyAlignment="1">
      <alignment horizontal="center"/>
    </xf>
    <xf numFmtId="0" fontId="24" fillId="5" borderId="0" xfId="0" applyFont="1" applyFill="1" applyAlignment="1">
      <alignment vertical="center" wrapText="1"/>
    </xf>
    <xf numFmtId="0" fontId="14" fillId="0" borderId="15" xfId="0" applyFont="1" applyBorder="1" applyAlignment="1">
      <alignment wrapText="1"/>
    </xf>
    <xf numFmtId="0" fontId="0" fillId="0" borderId="17" xfId="0" applyBorder="1"/>
    <xf numFmtId="0" fontId="0" fillId="0" borderId="19" xfId="0" applyBorder="1"/>
    <xf numFmtId="0" fontId="0" fillId="0" borderId="39" xfId="0" applyBorder="1"/>
    <xf numFmtId="0" fontId="0" fillId="0" borderId="40" xfId="0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3" fillId="0" borderId="22" xfId="0" applyFont="1" applyBorder="1"/>
    <xf numFmtId="0" fontId="0" fillId="8" borderId="26" xfId="0" applyFill="1" applyBorder="1"/>
    <xf numFmtId="0" fontId="0" fillId="8" borderId="28" xfId="0" applyFill="1" applyBorder="1"/>
    <xf numFmtId="17" fontId="4" fillId="5" borderId="5" xfId="0" applyNumberFormat="1" applyFont="1" applyFill="1" applyBorder="1" applyAlignment="1">
      <alignment horizontal="center" vertical="center" wrapText="1"/>
    </xf>
    <xf numFmtId="0" fontId="32" fillId="8" borderId="0" xfId="0" applyFont="1" applyFill="1"/>
    <xf numFmtId="0" fontId="3" fillId="0" borderId="44" xfId="0" applyFont="1" applyBorder="1"/>
    <xf numFmtId="0" fontId="3" fillId="0" borderId="45" xfId="0" applyFont="1" applyBorder="1"/>
    <xf numFmtId="0" fontId="3" fillId="0" borderId="46" xfId="0" applyFont="1" applyBorder="1"/>
    <xf numFmtId="0" fontId="3" fillId="0" borderId="45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0" fillId="9" borderId="4" xfId="0" applyFill="1" applyBorder="1"/>
    <xf numFmtId="0" fontId="27" fillId="0" borderId="45" xfId="0" applyFont="1" applyBorder="1"/>
    <xf numFmtId="0" fontId="27" fillId="0" borderId="46" xfId="0" applyFont="1" applyBorder="1"/>
    <xf numFmtId="0" fontId="0" fillId="9" borderId="44" xfId="0" applyFill="1" applyBorder="1"/>
    <xf numFmtId="0" fontId="0" fillId="9" borderId="45" xfId="0" applyFill="1" applyBorder="1"/>
    <xf numFmtId="0" fontId="0" fillId="9" borderId="47" xfId="0" applyFill="1" applyBorder="1"/>
    <xf numFmtId="0" fontId="0" fillId="9" borderId="48" xfId="0" applyFill="1" applyBorder="1"/>
    <xf numFmtId="0" fontId="3" fillId="0" borderId="49" xfId="0" applyFont="1" applyBorder="1" applyAlignment="1">
      <alignment horizontal="center"/>
    </xf>
    <xf numFmtId="0" fontId="3" fillId="0" borderId="47" xfId="0" applyFont="1" applyBorder="1"/>
    <xf numFmtId="0" fontId="3" fillId="0" borderId="48" xfId="0" applyFont="1" applyBorder="1"/>
    <xf numFmtId="0" fontId="27" fillId="3" borderId="26" xfId="0" applyFont="1" applyFill="1" applyBorder="1" applyAlignment="1">
      <alignment horizontal="center"/>
    </xf>
    <xf numFmtId="0" fontId="46" fillId="3" borderId="26" xfId="0" applyFont="1" applyFill="1" applyBorder="1" applyAlignment="1">
      <alignment horizontal="center"/>
    </xf>
    <xf numFmtId="0" fontId="27" fillId="3" borderId="26" xfId="0" applyFont="1" applyFill="1" applyBorder="1" applyAlignment="1">
      <alignment horizontal="center" wrapText="1"/>
    </xf>
    <xf numFmtId="0" fontId="27" fillId="0" borderId="50" xfId="0" applyFont="1" applyBorder="1" applyAlignment="1">
      <alignment horizontal="center"/>
    </xf>
    <xf numFmtId="0" fontId="60" fillId="9" borderId="20" xfId="0" applyFont="1" applyFill="1" applyBorder="1"/>
    <xf numFmtId="0" fontId="60" fillId="9" borderId="20" xfId="0" applyFont="1" applyFill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60" fillId="9" borderId="15" xfId="0" applyFont="1" applyFill="1" applyBorder="1"/>
    <xf numFmtId="0" fontId="60" fillId="9" borderId="15" xfId="0" applyFont="1" applyFill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60" fillId="9" borderId="21" xfId="0" applyFont="1" applyFill="1" applyBorder="1"/>
    <xf numFmtId="0" fontId="60" fillId="9" borderId="21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60" fillId="9" borderId="44" xfId="0" applyFont="1" applyFill="1" applyBorder="1"/>
    <xf numFmtId="0" fontId="60" fillId="9" borderId="44" xfId="0" applyFont="1" applyFill="1" applyBorder="1" applyAlignment="1">
      <alignment horizontal="center"/>
    </xf>
    <xf numFmtId="0" fontId="27" fillId="0" borderId="45" xfId="0" applyFont="1" applyBorder="1" applyAlignment="1">
      <alignment horizontal="center"/>
    </xf>
    <xf numFmtId="0" fontId="60" fillId="9" borderId="45" xfId="0" applyFont="1" applyFill="1" applyBorder="1"/>
    <xf numFmtId="0" fontId="60" fillId="9" borderId="45" xfId="0" applyFont="1" applyFill="1" applyBorder="1" applyAlignment="1">
      <alignment horizontal="center"/>
    </xf>
    <xf numFmtId="0" fontId="27" fillId="0" borderId="46" xfId="0" applyFont="1" applyBorder="1" applyAlignment="1">
      <alignment horizontal="center"/>
    </xf>
    <xf numFmtId="0" fontId="60" fillId="9" borderId="46" xfId="0" applyFont="1" applyFill="1" applyBorder="1"/>
    <xf numFmtId="0" fontId="60" fillId="9" borderId="46" xfId="0" applyFont="1" applyFill="1" applyBorder="1" applyAlignment="1">
      <alignment horizontal="center"/>
    </xf>
    <xf numFmtId="0" fontId="27" fillId="0" borderId="33" xfId="0" applyFont="1" applyBorder="1" applyAlignment="1">
      <alignment horizontal="center"/>
    </xf>
    <xf numFmtId="0" fontId="60" fillId="9" borderId="25" xfId="0" applyFont="1" applyFill="1" applyBorder="1"/>
    <xf numFmtId="0" fontId="60" fillId="9" borderId="25" xfId="0" applyFont="1" applyFill="1" applyBorder="1" applyAlignment="1">
      <alignment horizontal="center"/>
    </xf>
    <xf numFmtId="0" fontId="27" fillId="0" borderId="52" xfId="0" applyFont="1" applyBorder="1" applyAlignment="1">
      <alignment horizontal="center"/>
    </xf>
    <xf numFmtId="0" fontId="60" fillId="9" borderId="26" xfId="0" applyFont="1" applyFill="1" applyBorder="1"/>
    <xf numFmtId="0" fontId="60" fillId="9" borderId="26" xfId="0" applyFont="1" applyFill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60" fillId="9" borderId="17" xfId="0" applyFont="1" applyFill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60" fillId="9" borderId="19" xfId="0" applyFont="1" applyFill="1" applyBorder="1" applyAlignment="1">
      <alignment horizontal="center"/>
    </xf>
    <xf numFmtId="0" fontId="27" fillId="0" borderId="53" xfId="0" applyFont="1" applyBorder="1" applyAlignment="1">
      <alignment horizontal="center"/>
    </xf>
    <xf numFmtId="0" fontId="60" fillId="9" borderId="40" xfId="0" applyFont="1" applyFill="1" applyBorder="1" applyAlignment="1">
      <alignment horizontal="center"/>
    </xf>
    <xf numFmtId="0" fontId="60" fillId="9" borderId="54" xfId="0" applyFont="1" applyFill="1" applyBorder="1" applyAlignment="1">
      <alignment horizontal="center"/>
    </xf>
    <xf numFmtId="0" fontId="60" fillId="9" borderId="52" xfId="0" applyFont="1" applyFill="1" applyBorder="1" applyAlignment="1">
      <alignment horizontal="center"/>
    </xf>
    <xf numFmtId="0" fontId="60" fillId="9" borderId="51" xfId="0" applyFont="1" applyFill="1" applyBorder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3" fillId="0" borderId="25" xfId="0" applyFont="1" applyBorder="1" applyAlignment="1">
      <alignment horizontal="center"/>
    </xf>
    <xf numFmtId="0" fontId="0" fillId="0" borderId="34" xfId="0" applyBorder="1"/>
    <xf numFmtId="0" fontId="3" fillId="0" borderId="33" xfId="0" applyFont="1" applyBorder="1"/>
    <xf numFmtId="0" fontId="60" fillId="9" borderId="4" xfId="0" applyFont="1" applyFill="1" applyBorder="1"/>
    <xf numFmtId="2" fontId="60" fillId="9" borderId="4" xfId="0" applyNumberFormat="1" applyFont="1" applyFill="1" applyBorder="1"/>
    <xf numFmtId="2" fontId="60" fillId="9" borderId="15" xfId="0" applyNumberFormat="1" applyFont="1" applyFill="1" applyBorder="1"/>
    <xf numFmtId="0" fontId="9" fillId="12" borderId="20" xfId="0" applyFont="1" applyFill="1" applyBorder="1" applyAlignment="1">
      <alignment horizontal="center"/>
    </xf>
    <xf numFmtId="0" fontId="9" fillId="12" borderId="25" xfId="0" applyFont="1" applyFill="1" applyBorder="1" applyAlignment="1">
      <alignment horizontal="center"/>
    </xf>
    <xf numFmtId="0" fontId="9" fillId="12" borderId="15" xfId="0" applyFont="1" applyFill="1" applyBorder="1" applyAlignment="1">
      <alignment horizontal="center"/>
    </xf>
    <xf numFmtId="0" fontId="9" fillId="12" borderId="15" xfId="0" applyFont="1" applyFill="1" applyBorder="1" applyAlignment="1">
      <alignment horizontal="center" vertical="top" wrapText="1"/>
    </xf>
    <xf numFmtId="0" fontId="9" fillId="12" borderId="26" xfId="0" applyFont="1" applyFill="1" applyBorder="1" applyAlignment="1">
      <alignment horizontal="center" vertical="top" wrapText="1"/>
    </xf>
    <xf numFmtId="0" fontId="9" fillId="12" borderId="21" xfId="0" applyFont="1" applyFill="1" applyBorder="1" applyAlignment="1">
      <alignment horizontal="center" vertical="top" wrapText="1"/>
    </xf>
    <xf numFmtId="0" fontId="3" fillId="12" borderId="35" xfId="0" applyFont="1" applyFill="1" applyBorder="1" applyAlignment="1">
      <alignment horizontal="center"/>
    </xf>
    <xf numFmtId="0" fontId="3" fillId="12" borderId="36" xfId="0" applyFont="1" applyFill="1" applyBorder="1" applyAlignment="1">
      <alignment horizontal="center"/>
    </xf>
    <xf numFmtId="0" fontId="0" fillId="12" borderId="36" xfId="0" applyFill="1" applyBorder="1" applyAlignment="1">
      <alignment horizontal="center"/>
    </xf>
    <xf numFmtId="170" fontId="0" fillId="12" borderId="36" xfId="0" applyNumberFormat="1" applyFill="1" applyBorder="1" applyAlignment="1">
      <alignment horizontal="center"/>
    </xf>
    <xf numFmtId="9" fontId="3" fillId="12" borderId="38" xfId="0" applyNumberFormat="1" applyFont="1" applyFill="1" applyBorder="1" applyAlignment="1">
      <alignment horizontal="center"/>
    </xf>
    <xf numFmtId="0" fontId="3" fillId="12" borderId="44" xfId="0" applyFont="1" applyFill="1" applyBorder="1" applyAlignment="1">
      <alignment horizontal="center"/>
    </xf>
    <xf numFmtId="1" fontId="3" fillId="12" borderId="44" xfId="0" applyNumberFormat="1" applyFont="1" applyFill="1" applyBorder="1" applyAlignment="1">
      <alignment horizontal="center"/>
    </xf>
    <xf numFmtId="0" fontId="3" fillId="12" borderId="45" xfId="0" applyFont="1" applyFill="1" applyBorder="1" applyAlignment="1">
      <alignment horizontal="center"/>
    </xf>
    <xf numFmtId="1" fontId="3" fillId="12" borderId="45" xfId="0" applyNumberFormat="1" applyFont="1" applyFill="1" applyBorder="1" applyAlignment="1">
      <alignment horizontal="center"/>
    </xf>
    <xf numFmtId="0" fontId="3" fillId="12" borderId="47" xfId="0" applyFont="1" applyFill="1" applyBorder="1" applyAlignment="1">
      <alignment horizontal="center"/>
    </xf>
    <xf numFmtId="1" fontId="3" fillId="12" borderId="47" xfId="0" applyNumberFormat="1" applyFont="1" applyFill="1" applyBorder="1" applyAlignment="1">
      <alignment horizontal="center"/>
    </xf>
    <xf numFmtId="0" fontId="3" fillId="12" borderId="48" xfId="0" applyFont="1" applyFill="1" applyBorder="1" applyAlignment="1">
      <alignment horizontal="center"/>
    </xf>
    <xf numFmtId="1" fontId="3" fillId="12" borderId="46" xfId="0" applyNumberFormat="1" applyFont="1" applyFill="1" applyBorder="1" applyAlignment="1">
      <alignment horizontal="center"/>
    </xf>
    <xf numFmtId="0" fontId="32" fillId="0" borderId="0" xfId="0" applyFont="1"/>
    <xf numFmtId="169" fontId="9" fillId="0" borderId="15" xfId="1" applyNumberFormat="1" applyFont="1" applyBorder="1" applyAlignment="1">
      <alignment horizontal="right"/>
    </xf>
    <xf numFmtId="169" fontId="9" fillId="0" borderId="15" xfId="1" applyNumberFormat="1" applyFont="1" applyBorder="1"/>
    <xf numFmtId="169" fontId="15" fillId="0" borderId="15" xfId="1" applyNumberFormat="1" applyFont="1" applyBorder="1" applyProtection="1">
      <protection locked="0"/>
    </xf>
    <xf numFmtId="169" fontId="15" fillId="0" borderId="15" xfId="1" applyNumberFormat="1" applyFont="1" applyBorder="1"/>
    <xf numFmtId="169" fontId="14" fillId="0" borderId="15" xfId="1" applyNumberFormat="1" applyFont="1" applyBorder="1"/>
    <xf numFmtId="0" fontId="14" fillId="0" borderId="15" xfId="0" applyFont="1" applyBorder="1"/>
    <xf numFmtId="1" fontId="9" fillId="2" borderId="20" xfId="0" applyNumberFormat="1" applyFont="1" applyFill="1" applyBorder="1" applyAlignment="1">
      <alignment horizontal="center"/>
    </xf>
    <xf numFmtId="1" fontId="9" fillId="2" borderId="15" xfId="0" applyNumberFormat="1" applyFont="1" applyFill="1" applyBorder="1" applyAlignment="1">
      <alignment horizontal="center"/>
    </xf>
    <xf numFmtId="1" fontId="10" fillId="2" borderId="15" xfId="0" applyNumberFormat="1" applyFont="1" applyFill="1" applyBorder="1" applyAlignment="1">
      <alignment horizontal="center"/>
    </xf>
    <xf numFmtId="1" fontId="3" fillId="2" borderId="15" xfId="0" applyNumberFormat="1" applyFont="1" applyFill="1" applyBorder="1" applyAlignment="1">
      <alignment horizontal="center"/>
    </xf>
    <xf numFmtId="1" fontId="27" fillId="2" borderId="15" xfId="0" applyNumberFormat="1" applyFont="1" applyFill="1" applyBorder="1" applyAlignment="1">
      <alignment horizontal="center"/>
    </xf>
    <xf numFmtId="1" fontId="9" fillId="2" borderId="26" xfId="0" applyNumberFormat="1" applyFont="1" applyFill="1" applyBorder="1" applyAlignment="1">
      <alignment horizontal="center"/>
    </xf>
    <xf numFmtId="2" fontId="9" fillId="2" borderId="30" xfId="0" applyNumberFormat="1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2" fontId="10" fillId="2" borderId="30" xfId="0" applyNumberFormat="1" applyFont="1" applyFill="1" applyBorder="1" applyAlignment="1">
      <alignment horizontal="center"/>
    </xf>
    <xf numFmtId="170" fontId="9" fillId="2" borderId="30" xfId="0" applyNumberFormat="1" applyFont="1" applyFill="1" applyBorder="1" applyAlignment="1">
      <alignment horizontal="center"/>
    </xf>
    <xf numFmtId="1" fontId="9" fillId="2" borderId="30" xfId="0" applyNumberFormat="1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71" fontId="9" fillId="2" borderId="30" xfId="0" applyNumberFormat="1" applyFont="1" applyFill="1" applyBorder="1" applyAlignment="1">
      <alignment horizontal="center"/>
    </xf>
    <xf numFmtId="17" fontId="9" fillId="2" borderId="15" xfId="0" applyNumberFormat="1" applyFont="1" applyFill="1" applyBorder="1" applyAlignment="1">
      <alignment horizontal="center"/>
    </xf>
    <xf numFmtId="0" fontId="27" fillId="13" borderId="8" xfId="0" applyFont="1" applyFill="1" applyBorder="1" applyAlignment="1">
      <alignment horizontal="center" vertical="center"/>
    </xf>
    <xf numFmtId="0" fontId="27" fillId="13" borderId="10" xfId="0" applyFont="1" applyFill="1" applyBorder="1" applyAlignment="1">
      <alignment horizontal="center" vertical="center"/>
    </xf>
    <xf numFmtId="0" fontId="27" fillId="13" borderId="3" xfId="0" applyFont="1" applyFill="1" applyBorder="1" applyAlignment="1">
      <alignment horizontal="center" vertical="center"/>
    </xf>
    <xf numFmtId="0" fontId="27" fillId="13" borderId="11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27" fillId="13" borderId="13" xfId="0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35" fillId="6" borderId="11" xfId="0" applyFont="1" applyFill="1" applyBorder="1" applyAlignment="1">
      <alignment horizontal="left"/>
    </xf>
    <xf numFmtId="0" fontId="28" fillId="0" borderId="55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17" fontId="32" fillId="0" borderId="55" xfId="0" applyNumberFormat="1" applyFont="1" applyBorder="1" applyAlignment="1">
      <alignment horizontal="center" vertical="center" wrapText="1"/>
    </xf>
    <xf numFmtId="17" fontId="32" fillId="0" borderId="56" xfId="0" applyNumberFormat="1" applyFont="1" applyBorder="1" applyAlignment="1">
      <alignment horizontal="center" vertical="center" wrapText="1"/>
    </xf>
    <xf numFmtId="17" fontId="32" fillId="0" borderId="48" xfId="0" applyNumberFormat="1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7" fillId="11" borderId="15" xfId="0" applyFont="1" applyFill="1" applyBorder="1" applyAlignment="1">
      <alignment horizontal="center" vertical="center" wrapText="1"/>
    </xf>
    <xf numFmtId="0" fontId="28" fillId="11" borderId="55" xfId="0" applyFont="1" applyFill="1" applyBorder="1" applyAlignment="1">
      <alignment horizontal="center" vertical="center" wrapText="1"/>
    </xf>
    <xf numFmtId="0" fontId="28" fillId="11" borderId="56" xfId="0" applyFont="1" applyFill="1" applyBorder="1" applyAlignment="1">
      <alignment horizontal="center" vertical="center" wrapText="1"/>
    </xf>
    <xf numFmtId="0" fontId="28" fillId="11" borderId="48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61" fillId="0" borderId="1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5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14" borderId="0" xfId="0" applyFont="1" applyFill="1" applyAlignment="1">
      <alignment horizontal="center"/>
    </xf>
    <xf numFmtId="0" fontId="4" fillId="0" borderId="14" xfId="0" applyFont="1" applyBorder="1" applyAlignment="1">
      <alignment horizontal="center"/>
    </xf>
    <xf numFmtId="0" fontId="4" fillId="5" borderId="0" xfId="0" applyFont="1" applyFill="1" applyAlignment="1">
      <alignment vertical="center"/>
    </xf>
    <xf numFmtId="0" fontId="5" fillId="5" borderId="6" xfId="0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0" fontId="24" fillId="5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31" fillId="2" borderId="0" xfId="0" applyFont="1" applyFill="1" applyAlignment="1">
      <alignment horizontal="left"/>
    </xf>
    <xf numFmtId="0" fontId="10" fillId="0" borderId="1" xfId="0" applyFont="1" applyBorder="1" applyAlignment="1">
      <alignment horizontal="left"/>
    </xf>
    <xf numFmtId="0" fontId="62" fillId="0" borderId="14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9" fillId="0" borderId="0" xfId="0" applyFont="1" applyAlignment="1">
      <alignment horizontal="center" wrapText="1"/>
    </xf>
    <xf numFmtId="0" fontId="10" fillId="0" borderId="1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3" borderId="5" xfId="0" applyFont="1" applyFill="1" applyBorder="1" applyAlignment="1" applyProtection="1">
      <alignment horizontal="center" wrapText="1"/>
      <protection locked="0"/>
    </xf>
    <xf numFmtId="0" fontId="14" fillId="3" borderId="6" xfId="0" applyFont="1" applyFill="1" applyBorder="1" applyAlignment="1" applyProtection="1">
      <alignment horizontal="center" wrapText="1"/>
      <protection locked="0"/>
    </xf>
    <xf numFmtId="0" fontId="14" fillId="0" borderId="14" xfId="0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wrapText="1"/>
    </xf>
    <xf numFmtId="0" fontId="10" fillId="5" borderId="0" xfId="0" applyFont="1" applyFill="1" applyAlignment="1">
      <alignment horizontal="center" vertical="center" wrapText="1"/>
    </xf>
    <xf numFmtId="0" fontId="14" fillId="0" borderId="14" xfId="0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5" borderId="30" xfId="0" applyFont="1" applyFill="1" applyBorder="1" applyAlignment="1">
      <alignment horizontal="left" wrapText="1"/>
    </xf>
    <xf numFmtId="0" fontId="10" fillId="5" borderId="4" xfId="0" applyFont="1" applyFill="1" applyBorder="1" applyAlignment="1">
      <alignment horizontal="left" wrapText="1"/>
    </xf>
    <xf numFmtId="0" fontId="10" fillId="5" borderId="22" xfId="0" applyFont="1" applyFill="1" applyBorder="1" applyAlignment="1">
      <alignment horizontal="left" wrapText="1"/>
    </xf>
    <xf numFmtId="0" fontId="36" fillId="0" borderId="0" xfId="0" applyFont="1" applyAlignment="1">
      <alignment horizontal="center"/>
    </xf>
    <xf numFmtId="0" fontId="10" fillId="5" borderId="30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10" fillId="5" borderId="22" xfId="0" applyFont="1" applyFill="1" applyBorder="1" applyAlignment="1">
      <alignment horizontal="left"/>
    </xf>
    <xf numFmtId="0" fontId="38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  <xf numFmtId="0" fontId="10" fillId="0" borderId="3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</xf>
    <xf numFmtId="0" fontId="5" fillId="0" borderId="0" xfId="0" applyFont="1" applyProtection="1"/>
    <xf numFmtId="0" fontId="30" fillId="14" borderId="0" xfId="0" applyFont="1" applyFill="1" applyAlignment="1" applyProtection="1">
      <alignment horizontal="center"/>
    </xf>
    <xf numFmtId="0" fontId="55" fillId="0" borderId="0" xfId="0" applyFont="1" applyAlignment="1" applyProtection="1">
      <alignment horizontal="center"/>
    </xf>
    <xf numFmtId="0" fontId="33" fillId="0" borderId="14" xfId="0" applyFont="1" applyBorder="1" applyAlignment="1" applyProtection="1">
      <alignment horizontal="center"/>
    </xf>
    <xf numFmtId="0" fontId="4" fillId="5" borderId="5" xfId="0" applyFont="1" applyFill="1" applyBorder="1" applyAlignment="1" applyProtection="1">
      <alignment vertical="center"/>
    </xf>
    <xf numFmtId="1" fontId="4" fillId="5" borderId="5" xfId="0" applyNumberFormat="1" applyFont="1" applyFill="1" applyBorder="1" applyAlignment="1" applyProtection="1">
      <alignment vertical="center"/>
    </xf>
    <xf numFmtId="17" fontId="4" fillId="5" borderId="5" xfId="0" applyNumberFormat="1" applyFont="1" applyFill="1" applyBorder="1" applyAlignment="1" applyProtection="1">
      <alignment horizontal="center" vertical="center"/>
    </xf>
    <xf numFmtId="0" fontId="4" fillId="5" borderId="6" xfId="0" applyFont="1" applyFill="1" applyBorder="1" applyAlignment="1" applyProtection="1">
      <alignment vertical="center"/>
    </xf>
    <xf numFmtId="0" fontId="4" fillId="5" borderId="6" xfId="0" applyFont="1" applyFill="1" applyBorder="1" applyAlignment="1" applyProtection="1">
      <alignment vertical="center"/>
    </xf>
    <xf numFmtId="0" fontId="4" fillId="5" borderId="6" xfId="0" applyFont="1" applyFill="1" applyBorder="1" applyAlignment="1" applyProtection="1">
      <alignment horizontal="center" vertical="center"/>
    </xf>
    <xf numFmtId="0" fontId="4" fillId="0" borderId="0" xfId="0" applyFont="1" applyProtection="1"/>
    <xf numFmtId="0" fontId="59" fillId="0" borderId="0" xfId="0" applyFont="1" applyAlignment="1" applyProtection="1">
      <alignment horizontal="center" wrapText="1"/>
    </xf>
    <xf numFmtId="0" fontId="34" fillId="0" borderId="0" xfId="0" applyFont="1" applyProtection="1"/>
    <xf numFmtId="0" fontId="4" fillId="0" borderId="0" xfId="0" applyFont="1" applyAlignment="1" applyProtection="1">
      <alignment horizontal="right"/>
    </xf>
    <xf numFmtId="1" fontId="5" fillId="0" borderId="0" xfId="0" applyNumberFormat="1" applyFont="1" applyProtection="1"/>
    <xf numFmtId="1" fontId="5" fillId="0" borderId="0" xfId="0" applyNumberFormat="1" applyFont="1" applyAlignment="1" applyProtection="1">
      <alignment horizontal="right"/>
    </xf>
    <xf numFmtId="0" fontId="0" fillId="0" borderId="0" xfId="0" applyProtection="1"/>
    <xf numFmtId="2" fontId="5" fillId="0" borderId="0" xfId="0" applyNumberFormat="1" applyFont="1" applyAlignment="1" applyProtection="1">
      <alignment horizontal="right"/>
    </xf>
    <xf numFmtId="1" fontId="5" fillId="0" borderId="0" xfId="0" applyNumberFormat="1" applyFont="1" applyProtection="1">
      <protection locked="0"/>
    </xf>
    <xf numFmtId="1" fontId="5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Border="1" applyProtection="1"/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13</xdr:row>
      <xdr:rowOff>19050</xdr:rowOff>
    </xdr:from>
    <xdr:to>
      <xdr:col>8</xdr:col>
      <xdr:colOff>28575</xdr:colOff>
      <xdr:row>25</xdr:row>
      <xdr:rowOff>47625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C1D5D212-09EB-6129-52F1-ABCB8A1C5856}"/>
            </a:ext>
          </a:extLst>
        </xdr:cNvPr>
        <xdr:cNvSpPr/>
      </xdr:nvSpPr>
      <xdr:spPr>
        <a:xfrm>
          <a:off x="10020300" y="2247900"/>
          <a:ext cx="581025" cy="1333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874059</xdr:colOff>
      <xdr:row>2</xdr:row>
      <xdr:rowOff>44824</xdr:rowOff>
    </xdr:from>
    <xdr:to>
      <xdr:col>1</xdr:col>
      <xdr:colOff>312645</xdr:colOff>
      <xdr:row>48</xdr:row>
      <xdr:rowOff>134471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0C7B8761-AD79-94AA-11FB-7612848E1B14}"/>
            </a:ext>
          </a:extLst>
        </xdr:cNvPr>
        <xdr:cNvSpPr/>
      </xdr:nvSpPr>
      <xdr:spPr>
        <a:xfrm>
          <a:off x="874059" y="806824"/>
          <a:ext cx="928968" cy="7496735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11</xdr:col>
      <xdr:colOff>752475</xdr:colOff>
      <xdr:row>25</xdr:row>
      <xdr:rowOff>0</xdr:rowOff>
    </xdr:from>
    <xdr:to>
      <xdr:col>15</xdr:col>
      <xdr:colOff>85725</xdr:colOff>
      <xdr:row>52</xdr:row>
      <xdr:rowOff>57150</xdr:rowOff>
    </xdr:to>
    <xdr:pic>
      <xdr:nvPicPr>
        <xdr:cNvPr id="3287" name="Picture 160" descr="C:\Users\Admin\Desktop\Project reports\Computax PL BS pics\PL v Audited or Provisional column.jpg">
          <a:extLst>
            <a:ext uri="{FF2B5EF4-FFF2-40B4-BE49-F238E27FC236}">
              <a16:creationId xmlns:a16="http://schemas.microsoft.com/office/drawing/2014/main" id="{D7DDE2BD-5E35-63BB-BF4E-FC1BE00FB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79150" y="4772025"/>
          <a:ext cx="3962400" cy="521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190500</xdr:colOff>
      <xdr:row>25</xdr:row>
      <xdr:rowOff>0</xdr:rowOff>
    </xdr:from>
    <xdr:to>
      <xdr:col>20</xdr:col>
      <xdr:colOff>38100</xdr:colOff>
      <xdr:row>51</xdr:row>
      <xdr:rowOff>123825</xdr:rowOff>
    </xdr:to>
    <xdr:pic>
      <xdr:nvPicPr>
        <xdr:cNvPr id="3288" name="Picture 161" descr="C:\Users\Admin\Desktop\Project reports\Computax PL BS pics\BS vertical Audited or provisional column.jpg">
          <a:extLst>
            <a:ext uri="{FF2B5EF4-FFF2-40B4-BE49-F238E27FC236}">
              <a16:creationId xmlns:a16="http://schemas.microsoft.com/office/drawing/2014/main" id="{55CD3590-6B2F-C114-546F-D7157308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46325" y="4772025"/>
          <a:ext cx="4305300" cy="508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291353</xdr:colOff>
      <xdr:row>25</xdr:row>
      <xdr:rowOff>179294</xdr:rowOff>
    </xdr:from>
    <xdr:to>
      <xdr:col>11</xdr:col>
      <xdr:colOff>683559</xdr:colOff>
      <xdr:row>72</xdr:row>
      <xdr:rowOff>67235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99DA6776-9F4F-8DDD-F149-E070A8B8A615}"/>
            </a:ext>
          </a:extLst>
        </xdr:cNvPr>
        <xdr:cNvSpPr/>
      </xdr:nvSpPr>
      <xdr:spPr>
        <a:xfrm>
          <a:off x="17963029" y="4112559"/>
          <a:ext cx="930089" cy="453838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696624</xdr:colOff>
      <xdr:row>101</xdr:row>
      <xdr:rowOff>547259</xdr:rowOff>
    </xdr:from>
    <xdr:to>
      <xdr:col>6</xdr:col>
      <xdr:colOff>853786</xdr:colOff>
      <xdr:row>103</xdr:row>
      <xdr:rowOff>179473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C9C0806B-CE37-617D-8C99-DACA8CC6D435}"/>
            </a:ext>
          </a:extLst>
        </xdr:cNvPr>
        <xdr:cNvSpPr/>
      </xdr:nvSpPr>
      <xdr:spPr>
        <a:xfrm rot="5400000">
          <a:off x="8864848" y="46619580"/>
          <a:ext cx="550078" cy="653025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1246910</xdr:colOff>
      <xdr:row>92</xdr:row>
      <xdr:rowOff>173181</xdr:rowOff>
    </xdr:from>
    <xdr:to>
      <xdr:col>6</xdr:col>
      <xdr:colOff>519550</xdr:colOff>
      <xdr:row>92</xdr:row>
      <xdr:rowOff>467594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id="{204E8609-85A4-6779-BEB8-98F641BC6298}"/>
            </a:ext>
          </a:extLst>
        </xdr:cNvPr>
        <xdr:cNvSpPr/>
      </xdr:nvSpPr>
      <xdr:spPr>
        <a:xfrm rot="16200000" flipH="1">
          <a:off x="9100705" y="41416431"/>
          <a:ext cx="294413" cy="564573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1853046</xdr:colOff>
      <xdr:row>99</xdr:row>
      <xdr:rowOff>346363</xdr:rowOff>
    </xdr:from>
    <xdr:to>
      <xdr:col>0</xdr:col>
      <xdr:colOff>3151910</xdr:colOff>
      <xdr:row>105</xdr:row>
      <xdr:rowOff>329044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979ABC2B-BFE5-FE2D-E198-52D54F60FA20}"/>
            </a:ext>
          </a:extLst>
        </xdr:cNvPr>
        <xdr:cNvCxnSpPr/>
      </xdr:nvCxnSpPr>
      <xdr:spPr>
        <a:xfrm rot="16200000" flipH="1">
          <a:off x="1290205" y="49123022"/>
          <a:ext cx="2424545" cy="129886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0883-EDEA-4007-BD92-5DD36B00AC0D}">
  <dimension ref="C4:J32"/>
  <sheetViews>
    <sheetView workbookViewId="0">
      <selection activeCell="D6" sqref="D6"/>
    </sheetView>
  </sheetViews>
  <sheetFormatPr defaultRowHeight="13.2" x14ac:dyDescent="0.25"/>
  <cols>
    <col min="3" max="3" width="49" bestFit="1" customWidth="1"/>
    <col min="4" max="4" width="43.109375" bestFit="1" customWidth="1"/>
    <col min="5" max="5" width="19.88671875" bestFit="1" customWidth="1"/>
    <col min="6" max="6" width="19.109375" customWidth="1"/>
    <col min="7" max="7" width="13.44140625" customWidth="1"/>
    <col min="8" max="8" width="7.44140625" customWidth="1"/>
  </cols>
  <sheetData>
    <row r="4" spans="3:10" ht="15.6" x14ac:dyDescent="0.3">
      <c r="C4" s="129" t="s">
        <v>181</v>
      </c>
    </row>
    <row r="5" spans="3:10" ht="13.8" thickBot="1" x14ac:dyDescent="0.3"/>
    <row r="6" spans="3:10" ht="14.4" x14ac:dyDescent="0.35">
      <c r="C6" s="130" t="s">
        <v>182</v>
      </c>
      <c r="D6" s="131" t="s">
        <v>183</v>
      </c>
    </row>
    <row r="7" spans="3:10" x14ac:dyDescent="0.25">
      <c r="C7" s="132" t="s">
        <v>184</v>
      </c>
      <c r="D7" s="140" t="s">
        <v>141</v>
      </c>
    </row>
    <row r="8" spans="3:10" x14ac:dyDescent="0.25">
      <c r="C8" s="132" t="s">
        <v>185</v>
      </c>
      <c r="D8" s="133" t="s">
        <v>126</v>
      </c>
    </row>
    <row r="11" spans="3:10" ht="15.6" x14ac:dyDescent="0.3">
      <c r="C11" s="129" t="s">
        <v>186</v>
      </c>
    </row>
    <row r="12" spans="3:10" x14ac:dyDescent="0.25">
      <c r="C12" s="97" t="s">
        <v>218</v>
      </c>
    </row>
    <row r="13" spans="3:10" ht="13.8" thickBot="1" x14ac:dyDescent="0.3"/>
    <row r="14" spans="3:10" x14ac:dyDescent="0.25">
      <c r="C14" s="134" t="s">
        <v>187</v>
      </c>
      <c r="D14" s="135" t="s">
        <v>209</v>
      </c>
      <c r="E14" s="135" t="s">
        <v>216</v>
      </c>
      <c r="F14" s="136" t="s">
        <v>158</v>
      </c>
      <c r="G14" s="137"/>
      <c r="I14" s="408" t="s">
        <v>188</v>
      </c>
      <c r="J14" s="409"/>
    </row>
    <row r="15" spans="3:10" x14ac:dyDescent="0.25">
      <c r="F15" s="97"/>
      <c r="G15" s="97"/>
      <c r="I15" s="410"/>
      <c r="J15" s="411"/>
    </row>
    <row r="16" spans="3:10" x14ac:dyDescent="0.25">
      <c r="C16" s="97" t="s">
        <v>213</v>
      </c>
      <c r="I16" s="410"/>
      <c r="J16" s="411"/>
    </row>
    <row r="17" spans="3:10" x14ac:dyDescent="0.25">
      <c r="I17" s="410"/>
      <c r="J17" s="411"/>
    </row>
    <row r="18" spans="3:10" x14ac:dyDescent="0.25">
      <c r="C18" s="134" t="s">
        <v>189</v>
      </c>
      <c r="D18" s="135" t="s">
        <v>190</v>
      </c>
      <c r="E18" s="135" t="s">
        <v>139</v>
      </c>
      <c r="F18" s="136" t="s">
        <v>159</v>
      </c>
      <c r="G18" s="137"/>
      <c r="I18" s="410"/>
      <c r="J18" s="411"/>
    </row>
    <row r="19" spans="3:10" x14ac:dyDescent="0.25">
      <c r="C19" s="106"/>
      <c r="D19" s="161"/>
      <c r="E19" s="161"/>
      <c r="F19" s="137"/>
      <c r="G19" s="137"/>
      <c r="I19" s="410"/>
      <c r="J19" s="411"/>
    </row>
    <row r="20" spans="3:10" x14ac:dyDescent="0.25">
      <c r="C20" s="106"/>
      <c r="D20" s="161"/>
      <c r="E20" s="161"/>
      <c r="F20" s="137"/>
      <c r="G20" s="137"/>
      <c r="I20" s="410"/>
      <c r="J20" s="411"/>
    </row>
    <row r="21" spans="3:10" x14ac:dyDescent="0.25">
      <c r="C21" s="97" t="s">
        <v>214</v>
      </c>
      <c r="D21" s="161"/>
      <c r="E21" s="161"/>
      <c r="F21" s="137"/>
      <c r="G21" s="137"/>
      <c r="I21" s="410"/>
      <c r="J21" s="411"/>
    </row>
    <row r="22" spans="3:10" x14ac:dyDescent="0.25">
      <c r="C22" s="162"/>
      <c r="D22" s="163"/>
      <c r="E22" s="161"/>
      <c r="F22" s="137"/>
      <c r="G22" s="137"/>
      <c r="I22" s="410"/>
      <c r="J22" s="411"/>
    </row>
    <row r="23" spans="3:10" x14ac:dyDescent="0.25">
      <c r="C23" s="134" t="s">
        <v>191</v>
      </c>
      <c r="D23" s="135" t="s">
        <v>190</v>
      </c>
      <c r="E23" s="135" t="s">
        <v>129</v>
      </c>
      <c r="F23" s="136" t="s">
        <v>160</v>
      </c>
      <c r="G23" s="137"/>
      <c r="I23" s="410"/>
      <c r="J23" s="411"/>
    </row>
    <row r="24" spans="3:10" x14ac:dyDescent="0.25">
      <c r="C24" s="134" t="s">
        <v>193</v>
      </c>
      <c r="D24" s="135" t="s">
        <v>190</v>
      </c>
      <c r="E24" s="135" t="s">
        <v>129</v>
      </c>
      <c r="F24" s="136" t="s">
        <v>192</v>
      </c>
      <c r="G24" s="137"/>
      <c r="I24" s="410"/>
      <c r="J24" s="411"/>
    </row>
    <row r="25" spans="3:10" ht="13.8" thickBot="1" x14ac:dyDescent="0.3">
      <c r="C25" s="134" t="s">
        <v>195</v>
      </c>
      <c r="D25" s="135" t="s">
        <v>190</v>
      </c>
      <c r="E25" s="135" t="s">
        <v>129</v>
      </c>
      <c r="F25" s="136" t="s">
        <v>194</v>
      </c>
      <c r="G25" s="137"/>
      <c r="I25" s="412"/>
      <c r="J25" s="413"/>
    </row>
    <row r="27" spans="3:10" ht="15.6" x14ac:dyDescent="0.3">
      <c r="C27" s="129" t="s">
        <v>196</v>
      </c>
    </row>
    <row r="28" spans="3:10" ht="21" customHeight="1" x14ac:dyDescent="0.25">
      <c r="C28" s="106" t="s">
        <v>208</v>
      </c>
    </row>
    <row r="31" spans="3:10" x14ac:dyDescent="0.25">
      <c r="C31" s="97" t="s">
        <v>197</v>
      </c>
    </row>
    <row r="32" spans="3:10" x14ac:dyDescent="0.25">
      <c r="C32" s="97" t="s">
        <v>198</v>
      </c>
    </row>
  </sheetData>
  <mergeCells count="1">
    <mergeCell ref="I14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0012-BC33-45CF-99EA-023697C3D8E0}">
  <dimension ref="A1:T226"/>
  <sheetViews>
    <sheetView tabSelected="1" topLeftCell="C212" zoomScale="85" zoomScaleNormal="85" workbookViewId="0">
      <selection activeCell="G143" sqref="G143"/>
    </sheetView>
  </sheetViews>
  <sheetFormatPr defaultRowHeight="13.2" x14ac:dyDescent="0.25"/>
  <cols>
    <col min="1" max="1" width="22.44140625" customWidth="1"/>
    <col min="2" max="2" width="16.109375" customWidth="1"/>
    <col min="3" max="3" width="65.5546875" style="106" customWidth="1"/>
    <col min="4" max="4" width="28.5546875" style="121" customWidth="1"/>
    <col min="5" max="5" width="13.33203125" style="121" customWidth="1"/>
    <col min="6" max="6" width="82.33203125" style="121" customWidth="1"/>
    <col min="7" max="7" width="19" style="121" customWidth="1"/>
    <col min="8" max="8" width="14.6640625" customWidth="1"/>
    <col min="9" max="9" width="48.88671875" style="121" customWidth="1"/>
    <col min="10" max="10" width="24.88671875" customWidth="1"/>
    <col min="11" max="11" width="8.109375" customWidth="1"/>
    <col min="12" max="12" width="32.44140625" customWidth="1"/>
    <col min="13" max="13" width="10.6640625" customWidth="1"/>
    <col min="14" max="14" width="13.5546875" customWidth="1"/>
    <col min="15" max="15" width="12.6640625" customWidth="1"/>
    <col min="16" max="16" width="11.109375" customWidth="1"/>
    <col min="17" max="17" width="13" customWidth="1"/>
    <col min="18" max="19" width="15.5546875" bestFit="1" customWidth="1"/>
    <col min="20" max="20" width="11.5546875" bestFit="1" customWidth="1"/>
  </cols>
  <sheetData>
    <row r="1" spans="2:17" ht="7.5" customHeight="1" x14ac:dyDescent="0.25"/>
    <row r="2" spans="2:17" ht="53.4" thickBot="1" x14ac:dyDescent="0.3">
      <c r="B2" s="199" t="s">
        <v>173</v>
      </c>
      <c r="C2" s="199" t="s">
        <v>174</v>
      </c>
      <c r="D2" s="200" t="s">
        <v>175</v>
      </c>
      <c r="E2" s="200" t="s">
        <v>176</v>
      </c>
      <c r="F2" s="200" t="s">
        <v>177</v>
      </c>
      <c r="G2" s="200" t="s">
        <v>178</v>
      </c>
      <c r="H2" s="201" t="s">
        <v>179</v>
      </c>
      <c r="I2" s="200" t="s">
        <v>180</v>
      </c>
      <c r="J2" s="200" t="s">
        <v>23</v>
      </c>
      <c r="L2" s="106"/>
      <c r="M2" s="106"/>
      <c r="N2" s="181"/>
      <c r="O2" s="182"/>
      <c r="P2" s="182"/>
      <c r="Q2" s="182"/>
    </row>
    <row r="3" spans="2:17" ht="15" thickBot="1" x14ac:dyDescent="0.4">
      <c r="B3" s="432" t="s">
        <v>200</v>
      </c>
      <c r="C3" s="180" t="s">
        <v>137</v>
      </c>
      <c r="D3" s="143" t="s">
        <v>151</v>
      </c>
      <c r="E3" s="143" t="s">
        <v>152</v>
      </c>
      <c r="F3" s="143"/>
      <c r="G3" s="143"/>
      <c r="H3" s="144"/>
      <c r="I3" s="368"/>
      <c r="J3" s="297"/>
      <c r="L3" s="106"/>
      <c r="M3" s="106"/>
      <c r="N3" s="181"/>
      <c r="O3" s="182"/>
      <c r="P3" s="182"/>
      <c r="Q3" s="182"/>
    </row>
    <row r="4" spans="2:17" ht="14.4" x14ac:dyDescent="0.35">
      <c r="B4" s="433"/>
      <c r="C4" s="364" t="s">
        <v>425</v>
      </c>
      <c r="D4" s="180" t="s">
        <v>245</v>
      </c>
      <c r="E4" s="143" t="s">
        <v>152</v>
      </c>
      <c r="F4" s="362" t="s">
        <v>426</v>
      </c>
      <c r="G4" s="362"/>
      <c r="H4" s="165"/>
      <c r="I4" s="369"/>
      <c r="J4" s="363"/>
      <c r="L4" s="106"/>
      <c r="M4" s="106"/>
      <c r="N4" s="181"/>
      <c r="O4" s="182"/>
      <c r="P4" s="182"/>
      <c r="Q4" s="182"/>
    </row>
    <row r="5" spans="2:17" ht="14.4" x14ac:dyDescent="0.35">
      <c r="B5" s="434"/>
      <c r="C5" s="126" t="s">
        <v>334</v>
      </c>
      <c r="D5" s="128" t="s">
        <v>151</v>
      </c>
      <c r="E5" s="128" t="s">
        <v>152</v>
      </c>
      <c r="F5" s="128"/>
      <c r="G5" s="128"/>
      <c r="H5" s="141"/>
      <c r="I5" s="370"/>
      <c r="J5" s="298"/>
      <c r="L5" s="106"/>
      <c r="M5" s="106"/>
      <c r="N5" s="181"/>
      <c r="O5" s="182"/>
      <c r="P5" s="182"/>
      <c r="Q5" s="182"/>
    </row>
    <row r="6" spans="2:17" ht="15" thickBot="1" x14ac:dyDescent="0.3">
      <c r="B6" s="434"/>
      <c r="C6" s="135" t="s">
        <v>138</v>
      </c>
      <c r="D6" s="128" t="s">
        <v>151</v>
      </c>
      <c r="E6" s="128" t="s">
        <v>152</v>
      </c>
      <c r="F6" s="128"/>
      <c r="G6" s="128"/>
      <c r="H6" s="141"/>
      <c r="I6" s="371"/>
      <c r="J6" s="298"/>
      <c r="L6" s="106"/>
      <c r="M6" s="106"/>
      <c r="N6" s="181"/>
      <c r="O6" s="182"/>
      <c r="P6" s="182"/>
      <c r="Q6" s="182"/>
    </row>
    <row r="7" spans="2:17" ht="14.4" x14ac:dyDescent="0.25">
      <c r="B7" s="435"/>
      <c r="C7" s="195" t="s">
        <v>182</v>
      </c>
      <c r="D7" s="180" t="s">
        <v>245</v>
      </c>
      <c r="E7" s="128" t="s">
        <v>152</v>
      </c>
      <c r="F7" s="128" t="s">
        <v>258</v>
      </c>
      <c r="G7" s="168"/>
      <c r="H7" s="196"/>
      <c r="I7" s="372"/>
      <c r="J7" s="299"/>
      <c r="L7" s="106"/>
      <c r="M7" s="106"/>
      <c r="N7" s="181"/>
      <c r="O7" s="182"/>
      <c r="P7" s="182"/>
      <c r="Q7" s="182"/>
    </row>
    <row r="8" spans="2:17" ht="15" thickBot="1" x14ac:dyDescent="0.3">
      <c r="B8" s="436"/>
      <c r="C8" s="191" t="s">
        <v>163</v>
      </c>
      <c r="D8" s="145" t="s">
        <v>151</v>
      </c>
      <c r="E8" s="145" t="s">
        <v>152</v>
      </c>
      <c r="F8" s="198"/>
      <c r="G8" s="145"/>
      <c r="H8" s="146"/>
      <c r="I8" s="373"/>
      <c r="J8" s="300"/>
      <c r="L8" s="106"/>
      <c r="M8" s="106"/>
      <c r="N8" s="181"/>
      <c r="O8" s="182"/>
      <c r="P8" s="182"/>
      <c r="Q8" s="182"/>
    </row>
    <row r="9" spans="2:17" ht="13.8" thickBot="1" x14ac:dyDescent="0.3">
      <c r="B9" s="202"/>
      <c r="C9" s="192"/>
      <c r="D9" s="193"/>
      <c r="E9" s="138"/>
      <c r="F9" s="138"/>
      <c r="G9" s="138"/>
      <c r="H9" s="139"/>
      <c r="I9" s="138"/>
      <c r="J9" s="138"/>
      <c r="L9" s="106"/>
      <c r="M9" s="106"/>
      <c r="N9" s="181"/>
      <c r="O9" s="182"/>
      <c r="P9" s="182"/>
      <c r="Q9" s="182"/>
    </row>
    <row r="10" spans="2:17" ht="13.5" customHeight="1" x14ac:dyDescent="0.25">
      <c r="B10" s="444" t="s">
        <v>199</v>
      </c>
      <c r="C10" s="309" t="s">
        <v>243</v>
      </c>
      <c r="D10" s="309" t="s">
        <v>245</v>
      </c>
      <c r="E10" s="312" t="s">
        <v>146</v>
      </c>
      <c r="F10" s="313" t="s">
        <v>207</v>
      </c>
      <c r="G10" s="313"/>
      <c r="H10" s="315"/>
      <c r="I10" s="374"/>
      <c r="J10" s="309"/>
      <c r="L10" s="106"/>
      <c r="M10" s="106"/>
      <c r="N10" s="181"/>
      <c r="O10" s="182"/>
      <c r="P10" s="182"/>
      <c r="Q10" s="182"/>
    </row>
    <row r="11" spans="2:17" ht="12.75" customHeight="1" x14ac:dyDescent="0.25">
      <c r="B11" s="445"/>
      <c r="C11" s="310" t="s">
        <v>215</v>
      </c>
      <c r="D11" s="310" t="s">
        <v>245</v>
      </c>
      <c r="E11" s="312" t="s">
        <v>146</v>
      </c>
      <c r="F11" s="312" t="s">
        <v>207</v>
      </c>
      <c r="G11" s="312"/>
      <c r="H11" s="315"/>
      <c r="I11" s="375"/>
      <c r="J11" s="316"/>
      <c r="L11" s="106"/>
      <c r="M11" s="106"/>
      <c r="N11" s="181"/>
      <c r="O11" s="182"/>
      <c r="P11" s="182"/>
      <c r="Q11" s="182"/>
    </row>
    <row r="12" spans="2:17" ht="12.75" customHeight="1" x14ac:dyDescent="0.25">
      <c r="B12" s="445"/>
      <c r="C12" s="310" t="s">
        <v>242</v>
      </c>
      <c r="D12" s="312" t="s">
        <v>151</v>
      </c>
      <c r="E12" s="312" t="s">
        <v>146</v>
      </c>
      <c r="F12" s="312"/>
      <c r="G12" s="312"/>
      <c r="H12" s="365"/>
      <c r="I12" s="376"/>
      <c r="J12" s="310" t="s">
        <v>156</v>
      </c>
      <c r="L12" s="106"/>
      <c r="M12" s="106"/>
      <c r="N12" s="181"/>
      <c r="O12" s="182"/>
      <c r="P12" s="182"/>
      <c r="Q12" s="182"/>
    </row>
    <row r="13" spans="2:17" ht="12.75" customHeight="1" x14ac:dyDescent="0.25">
      <c r="B13" s="445"/>
      <c r="C13" s="310" t="s">
        <v>131</v>
      </c>
      <c r="D13" s="312" t="s">
        <v>151</v>
      </c>
      <c r="E13" s="312" t="s">
        <v>146</v>
      </c>
      <c r="F13" s="312"/>
      <c r="G13" s="312"/>
      <c r="H13" s="366"/>
      <c r="I13" s="377">
        <f>H13/100</f>
        <v>0</v>
      </c>
      <c r="J13" s="310" t="s">
        <v>155</v>
      </c>
      <c r="L13" s="106"/>
      <c r="M13" s="106"/>
      <c r="N13" s="181"/>
      <c r="O13" s="182"/>
      <c r="P13" s="182"/>
      <c r="Q13" s="182"/>
    </row>
    <row r="14" spans="2:17" ht="12.75" customHeight="1" x14ac:dyDescent="0.25">
      <c r="B14" s="445"/>
      <c r="C14" s="310" t="s">
        <v>217</v>
      </c>
      <c r="D14" s="312" t="s">
        <v>151</v>
      </c>
      <c r="E14" s="312" t="s">
        <v>146</v>
      </c>
      <c r="F14" s="312"/>
      <c r="G14" s="312"/>
      <c r="H14" s="366"/>
      <c r="I14" s="377">
        <f>H14/100*118/100</f>
        <v>0</v>
      </c>
      <c r="J14" s="310" t="s">
        <v>154</v>
      </c>
      <c r="L14" s="106"/>
      <c r="M14" s="106"/>
      <c r="N14" s="181"/>
      <c r="O14" s="182"/>
      <c r="P14" s="182"/>
      <c r="Q14" s="182"/>
    </row>
    <row r="15" spans="2:17" ht="13.5" customHeight="1" x14ac:dyDescent="0.25">
      <c r="B15" s="445"/>
      <c r="C15" s="310" t="s">
        <v>142</v>
      </c>
      <c r="D15" s="312" t="s">
        <v>151</v>
      </c>
      <c r="E15" s="312" t="s">
        <v>146</v>
      </c>
      <c r="F15" s="312"/>
      <c r="G15" s="312" t="s">
        <v>257</v>
      </c>
      <c r="H15" s="366"/>
      <c r="I15" s="377">
        <f>H15/100</f>
        <v>0</v>
      </c>
      <c r="J15" s="310" t="s">
        <v>162</v>
      </c>
      <c r="L15" s="106"/>
      <c r="M15" s="106"/>
      <c r="N15" s="181"/>
      <c r="O15" s="182"/>
      <c r="P15" s="182"/>
      <c r="Q15" s="182"/>
    </row>
    <row r="16" spans="2:17" ht="13.8" thickBot="1" x14ac:dyDescent="0.3">
      <c r="B16" s="446"/>
      <c r="C16" s="311" t="s">
        <v>411</v>
      </c>
      <c r="D16" s="311" t="s">
        <v>245</v>
      </c>
      <c r="E16" s="314" t="s">
        <v>146</v>
      </c>
      <c r="F16" s="314"/>
      <c r="G16" s="314"/>
      <c r="H16" s="315"/>
      <c r="I16" s="378"/>
      <c r="J16" s="317"/>
      <c r="L16" s="106"/>
      <c r="M16" s="106"/>
      <c r="N16" s="181"/>
      <c r="O16" s="182"/>
      <c r="P16" s="182"/>
      <c r="Q16" s="182"/>
    </row>
    <row r="17" spans="1:17" ht="13.8" thickBot="1" x14ac:dyDescent="0.3">
      <c r="B17" s="202"/>
      <c r="C17" s="192"/>
      <c r="D17" s="193"/>
      <c r="E17" s="138"/>
      <c r="F17" s="138"/>
      <c r="G17" s="138"/>
      <c r="H17" s="139"/>
      <c r="I17" s="138"/>
      <c r="J17" s="138"/>
      <c r="L17" s="106"/>
      <c r="M17" s="106"/>
      <c r="N17" s="181"/>
      <c r="O17" s="182"/>
      <c r="P17" s="182"/>
      <c r="Q17" s="182"/>
    </row>
    <row r="18" spans="1:17" ht="13.5" customHeight="1" thickBot="1" x14ac:dyDescent="0.3">
      <c r="B18" s="438" t="s">
        <v>244</v>
      </c>
      <c r="C18" s="304" t="s">
        <v>187</v>
      </c>
      <c r="D18" s="180" t="s">
        <v>245</v>
      </c>
      <c r="E18" s="143" t="s">
        <v>146</v>
      </c>
      <c r="F18" s="322" t="s">
        <v>259</v>
      </c>
      <c r="G18" s="309"/>
      <c r="H18" s="318"/>
      <c r="I18" s="379"/>
      <c r="J18" s="380" t="s">
        <v>403</v>
      </c>
      <c r="L18" s="106"/>
      <c r="M18" s="106"/>
      <c r="N18" s="181"/>
      <c r="O18" s="182"/>
      <c r="P18" s="182"/>
      <c r="Q18" s="182"/>
    </row>
    <row r="19" spans="1:17" ht="13.5" customHeight="1" thickBot="1" x14ac:dyDescent="0.3">
      <c r="B19" s="439"/>
      <c r="C19" s="304" t="s">
        <v>189</v>
      </c>
      <c r="D19" s="126" t="s">
        <v>245</v>
      </c>
      <c r="E19" s="128" t="s">
        <v>146</v>
      </c>
      <c r="F19" s="322" t="s">
        <v>259</v>
      </c>
      <c r="G19" s="310"/>
      <c r="H19" s="319"/>
      <c r="I19" s="381"/>
      <c r="J19" s="382" t="s">
        <v>139</v>
      </c>
      <c r="L19" s="106"/>
      <c r="M19" s="106"/>
      <c r="N19" s="181"/>
      <c r="O19" s="182"/>
      <c r="P19" s="182"/>
      <c r="Q19" s="182"/>
    </row>
    <row r="20" spans="1:17" ht="13.5" customHeight="1" thickBot="1" x14ac:dyDescent="0.3">
      <c r="B20" s="439"/>
      <c r="C20" s="304" t="s">
        <v>191</v>
      </c>
      <c r="D20" s="126" t="s">
        <v>245</v>
      </c>
      <c r="E20" s="128" t="s">
        <v>146</v>
      </c>
      <c r="F20" s="322" t="s">
        <v>259</v>
      </c>
      <c r="G20" s="310"/>
      <c r="H20" s="319"/>
      <c r="I20" s="381"/>
      <c r="J20" s="382" t="s">
        <v>129</v>
      </c>
      <c r="L20" s="106"/>
      <c r="M20" s="106"/>
      <c r="N20" s="181"/>
      <c r="O20" s="182"/>
      <c r="P20" s="182"/>
      <c r="Q20" s="182"/>
    </row>
    <row r="21" spans="1:17" ht="13.5" customHeight="1" thickBot="1" x14ac:dyDescent="0.3">
      <c r="B21" s="439"/>
      <c r="C21" s="304" t="s">
        <v>193</v>
      </c>
      <c r="D21" s="126" t="s">
        <v>245</v>
      </c>
      <c r="E21" s="128" t="s">
        <v>146</v>
      </c>
      <c r="F21" s="322" t="s">
        <v>259</v>
      </c>
      <c r="G21" s="323"/>
      <c r="H21" s="320"/>
      <c r="I21" s="383"/>
      <c r="J21" s="384" t="s">
        <v>129</v>
      </c>
      <c r="L21" s="106"/>
      <c r="M21" s="106"/>
      <c r="N21" s="181"/>
      <c r="O21" s="182"/>
      <c r="P21" s="182"/>
      <c r="Q21" s="182"/>
    </row>
    <row r="22" spans="1:17" ht="16.5" customHeight="1" thickBot="1" x14ac:dyDescent="0.3">
      <c r="B22" s="439"/>
      <c r="C22" s="304" t="s">
        <v>195</v>
      </c>
      <c r="D22" s="126" t="s">
        <v>245</v>
      </c>
      <c r="E22" s="128" t="s">
        <v>146</v>
      </c>
      <c r="F22" s="322" t="s">
        <v>259</v>
      </c>
      <c r="G22" s="310"/>
      <c r="H22" s="319"/>
      <c r="I22" s="381"/>
      <c r="J22" s="382" t="s">
        <v>129</v>
      </c>
      <c r="L22" s="106"/>
      <c r="M22" s="106"/>
      <c r="N22" s="181"/>
      <c r="O22" s="182"/>
      <c r="P22" s="182"/>
      <c r="Q22" s="182"/>
    </row>
    <row r="23" spans="1:17" ht="16.5" customHeight="1" thickBot="1" x14ac:dyDescent="0.3">
      <c r="B23" s="439"/>
      <c r="C23" s="304" t="s">
        <v>362</v>
      </c>
      <c r="D23" s="126" t="s">
        <v>245</v>
      </c>
      <c r="E23" s="128" t="s">
        <v>146</v>
      </c>
      <c r="F23" s="322" t="s">
        <v>363</v>
      </c>
      <c r="G23" s="310"/>
      <c r="H23" s="319"/>
      <c r="I23" s="381"/>
      <c r="J23" s="382" t="s">
        <v>129</v>
      </c>
      <c r="L23" s="106"/>
      <c r="M23" s="106"/>
      <c r="N23" s="181"/>
      <c r="O23" s="182"/>
      <c r="P23" s="182"/>
      <c r="Q23" s="182"/>
    </row>
    <row r="24" spans="1:17" ht="15.75" customHeight="1" thickBot="1" x14ac:dyDescent="0.3">
      <c r="B24" s="440"/>
      <c r="C24" s="304" t="s">
        <v>364</v>
      </c>
      <c r="D24" s="126" t="s">
        <v>245</v>
      </c>
      <c r="E24" s="128" t="s">
        <v>146</v>
      </c>
      <c r="F24" s="322" t="s">
        <v>363</v>
      </c>
      <c r="G24" s="324"/>
      <c r="H24" s="321"/>
      <c r="I24" s="385"/>
      <c r="J24" s="386" t="s">
        <v>129</v>
      </c>
      <c r="L24" s="106"/>
      <c r="M24" s="106"/>
      <c r="N24" s="181"/>
      <c r="O24" s="182"/>
      <c r="P24" s="182"/>
      <c r="Q24" s="182"/>
    </row>
    <row r="25" spans="1:17" ht="18" thickBot="1" x14ac:dyDescent="0.35">
      <c r="B25" s="202"/>
      <c r="C25" s="308" t="s">
        <v>158</v>
      </c>
      <c r="D25" s="193"/>
      <c r="E25" s="138"/>
      <c r="F25" s="138"/>
      <c r="G25" s="138"/>
      <c r="H25" s="139"/>
      <c r="I25" s="138"/>
      <c r="J25" s="138"/>
      <c r="L25" s="106"/>
      <c r="M25" s="106"/>
      <c r="N25" s="181"/>
      <c r="O25" s="182"/>
      <c r="P25" s="182"/>
      <c r="Q25" s="182"/>
    </row>
    <row r="26" spans="1:17" ht="15" customHeight="1" x14ac:dyDescent="0.35">
      <c r="B26" s="441" t="s">
        <v>404</v>
      </c>
      <c r="C26" s="277" t="s">
        <v>219</v>
      </c>
      <c r="D26" s="284" t="s">
        <v>151</v>
      </c>
      <c r="E26" s="143" t="s">
        <v>146</v>
      </c>
      <c r="F26" s="126"/>
      <c r="G26" s="126"/>
      <c r="H26" s="177"/>
      <c r="I26" s="394"/>
      <c r="J26" s="301"/>
      <c r="L26" s="106"/>
      <c r="N26" s="183"/>
      <c r="O26" s="183"/>
      <c r="P26" s="183"/>
      <c r="Q26" s="183"/>
    </row>
    <row r="27" spans="1:17" ht="15" customHeight="1" x14ac:dyDescent="0.35">
      <c r="B27" s="442"/>
      <c r="C27" s="278" t="s">
        <v>1</v>
      </c>
      <c r="D27" s="284" t="s">
        <v>151</v>
      </c>
      <c r="E27" s="128" t="s">
        <v>146</v>
      </c>
      <c r="F27" s="126"/>
      <c r="G27" s="126"/>
      <c r="H27" s="178"/>
      <c r="I27" s="395"/>
      <c r="J27" s="302"/>
      <c r="L27" s="106"/>
      <c r="N27" s="183"/>
      <c r="O27" s="183"/>
      <c r="P27" s="183"/>
      <c r="Q27" s="183"/>
    </row>
    <row r="28" spans="1:17" ht="15" customHeight="1" x14ac:dyDescent="0.35">
      <c r="A28" s="437" t="s">
        <v>251</v>
      </c>
      <c r="B28" s="442"/>
      <c r="C28" s="278" t="s">
        <v>127</v>
      </c>
      <c r="D28" s="284" t="s">
        <v>151</v>
      </c>
      <c r="E28" s="128" t="s">
        <v>146</v>
      </c>
      <c r="F28" s="126"/>
      <c r="G28" s="126"/>
      <c r="H28" s="178"/>
      <c r="I28" s="395"/>
      <c r="J28" s="302"/>
      <c r="L28" s="106"/>
      <c r="N28" s="183"/>
      <c r="O28" s="183"/>
      <c r="P28" s="183"/>
      <c r="Q28" s="183"/>
    </row>
    <row r="29" spans="1:17" ht="15" customHeight="1" x14ac:dyDescent="0.35">
      <c r="A29" s="437"/>
      <c r="B29" s="442"/>
      <c r="C29" s="278" t="s">
        <v>2</v>
      </c>
      <c r="D29" s="284" t="s">
        <v>151</v>
      </c>
      <c r="E29" s="128" t="s">
        <v>146</v>
      </c>
      <c r="F29" s="126"/>
      <c r="G29" s="126"/>
      <c r="H29" s="178"/>
      <c r="I29" s="395"/>
      <c r="J29" s="302"/>
      <c r="L29" s="106"/>
      <c r="N29" s="183"/>
      <c r="O29" s="183"/>
      <c r="P29" s="183"/>
      <c r="Q29" s="183"/>
    </row>
    <row r="30" spans="1:17" ht="15" customHeight="1" x14ac:dyDescent="0.35">
      <c r="B30" s="442"/>
      <c r="C30" s="278" t="s">
        <v>220</v>
      </c>
      <c r="D30" s="284" t="s">
        <v>151</v>
      </c>
      <c r="E30" s="128" t="s">
        <v>146</v>
      </c>
      <c r="F30" s="126"/>
      <c r="G30" s="126"/>
      <c r="H30" s="178"/>
      <c r="I30" s="395"/>
      <c r="J30" s="302"/>
      <c r="L30" s="106"/>
      <c r="N30" s="183"/>
      <c r="O30" s="183"/>
      <c r="P30" s="183"/>
      <c r="Q30" s="183"/>
    </row>
    <row r="31" spans="1:17" ht="15" customHeight="1" x14ac:dyDescent="0.35">
      <c r="B31" s="442"/>
      <c r="C31" s="278" t="s">
        <v>81</v>
      </c>
      <c r="D31" s="284" t="s">
        <v>151</v>
      </c>
      <c r="E31" s="128" t="s">
        <v>146</v>
      </c>
      <c r="F31" s="126"/>
      <c r="G31" s="126"/>
      <c r="H31" s="178"/>
      <c r="I31" s="395"/>
      <c r="J31" s="302"/>
      <c r="L31" s="106"/>
      <c r="N31" s="183"/>
      <c r="O31" s="183"/>
      <c r="P31" s="183"/>
      <c r="Q31" s="183"/>
    </row>
    <row r="32" spans="1:17" ht="15" customHeight="1" x14ac:dyDescent="0.35">
      <c r="B32" s="442"/>
      <c r="C32" s="278" t="s">
        <v>33</v>
      </c>
      <c r="D32" s="284" t="s">
        <v>151</v>
      </c>
      <c r="E32" s="128" t="s">
        <v>146</v>
      </c>
      <c r="F32" s="126"/>
      <c r="G32" s="126"/>
      <c r="H32" s="178"/>
      <c r="I32" s="395"/>
      <c r="J32" s="302"/>
      <c r="L32" s="106"/>
      <c r="N32" s="183"/>
      <c r="O32" s="183"/>
      <c r="P32" s="183"/>
      <c r="Q32" s="183"/>
    </row>
    <row r="33" spans="2:17" ht="15" customHeight="1" x14ac:dyDescent="0.35">
      <c r="B33" s="442"/>
      <c r="C33" s="278" t="s">
        <v>205</v>
      </c>
      <c r="D33" s="284" t="s">
        <v>151</v>
      </c>
      <c r="E33" s="128" t="s">
        <v>146</v>
      </c>
      <c r="F33" s="126"/>
      <c r="G33" s="126"/>
      <c r="H33" s="178"/>
      <c r="I33" s="395"/>
      <c r="J33" s="302"/>
      <c r="L33" s="106"/>
      <c r="N33" s="183"/>
      <c r="O33" s="183"/>
      <c r="P33" s="183"/>
      <c r="Q33" s="183"/>
    </row>
    <row r="34" spans="2:17" ht="15" customHeight="1" x14ac:dyDescent="0.35">
      <c r="B34" s="442"/>
      <c r="C34" s="278" t="s">
        <v>82</v>
      </c>
      <c r="D34" s="284" t="s">
        <v>151</v>
      </c>
      <c r="E34" s="128" t="s">
        <v>146</v>
      </c>
      <c r="F34" s="128"/>
      <c r="G34" s="126"/>
      <c r="H34" s="178"/>
      <c r="I34" s="395"/>
      <c r="J34" s="302"/>
      <c r="L34" s="106"/>
      <c r="N34" s="183"/>
      <c r="O34" s="183"/>
      <c r="P34" s="183"/>
      <c r="Q34" s="183"/>
    </row>
    <row r="35" spans="2:17" ht="15" customHeight="1" x14ac:dyDescent="0.35">
      <c r="B35" s="442"/>
      <c r="C35" s="278" t="s">
        <v>217</v>
      </c>
      <c r="D35" s="284" t="s">
        <v>151</v>
      </c>
      <c r="E35" s="128" t="s">
        <v>146</v>
      </c>
      <c r="F35" s="126"/>
      <c r="G35" s="126"/>
      <c r="H35" s="178"/>
      <c r="I35" s="395"/>
      <c r="J35" s="302"/>
      <c r="L35" s="106"/>
      <c r="N35" s="183"/>
      <c r="O35" s="183"/>
      <c r="P35" s="183"/>
      <c r="Q35" s="183"/>
    </row>
    <row r="36" spans="2:17" ht="15" customHeight="1" x14ac:dyDescent="0.35">
      <c r="B36" s="442"/>
      <c r="C36" s="279" t="s">
        <v>235</v>
      </c>
      <c r="D36" s="284" t="s">
        <v>151</v>
      </c>
      <c r="E36" s="128" t="s">
        <v>146</v>
      </c>
      <c r="F36" s="126"/>
      <c r="G36" s="126"/>
      <c r="H36" s="178"/>
      <c r="I36" s="395"/>
      <c r="J36" s="302"/>
      <c r="L36" s="106"/>
      <c r="N36" s="183"/>
      <c r="O36" s="183"/>
      <c r="P36" s="183"/>
      <c r="Q36" s="183"/>
    </row>
    <row r="37" spans="2:17" ht="15" customHeight="1" x14ac:dyDescent="0.35">
      <c r="B37" s="442"/>
      <c r="C37" s="280" t="s">
        <v>165</v>
      </c>
      <c r="D37" s="284" t="s">
        <v>151</v>
      </c>
      <c r="E37" s="128" t="s">
        <v>146</v>
      </c>
      <c r="F37" s="126"/>
      <c r="G37" s="126"/>
      <c r="H37" s="178"/>
      <c r="I37" s="395"/>
      <c r="J37" s="302"/>
      <c r="L37" s="106"/>
      <c r="N37" s="183"/>
      <c r="O37" s="183"/>
      <c r="P37" s="183"/>
      <c r="Q37" s="183"/>
    </row>
    <row r="38" spans="2:17" ht="14.4" x14ac:dyDescent="0.35">
      <c r="B38" s="442"/>
      <c r="C38" s="279" t="s">
        <v>349</v>
      </c>
      <c r="D38" s="284" t="s">
        <v>151</v>
      </c>
      <c r="E38" s="128" t="s">
        <v>146</v>
      </c>
      <c r="F38" s="126"/>
      <c r="G38" s="126"/>
      <c r="H38" s="178"/>
      <c r="I38" s="395"/>
      <c r="J38" s="302"/>
      <c r="L38" s="106"/>
      <c r="N38" s="183"/>
      <c r="O38" s="183"/>
      <c r="P38" s="183"/>
      <c r="Q38" s="183"/>
    </row>
    <row r="39" spans="2:17" ht="15" thickBot="1" x14ac:dyDescent="0.4">
      <c r="B39" s="442"/>
      <c r="C39" s="281" t="s">
        <v>357</v>
      </c>
      <c r="D39" s="270" t="s">
        <v>283</v>
      </c>
      <c r="E39" s="271" t="s">
        <v>361</v>
      </c>
      <c r="F39" s="126"/>
      <c r="G39" s="126"/>
      <c r="H39" s="233"/>
      <c r="I39" s="396">
        <f>I26+I29+I30-I27-I28-I38-I32-I36-I37-I33-I34-I35</f>
        <v>0</v>
      </c>
      <c r="J39" s="302"/>
      <c r="L39" s="106"/>
      <c r="N39" s="183"/>
      <c r="O39" s="183"/>
      <c r="P39" s="183"/>
      <c r="Q39" s="183"/>
    </row>
    <row r="40" spans="2:17" ht="15" customHeight="1" x14ac:dyDescent="0.35">
      <c r="B40" s="442"/>
      <c r="C40" s="282" t="s">
        <v>221</v>
      </c>
      <c r="D40" s="284" t="s">
        <v>151</v>
      </c>
      <c r="E40" s="168" t="s">
        <v>146</v>
      </c>
      <c r="F40" s="126"/>
      <c r="G40" s="126"/>
      <c r="H40" s="178"/>
      <c r="I40" s="395"/>
      <c r="J40" s="302"/>
      <c r="L40" s="106"/>
      <c r="N40" s="183"/>
      <c r="O40" s="183"/>
      <c r="P40" s="183"/>
      <c r="Q40" s="183"/>
    </row>
    <row r="41" spans="2:17" ht="15" customHeight="1" x14ac:dyDescent="0.35">
      <c r="B41" s="442"/>
      <c r="C41" s="280" t="s">
        <v>222</v>
      </c>
      <c r="D41" s="284" t="s">
        <v>151</v>
      </c>
      <c r="E41" s="168" t="s">
        <v>146</v>
      </c>
      <c r="F41" s="126"/>
      <c r="G41" s="126"/>
      <c r="H41" s="178"/>
      <c r="I41" s="395"/>
      <c r="J41" s="302"/>
      <c r="L41" s="106"/>
      <c r="N41" s="183"/>
      <c r="O41" s="183"/>
      <c r="P41" s="183"/>
      <c r="Q41" s="183"/>
    </row>
    <row r="42" spans="2:17" ht="15" customHeight="1" x14ac:dyDescent="0.35">
      <c r="B42" s="442"/>
      <c r="C42" s="280" t="s">
        <v>236</v>
      </c>
      <c r="D42" s="284" t="s">
        <v>151</v>
      </c>
      <c r="E42" s="168" t="s">
        <v>146</v>
      </c>
      <c r="F42" s="126"/>
      <c r="G42" s="126"/>
      <c r="H42" s="178"/>
      <c r="I42" s="395"/>
      <c r="J42" s="302"/>
      <c r="L42" s="106"/>
      <c r="N42" s="183"/>
      <c r="O42" s="183"/>
      <c r="P42" s="183"/>
      <c r="Q42" s="183"/>
    </row>
    <row r="43" spans="2:17" ht="15" customHeight="1" x14ac:dyDescent="0.35">
      <c r="B43" s="442"/>
      <c r="C43" s="280" t="s">
        <v>237</v>
      </c>
      <c r="D43" s="284" t="s">
        <v>151</v>
      </c>
      <c r="E43" s="168" t="s">
        <v>146</v>
      </c>
      <c r="F43" s="126"/>
      <c r="G43" s="126"/>
      <c r="H43" s="178"/>
      <c r="I43" s="395"/>
      <c r="J43" s="302"/>
      <c r="L43" s="106"/>
      <c r="N43" s="183"/>
      <c r="O43" s="183"/>
      <c r="P43" s="183"/>
      <c r="Q43" s="183"/>
    </row>
    <row r="44" spans="2:17" ht="15" customHeight="1" x14ac:dyDescent="0.25">
      <c r="B44" s="442"/>
      <c r="C44" s="280" t="s">
        <v>224</v>
      </c>
      <c r="D44" s="284" t="s">
        <v>151</v>
      </c>
      <c r="E44" s="128" t="s">
        <v>146</v>
      </c>
      <c r="F44" s="126"/>
      <c r="G44" s="126"/>
      <c r="H44" s="178"/>
      <c r="I44" s="397"/>
      <c r="J44" s="302"/>
      <c r="L44" s="106"/>
      <c r="N44" s="183"/>
      <c r="O44" s="183"/>
      <c r="P44" s="183"/>
      <c r="Q44" s="183"/>
    </row>
    <row r="45" spans="2:17" ht="15" customHeight="1" x14ac:dyDescent="0.25">
      <c r="B45" s="442"/>
      <c r="C45" s="280" t="s">
        <v>33</v>
      </c>
      <c r="D45" s="270" t="s">
        <v>283</v>
      </c>
      <c r="E45" s="128" t="s">
        <v>361</v>
      </c>
      <c r="F45" s="126"/>
      <c r="G45" s="126"/>
      <c r="H45" s="272"/>
      <c r="I45" s="398">
        <f>I32</f>
        <v>0</v>
      </c>
      <c r="J45" s="302"/>
      <c r="L45" s="106"/>
      <c r="N45" s="183"/>
      <c r="O45" s="183"/>
      <c r="P45" s="183"/>
      <c r="Q45" s="183"/>
    </row>
    <row r="46" spans="2:17" ht="15" customHeight="1" x14ac:dyDescent="0.25">
      <c r="B46" s="442"/>
      <c r="C46" s="280" t="s">
        <v>223</v>
      </c>
      <c r="D46" s="270" t="s">
        <v>283</v>
      </c>
      <c r="E46" s="128" t="s">
        <v>361</v>
      </c>
      <c r="F46" s="126"/>
      <c r="G46" s="126"/>
      <c r="H46" s="272"/>
      <c r="I46" s="398">
        <f>I44+I45</f>
        <v>0</v>
      </c>
      <c r="J46" s="302"/>
      <c r="L46" s="106"/>
      <c r="N46" s="183"/>
      <c r="O46" s="183"/>
      <c r="P46" s="183"/>
      <c r="Q46" s="183"/>
    </row>
    <row r="47" spans="2:17" ht="15" customHeight="1" x14ac:dyDescent="0.35">
      <c r="B47" s="442"/>
      <c r="C47" s="280" t="s">
        <v>225</v>
      </c>
      <c r="D47" s="284" t="s">
        <v>151</v>
      </c>
      <c r="E47" s="168" t="s">
        <v>146</v>
      </c>
      <c r="F47" s="126"/>
      <c r="G47" s="126"/>
      <c r="H47" s="178"/>
      <c r="I47" s="395">
        <v>0</v>
      </c>
      <c r="J47" s="302"/>
      <c r="L47" s="106"/>
      <c r="N47" s="183"/>
      <c r="O47" s="183"/>
      <c r="P47" s="183"/>
      <c r="Q47" s="183"/>
    </row>
    <row r="48" spans="2:17" ht="15" customHeight="1" x14ac:dyDescent="0.35">
      <c r="B48" s="442"/>
      <c r="C48" s="280" t="s">
        <v>4</v>
      </c>
      <c r="D48" s="284" t="s">
        <v>151</v>
      </c>
      <c r="E48" s="168" t="s">
        <v>146</v>
      </c>
      <c r="F48" s="126"/>
      <c r="G48" s="126"/>
      <c r="H48" s="178"/>
      <c r="I48" s="395"/>
      <c r="J48" s="302"/>
      <c r="L48" s="106"/>
      <c r="N48" s="183"/>
      <c r="O48" s="183"/>
      <c r="P48" s="183"/>
      <c r="Q48" s="183"/>
    </row>
    <row r="49" spans="2:17" ht="15" customHeight="1" x14ac:dyDescent="0.35">
      <c r="B49" s="442"/>
      <c r="C49" s="280" t="s">
        <v>72</v>
      </c>
      <c r="D49" s="284" t="s">
        <v>151</v>
      </c>
      <c r="E49" s="168" t="s">
        <v>146</v>
      </c>
      <c r="F49" s="126"/>
      <c r="G49" s="126"/>
      <c r="H49" s="178"/>
      <c r="I49" s="395"/>
      <c r="J49" s="302"/>
      <c r="L49" s="106"/>
      <c r="N49" s="183"/>
      <c r="O49" s="183"/>
      <c r="P49" s="183"/>
      <c r="Q49" s="183"/>
    </row>
    <row r="50" spans="2:17" ht="15" customHeight="1" thickBot="1" x14ac:dyDescent="0.4">
      <c r="B50" s="443"/>
      <c r="C50" s="283" t="s">
        <v>226</v>
      </c>
      <c r="D50" s="284" t="s">
        <v>151</v>
      </c>
      <c r="E50" s="145" t="s">
        <v>146</v>
      </c>
      <c r="F50" s="126"/>
      <c r="G50" s="126"/>
      <c r="H50" s="179"/>
      <c r="I50" s="399"/>
      <c r="J50" s="303"/>
      <c r="L50" s="106"/>
      <c r="N50" s="183"/>
      <c r="O50" s="183"/>
      <c r="P50" s="183"/>
      <c r="Q50" s="183"/>
    </row>
    <row r="51" spans="2:17" ht="15" customHeight="1" thickBot="1" x14ac:dyDescent="0.4">
      <c r="B51" s="305"/>
      <c r="C51" s="246" t="s">
        <v>381</v>
      </c>
      <c r="D51" s="204"/>
      <c r="E51" s="204"/>
      <c r="F51" s="234"/>
      <c r="G51" s="234"/>
      <c r="H51" s="204"/>
      <c r="I51" s="245" t="s">
        <v>274</v>
      </c>
      <c r="J51" s="205"/>
      <c r="L51" s="106"/>
      <c r="N51" s="183"/>
      <c r="O51" s="183"/>
      <c r="P51" s="183"/>
      <c r="Q51" s="183"/>
    </row>
    <row r="52" spans="2:17" ht="15" customHeight="1" x14ac:dyDescent="0.35">
      <c r="B52" s="438" t="s">
        <v>275</v>
      </c>
      <c r="C52" s="206" t="s">
        <v>135</v>
      </c>
      <c r="D52" s="126" t="s">
        <v>151</v>
      </c>
      <c r="E52" s="128" t="s">
        <v>146</v>
      </c>
      <c r="F52" s="126"/>
      <c r="G52" s="207"/>
      <c r="H52" s="142"/>
      <c r="I52" s="400">
        <f>F135</f>
        <v>0</v>
      </c>
      <c r="J52" s="126" t="s">
        <v>276</v>
      </c>
      <c r="L52" s="106"/>
      <c r="N52" s="183"/>
      <c r="O52" s="183"/>
      <c r="P52" s="183"/>
      <c r="Q52" s="183"/>
    </row>
    <row r="53" spans="2:17" ht="15" customHeight="1" x14ac:dyDescent="0.35">
      <c r="B53" s="439"/>
      <c r="C53" s="206" t="s">
        <v>206</v>
      </c>
      <c r="D53" s="126" t="s">
        <v>151</v>
      </c>
      <c r="E53" s="128" t="s">
        <v>146</v>
      </c>
      <c r="F53" s="126"/>
      <c r="G53" s="207"/>
      <c r="H53" s="142"/>
      <c r="I53" s="401">
        <f>F145</f>
        <v>0</v>
      </c>
      <c r="J53" s="126" t="s">
        <v>276</v>
      </c>
      <c r="L53" s="106"/>
      <c r="N53" s="183"/>
      <c r="O53" s="183"/>
      <c r="P53" s="183"/>
      <c r="Q53" s="183"/>
    </row>
    <row r="54" spans="2:17" ht="15" customHeight="1" x14ac:dyDescent="0.35">
      <c r="B54" s="439"/>
      <c r="C54" s="206" t="s">
        <v>410</v>
      </c>
      <c r="D54" s="126" t="s">
        <v>151</v>
      </c>
      <c r="E54" s="128" t="s">
        <v>146</v>
      </c>
      <c r="F54" s="126"/>
      <c r="G54" s="207"/>
      <c r="H54" s="142"/>
      <c r="I54" s="401">
        <f>F155</f>
        <v>0</v>
      </c>
      <c r="J54" s="126" t="s">
        <v>276</v>
      </c>
      <c r="L54" s="106"/>
      <c r="N54" s="183"/>
      <c r="O54" s="183"/>
      <c r="P54" s="183"/>
      <c r="Q54" s="183"/>
    </row>
    <row r="55" spans="2:17" ht="15" customHeight="1" x14ac:dyDescent="0.35">
      <c r="B55" s="439"/>
      <c r="C55" s="206" t="s">
        <v>277</v>
      </c>
      <c r="D55" s="126" t="s">
        <v>151</v>
      </c>
      <c r="E55" s="128" t="s">
        <v>146</v>
      </c>
      <c r="F55" s="126"/>
      <c r="G55" s="207"/>
      <c r="H55" s="142"/>
      <c r="I55" s="401">
        <f>F165</f>
        <v>0</v>
      </c>
      <c r="J55" s="126" t="s">
        <v>276</v>
      </c>
      <c r="L55" s="106"/>
      <c r="N55" s="183"/>
      <c r="O55" s="183"/>
      <c r="P55" s="183"/>
      <c r="Q55" s="183"/>
    </row>
    <row r="56" spans="2:17" ht="15" customHeight="1" x14ac:dyDescent="0.35">
      <c r="B56" s="439"/>
      <c r="C56" s="206" t="s">
        <v>278</v>
      </c>
      <c r="D56" s="126" t="s">
        <v>151</v>
      </c>
      <c r="E56" s="128" t="s">
        <v>146</v>
      </c>
      <c r="F56" s="126"/>
      <c r="G56" s="207"/>
      <c r="H56" s="142"/>
      <c r="I56" s="401">
        <f>F168</f>
        <v>0</v>
      </c>
      <c r="J56" s="126" t="s">
        <v>276</v>
      </c>
      <c r="L56" s="106"/>
      <c r="N56" s="183"/>
      <c r="O56" s="183"/>
      <c r="P56" s="183"/>
      <c r="Q56" s="183"/>
    </row>
    <row r="57" spans="2:17" ht="15" customHeight="1" x14ac:dyDescent="0.35">
      <c r="B57" s="439"/>
      <c r="C57" s="206" t="s">
        <v>279</v>
      </c>
      <c r="D57" s="126" t="s">
        <v>151</v>
      </c>
      <c r="E57" s="128" t="s">
        <v>146</v>
      </c>
      <c r="F57" s="126"/>
      <c r="G57" s="207"/>
      <c r="H57" s="142"/>
      <c r="I57" s="401">
        <f>F178</f>
        <v>0</v>
      </c>
      <c r="J57" s="126" t="s">
        <v>276</v>
      </c>
      <c r="L57" s="106"/>
      <c r="N57" s="183"/>
      <c r="O57" s="183"/>
      <c r="P57" s="183"/>
      <c r="Q57" s="183"/>
    </row>
    <row r="58" spans="2:17" ht="15" customHeight="1" x14ac:dyDescent="0.35">
      <c r="B58" s="439"/>
      <c r="C58" s="206" t="s">
        <v>134</v>
      </c>
      <c r="D58" s="126" t="s">
        <v>151</v>
      </c>
      <c r="E58" s="128" t="s">
        <v>146</v>
      </c>
      <c r="F58" s="126"/>
      <c r="G58" s="207"/>
      <c r="H58" s="142"/>
      <c r="I58" s="401">
        <f>F188</f>
        <v>0</v>
      </c>
      <c r="J58" s="126" t="s">
        <v>276</v>
      </c>
      <c r="L58" s="106"/>
      <c r="N58" s="183"/>
      <c r="O58" s="183"/>
      <c r="P58" s="183"/>
      <c r="Q58" s="183"/>
    </row>
    <row r="59" spans="2:17" ht="15" customHeight="1" x14ac:dyDescent="0.35">
      <c r="B59" s="439"/>
      <c r="C59" s="206" t="s">
        <v>280</v>
      </c>
      <c r="D59" s="126" t="s">
        <v>151</v>
      </c>
      <c r="E59" s="128" t="s">
        <v>146</v>
      </c>
      <c r="F59" s="126"/>
      <c r="G59" s="207"/>
      <c r="H59" s="142"/>
      <c r="I59" s="401">
        <f>F198</f>
        <v>0</v>
      </c>
      <c r="J59" s="126" t="s">
        <v>276</v>
      </c>
      <c r="L59" s="106"/>
      <c r="N59" s="183"/>
      <c r="O59" s="183"/>
      <c r="P59" s="183"/>
      <c r="Q59" s="183"/>
    </row>
    <row r="60" spans="2:17" ht="15" customHeight="1" x14ac:dyDescent="0.35">
      <c r="B60" s="439"/>
      <c r="C60" s="206" t="s">
        <v>281</v>
      </c>
      <c r="D60" s="126" t="s">
        <v>151</v>
      </c>
      <c r="E60" s="128" t="s">
        <v>146</v>
      </c>
      <c r="F60" s="126"/>
      <c r="G60" s="207"/>
      <c r="H60" s="142"/>
      <c r="I60" s="401">
        <f>F198</f>
        <v>0</v>
      </c>
      <c r="J60" s="126" t="s">
        <v>276</v>
      </c>
      <c r="L60" s="106"/>
      <c r="N60" s="183"/>
      <c r="O60" s="183"/>
      <c r="P60" s="183"/>
      <c r="Q60" s="183"/>
    </row>
    <row r="61" spans="2:17" ht="15" customHeight="1" x14ac:dyDescent="0.35">
      <c r="B61" s="439"/>
      <c r="C61" s="206" t="s">
        <v>143</v>
      </c>
      <c r="D61" s="126" t="s">
        <v>151</v>
      </c>
      <c r="E61" s="128" t="s">
        <v>146</v>
      </c>
      <c r="F61" s="126"/>
      <c r="G61" s="207"/>
      <c r="H61" s="142"/>
      <c r="I61" s="401">
        <f>F217</f>
        <v>0</v>
      </c>
      <c r="J61" s="126" t="s">
        <v>276</v>
      </c>
      <c r="L61" s="106"/>
      <c r="N61" s="183"/>
      <c r="O61" s="183"/>
      <c r="P61" s="183"/>
      <c r="Q61" s="183"/>
    </row>
    <row r="62" spans="2:17" ht="15" customHeight="1" thickBot="1" x14ac:dyDescent="0.4">
      <c r="B62" s="440"/>
      <c r="C62" s="206" t="s">
        <v>282</v>
      </c>
      <c r="D62" s="207" t="s">
        <v>283</v>
      </c>
      <c r="E62" s="128" t="s">
        <v>283</v>
      </c>
      <c r="F62" s="207"/>
      <c r="G62" s="207"/>
      <c r="H62" s="142"/>
      <c r="I62" s="402">
        <f>SUM(I52:I61)</f>
        <v>0</v>
      </c>
      <c r="J62" s="126" t="s">
        <v>276</v>
      </c>
      <c r="L62" s="106"/>
      <c r="N62" s="183"/>
      <c r="O62" s="183"/>
      <c r="P62" s="183"/>
      <c r="Q62" s="183"/>
    </row>
    <row r="63" spans="2:17" ht="15" customHeight="1" x14ac:dyDescent="0.3">
      <c r="B63" s="306"/>
      <c r="C63" s="246"/>
      <c r="D63" s="208"/>
      <c r="E63" s="208"/>
      <c r="F63" s="208"/>
      <c r="G63" s="208"/>
      <c r="H63" s="208"/>
      <c r="I63" s="208"/>
      <c r="J63" s="209"/>
      <c r="L63" s="106"/>
      <c r="N63" s="183"/>
      <c r="O63" s="183"/>
      <c r="P63" s="183"/>
      <c r="Q63" s="183"/>
    </row>
    <row r="64" spans="2:17" ht="15" customHeight="1" x14ac:dyDescent="0.35">
      <c r="B64" s="439" t="s">
        <v>431</v>
      </c>
      <c r="C64" s="206" t="s">
        <v>284</v>
      </c>
      <c r="D64" s="207" t="s">
        <v>283</v>
      </c>
      <c r="E64" s="210" t="s">
        <v>146</v>
      </c>
      <c r="F64" s="207"/>
      <c r="G64" s="207"/>
      <c r="H64" s="207"/>
      <c r="I64" s="402"/>
      <c r="J64" s="207" t="s">
        <v>276</v>
      </c>
      <c r="L64" s="106"/>
      <c r="N64" s="183"/>
      <c r="O64" s="183"/>
      <c r="P64" s="183"/>
      <c r="Q64" s="183"/>
    </row>
    <row r="65" spans="2:17" ht="15" customHeight="1" x14ac:dyDescent="0.35">
      <c r="B65" s="439"/>
      <c r="C65" s="206" t="s">
        <v>285</v>
      </c>
      <c r="D65" s="207" t="s">
        <v>151</v>
      </c>
      <c r="E65" s="210" t="s">
        <v>146</v>
      </c>
      <c r="F65" s="207"/>
      <c r="G65" s="207"/>
      <c r="H65" s="211"/>
      <c r="I65" s="400">
        <f>SUM(I52:I61)-I64</f>
        <v>0</v>
      </c>
      <c r="J65" s="207"/>
      <c r="L65" s="106"/>
      <c r="N65" s="183"/>
      <c r="O65" s="183"/>
      <c r="P65" s="183"/>
      <c r="Q65" s="183"/>
    </row>
    <row r="66" spans="2:17" ht="15" customHeight="1" x14ac:dyDescent="0.35">
      <c r="B66" s="439"/>
      <c r="C66" s="206" t="s">
        <v>286</v>
      </c>
      <c r="D66" s="207" t="s">
        <v>151</v>
      </c>
      <c r="E66" s="212" t="s">
        <v>146</v>
      </c>
      <c r="F66" s="207"/>
      <c r="G66" s="207"/>
      <c r="H66" s="367"/>
      <c r="I66" s="403">
        <f>H66/100</f>
        <v>0</v>
      </c>
      <c r="J66" s="207" t="s">
        <v>155</v>
      </c>
      <c r="L66" s="106"/>
      <c r="N66" s="183"/>
      <c r="O66" s="183"/>
      <c r="P66" s="183"/>
      <c r="Q66" s="183"/>
    </row>
    <row r="67" spans="2:17" ht="15" customHeight="1" thickBot="1" x14ac:dyDescent="0.4">
      <c r="B67" s="439"/>
      <c r="C67" s="206" t="s">
        <v>287</v>
      </c>
      <c r="D67" s="207" t="s">
        <v>151</v>
      </c>
      <c r="E67" s="212" t="s">
        <v>146</v>
      </c>
      <c r="F67" s="207"/>
      <c r="G67" s="207"/>
      <c r="H67" s="141"/>
      <c r="I67" s="404"/>
      <c r="J67" s="207" t="s">
        <v>157</v>
      </c>
      <c r="L67" s="106"/>
      <c r="N67" s="183"/>
      <c r="O67" s="183"/>
      <c r="P67" s="183"/>
      <c r="Q67" s="183"/>
    </row>
    <row r="68" spans="2:17" ht="15" customHeight="1" x14ac:dyDescent="0.35">
      <c r="B68" s="439"/>
      <c r="C68" s="206" t="s">
        <v>289</v>
      </c>
      <c r="D68" s="180" t="s">
        <v>245</v>
      </c>
      <c r="E68" s="212" t="s">
        <v>146</v>
      </c>
      <c r="F68" s="128" t="s">
        <v>290</v>
      </c>
      <c r="H68" s="141"/>
      <c r="I68" s="400"/>
      <c r="J68" s="142"/>
      <c r="L68" s="106"/>
      <c r="N68" s="183"/>
      <c r="O68" s="183"/>
      <c r="P68" s="183"/>
      <c r="Q68" s="183"/>
    </row>
    <row r="69" spans="2:17" ht="15" customHeight="1" x14ac:dyDescent="0.35">
      <c r="B69" s="439"/>
      <c r="C69" s="206" t="s">
        <v>291</v>
      </c>
      <c r="D69" s="207" t="s">
        <v>151</v>
      </c>
      <c r="E69" s="210" t="s">
        <v>146</v>
      </c>
      <c r="F69" s="207"/>
      <c r="G69" s="207"/>
      <c r="H69" s="141"/>
      <c r="I69" s="405">
        <v>0</v>
      </c>
      <c r="J69" s="126" t="s">
        <v>288</v>
      </c>
      <c r="L69" s="106"/>
      <c r="N69" s="183"/>
      <c r="O69" s="183"/>
      <c r="P69" s="183"/>
      <c r="Q69" s="183"/>
    </row>
    <row r="70" spans="2:17" ht="15" customHeight="1" x14ac:dyDescent="0.35">
      <c r="B70" s="439"/>
      <c r="C70" s="206" t="s">
        <v>292</v>
      </c>
      <c r="D70" s="207" t="s">
        <v>151</v>
      </c>
      <c r="E70" s="212" t="s">
        <v>146</v>
      </c>
      <c r="F70" s="207"/>
      <c r="G70" s="207"/>
      <c r="H70" s="332"/>
      <c r="I70" s="406">
        <f>H70/100*118/100</f>
        <v>0</v>
      </c>
      <c r="J70" s="207" t="s">
        <v>154</v>
      </c>
      <c r="L70" s="106"/>
      <c r="N70" s="183"/>
      <c r="O70" s="183"/>
      <c r="P70" s="183"/>
      <c r="Q70" s="183"/>
    </row>
    <row r="71" spans="2:17" ht="15" customHeight="1" thickBot="1" x14ac:dyDescent="0.4">
      <c r="B71" s="439"/>
      <c r="C71" s="288" t="s">
        <v>386</v>
      </c>
      <c r="D71" s="289" t="s">
        <v>151</v>
      </c>
      <c r="E71" s="212" t="s">
        <v>146</v>
      </c>
      <c r="F71" s="289"/>
      <c r="G71" s="289"/>
      <c r="H71" s="165"/>
      <c r="I71" s="395"/>
      <c r="J71" s="207" t="s">
        <v>157</v>
      </c>
      <c r="L71" s="106"/>
      <c r="N71" s="183"/>
      <c r="O71" s="183"/>
      <c r="P71" s="183"/>
      <c r="Q71" s="183"/>
    </row>
    <row r="72" spans="2:17" ht="15" customHeight="1" thickBot="1" x14ac:dyDescent="0.4">
      <c r="B72" s="440"/>
      <c r="C72" s="288" t="s">
        <v>388</v>
      </c>
      <c r="D72" s="180" t="s">
        <v>245</v>
      </c>
      <c r="E72" s="212" t="s">
        <v>146</v>
      </c>
      <c r="F72" s="289"/>
      <c r="G72" s="289"/>
      <c r="H72" s="165"/>
      <c r="I72" s="407"/>
      <c r="J72" s="207"/>
      <c r="L72" s="106"/>
      <c r="N72" s="183"/>
      <c r="O72" s="183"/>
      <c r="P72" s="183"/>
      <c r="Q72" s="183"/>
    </row>
    <row r="73" spans="2:17" ht="15" customHeight="1" thickBot="1" x14ac:dyDescent="0.3">
      <c r="B73" s="237"/>
      <c r="C73" s="238" t="s">
        <v>246</v>
      </c>
      <c r="D73" s="239"/>
      <c r="E73" s="240"/>
      <c r="F73" s="241"/>
      <c r="G73" s="239"/>
      <c r="H73" s="242"/>
      <c r="I73" s="243"/>
      <c r="J73" s="244"/>
      <c r="L73" s="106"/>
      <c r="N73" s="183"/>
      <c r="O73" s="183"/>
      <c r="P73" s="183"/>
      <c r="Q73" s="183"/>
    </row>
    <row r="74" spans="2:17" ht="15" customHeight="1" x14ac:dyDescent="0.25">
      <c r="B74" s="449" t="s">
        <v>250</v>
      </c>
      <c r="C74" s="261">
        <f t="shared" ref="C74:C80" si="0">I18</f>
        <v>0</v>
      </c>
      <c r="D74" s="448" t="s">
        <v>204</v>
      </c>
      <c r="E74" s="262"/>
      <c r="F74" s="262"/>
      <c r="G74" s="263"/>
      <c r="H74" s="264"/>
      <c r="I74" s="262" t="s">
        <v>249</v>
      </c>
      <c r="J74" s="265"/>
      <c r="L74" s="106"/>
      <c r="N74" s="183"/>
      <c r="O74" s="183"/>
      <c r="P74" s="183"/>
      <c r="Q74" s="183"/>
    </row>
    <row r="75" spans="2:17" ht="15" customHeight="1" x14ac:dyDescent="0.25">
      <c r="B75" s="450"/>
      <c r="C75" s="261">
        <f t="shared" si="0"/>
        <v>0</v>
      </c>
      <c r="D75" s="448"/>
      <c r="E75" s="262"/>
      <c r="F75" s="262"/>
      <c r="G75" s="263"/>
      <c r="H75" s="264"/>
      <c r="I75" s="268">
        <v>0.02</v>
      </c>
      <c r="J75" s="265"/>
      <c r="L75" s="106"/>
      <c r="N75" s="183"/>
      <c r="O75" s="183"/>
      <c r="P75" s="183"/>
      <c r="Q75" s="183"/>
    </row>
    <row r="76" spans="2:17" ht="15" customHeight="1" x14ac:dyDescent="0.25">
      <c r="B76" s="450"/>
      <c r="C76" s="261">
        <f t="shared" si="0"/>
        <v>0</v>
      </c>
      <c r="D76" s="448"/>
      <c r="E76" s="262"/>
      <c r="F76" s="262"/>
      <c r="G76" s="263"/>
      <c r="H76" s="264"/>
      <c r="I76" s="268">
        <v>0.04</v>
      </c>
      <c r="J76" s="265"/>
      <c r="L76" s="106"/>
      <c r="N76" s="183"/>
      <c r="O76" s="183"/>
      <c r="P76" s="183"/>
      <c r="Q76" s="183"/>
    </row>
    <row r="77" spans="2:17" ht="15" customHeight="1" x14ac:dyDescent="0.25">
      <c r="B77" s="450"/>
      <c r="C77" s="261">
        <f t="shared" si="0"/>
        <v>0</v>
      </c>
      <c r="D77" s="448"/>
      <c r="E77" s="262"/>
      <c r="F77" s="262"/>
      <c r="G77" s="263"/>
      <c r="H77" s="264"/>
      <c r="I77" s="268">
        <v>0.06</v>
      </c>
      <c r="J77" s="265"/>
      <c r="L77" s="106"/>
      <c r="N77" s="183"/>
      <c r="O77" s="183"/>
      <c r="P77" s="183"/>
      <c r="Q77" s="183"/>
    </row>
    <row r="78" spans="2:17" ht="15" customHeight="1" x14ac:dyDescent="0.25">
      <c r="B78" s="450"/>
      <c r="C78" s="261">
        <f t="shared" si="0"/>
        <v>0</v>
      </c>
      <c r="D78" s="448"/>
      <c r="E78" s="262"/>
      <c r="F78" s="262"/>
      <c r="G78" s="263"/>
      <c r="H78" s="264"/>
      <c r="I78" s="268">
        <v>0.08</v>
      </c>
      <c r="J78" s="265"/>
      <c r="L78" s="106"/>
      <c r="N78" s="183"/>
      <c r="O78" s="183"/>
      <c r="P78" s="183"/>
      <c r="Q78" s="183"/>
    </row>
    <row r="79" spans="2:17" ht="15" customHeight="1" x14ac:dyDescent="0.25">
      <c r="B79" s="450"/>
      <c r="C79" s="261">
        <f t="shared" si="0"/>
        <v>0</v>
      </c>
      <c r="D79" s="448"/>
      <c r="E79" s="262"/>
      <c r="F79" s="262"/>
      <c r="G79" s="263"/>
      <c r="H79" s="264"/>
      <c r="I79" s="268">
        <v>0.1</v>
      </c>
      <c r="J79" s="265"/>
      <c r="L79" s="106"/>
      <c r="N79" s="183"/>
      <c r="O79" s="183"/>
      <c r="P79" s="183"/>
      <c r="Q79" s="183"/>
    </row>
    <row r="80" spans="2:17" ht="15" customHeight="1" x14ac:dyDescent="0.25">
      <c r="B80" s="450"/>
      <c r="C80" s="261">
        <f t="shared" si="0"/>
        <v>0</v>
      </c>
      <c r="D80" s="448"/>
      <c r="E80" s="262"/>
      <c r="F80" s="262"/>
      <c r="G80" s="263"/>
      <c r="H80" s="264"/>
      <c r="I80" s="268">
        <v>0.12</v>
      </c>
      <c r="J80" s="265"/>
      <c r="L80" s="106"/>
      <c r="N80" s="183"/>
      <c r="O80" s="183"/>
      <c r="P80" s="183"/>
      <c r="Q80" s="183"/>
    </row>
    <row r="81" spans="2:17" ht="15" customHeight="1" x14ac:dyDescent="0.25">
      <c r="B81" s="450"/>
      <c r="C81" s="190" t="s">
        <v>247</v>
      </c>
      <c r="D81" s="448"/>
      <c r="E81" s="187"/>
      <c r="F81" s="187"/>
      <c r="G81" s="188"/>
      <c r="H81" s="189"/>
      <c r="I81" s="235"/>
      <c r="J81" s="236"/>
      <c r="L81" s="106"/>
      <c r="N81" s="183"/>
      <c r="O81" s="183"/>
      <c r="P81" s="183"/>
      <c r="Q81" s="183"/>
    </row>
    <row r="82" spans="2:17" ht="15" customHeight="1" x14ac:dyDescent="0.25">
      <c r="B82" s="450"/>
      <c r="C82" s="261">
        <f>C74</f>
        <v>0</v>
      </c>
      <c r="D82" s="448"/>
      <c r="E82" s="262"/>
      <c r="F82" s="262"/>
      <c r="G82" s="263"/>
      <c r="H82" s="264"/>
      <c r="I82" s="268" t="e">
        <f>'Working for PL &amp; BS'!C21/'Working for PL &amp; BS'!C10</f>
        <v>#DIV/0!</v>
      </c>
      <c r="J82" s="265"/>
      <c r="L82" s="106"/>
      <c r="N82" s="183"/>
      <c r="O82" s="183"/>
      <c r="P82" s="183"/>
      <c r="Q82" s="183"/>
    </row>
    <row r="83" spans="2:17" ht="15" customHeight="1" x14ac:dyDescent="0.25">
      <c r="B83" s="450"/>
      <c r="C83" s="261">
        <f>C75</f>
        <v>0</v>
      </c>
      <c r="D83" s="448"/>
      <c r="E83" s="262"/>
      <c r="F83" s="262"/>
      <c r="G83" s="263"/>
      <c r="H83" s="264"/>
      <c r="I83" s="268">
        <v>0.23</v>
      </c>
      <c r="J83" s="265"/>
      <c r="L83" s="106"/>
      <c r="N83" s="183"/>
      <c r="O83" s="183"/>
      <c r="P83" s="183"/>
      <c r="Q83" s="183"/>
    </row>
    <row r="84" spans="2:17" ht="15" customHeight="1" x14ac:dyDescent="0.25">
      <c r="B84" s="450"/>
      <c r="C84" s="261">
        <f>C76</f>
        <v>0</v>
      </c>
      <c r="D84" s="448"/>
      <c r="E84" s="262"/>
      <c r="F84" s="262"/>
      <c r="G84" s="263"/>
      <c r="H84" s="264"/>
      <c r="I84" s="268">
        <f>I83*100.5%</f>
        <v>0.23114999999999999</v>
      </c>
      <c r="J84" s="265"/>
      <c r="L84" s="106"/>
      <c r="N84" s="183"/>
      <c r="O84" s="183"/>
      <c r="P84" s="183"/>
      <c r="Q84" s="183"/>
    </row>
    <row r="85" spans="2:17" ht="15" customHeight="1" x14ac:dyDescent="0.25">
      <c r="B85" s="450"/>
      <c r="C85" s="261">
        <f>C77</f>
        <v>0</v>
      </c>
      <c r="D85" s="448"/>
      <c r="E85" s="262"/>
      <c r="F85" s="262"/>
      <c r="G85" s="263"/>
      <c r="H85" s="264"/>
      <c r="I85" s="268">
        <f>I84*100.5%</f>
        <v>0.23230574999999998</v>
      </c>
      <c r="J85" s="265"/>
      <c r="L85" s="106"/>
      <c r="N85" s="183"/>
      <c r="O85" s="183"/>
      <c r="P85" s="183"/>
      <c r="Q85" s="183"/>
    </row>
    <row r="86" spans="2:17" ht="15" customHeight="1" x14ac:dyDescent="0.25">
      <c r="B86" s="450"/>
      <c r="C86" s="261">
        <f>I22</f>
        <v>0</v>
      </c>
      <c r="D86" s="448"/>
      <c r="E86" s="262"/>
      <c r="F86" s="262"/>
      <c r="G86" s="263"/>
      <c r="H86" s="264"/>
      <c r="I86" s="268">
        <f>I85*100.5%</f>
        <v>0.23346727874999995</v>
      </c>
      <c r="J86" s="265"/>
      <c r="L86" s="106"/>
      <c r="N86" s="183"/>
      <c r="O86" s="183"/>
      <c r="P86" s="183"/>
      <c r="Q86" s="183"/>
    </row>
    <row r="87" spans="2:17" ht="15" customHeight="1" x14ac:dyDescent="0.25">
      <c r="B87" s="450"/>
      <c r="C87" s="261">
        <f>I23</f>
        <v>0</v>
      </c>
      <c r="D87" s="448"/>
      <c r="E87" s="262"/>
      <c r="F87" s="262"/>
      <c r="G87" s="263"/>
      <c r="H87" s="264"/>
      <c r="I87" s="268">
        <f>I86*100.5%</f>
        <v>0.23463461514374992</v>
      </c>
      <c r="J87" s="265"/>
      <c r="L87" s="106"/>
      <c r="N87" s="183"/>
      <c r="O87" s="183"/>
      <c r="P87" s="183"/>
      <c r="Q87" s="183"/>
    </row>
    <row r="88" spans="2:17" ht="15" customHeight="1" x14ac:dyDescent="0.25">
      <c r="B88" s="450"/>
      <c r="C88" s="261">
        <f>I24</f>
        <v>0</v>
      </c>
      <c r="D88" s="448"/>
      <c r="E88" s="262"/>
      <c r="F88" s="262"/>
      <c r="G88" s="263"/>
      <c r="H88" s="264"/>
      <c r="I88" s="268">
        <f>I87*100.5%</f>
        <v>0.23580778821946866</v>
      </c>
      <c r="J88" s="265"/>
      <c r="L88" s="106"/>
      <c r="N88" s="183"/>
      <c r="O88" s="183"/>
      <c r="P88" s="183"/>
      <c r="Q88" s="183"/>
    </row>
    <row r="89" spans="2:17" ht="15" customHeight="1" x14ac:dyDescent="0.25">
      <c r="B89" s="450"/>
      <c r="C89" s="190" t="s">
        <v>248</v>
      </c>
      <c r="D89" s="448"/>
      <c r="E89" s="187"/>
      <c r="F89" s="187"/>
      <c r="G89" s="188"/>
      <c r="H89" s="189"/>
      <c r="I89" s="187"/>
      <c r="J89" s="236"/>
      <c r="L89" s="106"/>
      <c r="N89" s="183"/>
      <c r="O89" s="183"/>
      <c r="P89" s="183"/>
      <c r="Q89" s="183"/>
    </row>
    <row r="90" spans="2:17" ht="15" customHeight="1" x14ac:dyDescent="0.25">
      <c r="B90" s="450"/>
      <c r="C90" s="261">
        <f>C82</f>
        <v>0</v>
      </c>
      <c r="D90" s="448"/>
      <c r="E90" s="262"/>
      <c r="F90" s="262"/>
      <c r="G90" s="263"/>
      <c r="H90" s="264"/>
      <c r="I90" s="262" t="s">
        <v>249</v>
      </c>
      <c r="J90" s="265"/>
      <c r="L90" s="106"/>
      <c r="N90" s="183"/>
      <c r="O90" s="183"/>
      <c r="P90" s="183"/>
      <c r="Q90" s="183"/>
    </row>
    <row r="91" spans="2:17" ht="15" customHeight="1" x14ac:dyDescent="0.25">
      <c r="B91" s="450"/>
      <c r="C91" s="261">
        <f>C83</f>
        <v>0</v>
      </c>
      <c r="D91" s="448"/>
      <c r="E91" s="262"/>
      <c r="F91" s="262"/>
      <c r="G91" s="263"/>
      <c r="H91" s="264"/>
      <c r="I91" s="268">
        <v>0.08</v>
      </c>
      <c r="J91" s="265"/>
      <c r="L91" s="106"/>
      <c r="N91" s="183"/>
      <c r="O91" s="183"/>
      <c r="P91" s="183"/>
      <c r="Q91" s="183"/>
    </row>
    <row r="92" spans="2:17" ht="15" customHeight="1" x14ac:dyDescent="0.25">
      <c r="B92" s="450"/>
      <c r="C92" s="261">
        <f>C84</f>
        <v>0</v>
      </c>
      <c r="D92" s="448"/>
      <c r="E92" s="262"/>
      <c r="F92" s="262"/>
      <c r="G92" s="263"/>
      <c r="H92" s="264"/>
      <c r="I92" s="268">
        <v>0.09</v>
      </c>
      <c r="J92" s="265"/>
      <c r="L92" s="106"/>
      <c r="N92" s="183"/>
      <c r="O92" s="183"/>
      <c r="P92" s="183"/>
      <c r="Q92" s="183"/>
    </row>
    <row r="93" spans="2:17" ht="15" customHeight="1" x14ac:dyDescent="0.25">
      <c r="B93" s="450"/>
      <c r="C93" s="261">
        <f>C85</f>
        <v>0</v>
      </c>
      <c r="D93" s="448"/>
      <c r="E93" s="262"/>
      <c r="F93" s="262"/>
      <c r="G93" s="263"/>
      <c r="H93" s="264"/>
      <c r="I93" s="268">
        <v>0.1</v>
      </c>
      <c r="J93" s="265"/>
      <c r="L93" s="106"/>
      <c r="N93" s="183"/>
      <c r="O93" s="183"/>
      <c r="P93" s="183"/>
      <c r="Q93" s="183"/>
    </row>
    <row r="94" spans="2:17" ht="15" customHeight="1" x14ac:dyDescent="0.25">
      <c r="B94" s="450"/>
      <c r="C94" s="261">
        <f>I22</f>
        <v>0</v>
      </c>
      <c r="D94" s="448"/>
      <c r="E94" s="262"/>
      <c r="F94" s="262"/>
      <c r="G94" s="263"/>
      <c r="H94" s="264"/>
      <c r="I94" s="268">
        <v>0.11</v>
      </c>
      <c r="J94" s="265"/>
      <c r="L94" s="106"/>
      <c r="N94" s="183"/>
      <c r="O94" s="183"/>
      <c r="P94" s="183"/>
      <c r="Q94" s="183"/>
    </row>
    <row r="95" spans="2:17" ht="15" customHeight="1" x14ac:dyDescent="0.25">
      <c r="B95" s="450"/>
      <c r="C95" s="261">
        <f>I23</f>
        <v>0</v>
      </c>
      <c r="D95" s="448"/>
      <c r="E95" s="262"/>
      <c r="F95" s="262"/>
      <c r="G95" s="263"/>
      <c r="H95" s="264"/>
      <c r="I95" s="268">
        <v>0.12</v>
      </c>
      <c r="J95" s="265"/>
      <c r="L95" s="106"/>
      <c r="N95" s="183"/>
      <c r="O95" s="183"/>
      <c r="P95" s="183"/>
      <c r="Q95" s="183"/>
    </row>
    <row r="96" spans="2:17" ht="15" customHeight="1" x14ac:dyDescent="0.25">
      <c r="B96" s="450"/>
      <c r="C96" s="261">
        <f>I24</f>
        <v>0</v>
      </c>
      <c r="D96" s="448"/>
      <c r="E96" s="262"/>
      <c r="F96" s="262"/>
      <c r="G96" s="263"/>
      <c r="H96" s="264"/>
      <c r="I96" s="268">
        <v>0.13</v>
      </c>
      <c r="J96" s="265"/>
      <c r="L96" s="106"/>
      <c r="N96" s="183"/>
      <c r="O96" s="183"/>
      <c r="P96" s="183"/>
      <c r="Q96" s="183"/>
    </row>
    <row r="97" spans="2:18" ht="15" customHeight="1" x14ac:dyDescent="0.25">
      <c r="B97" s="450"/>
      <c r="C97" s="275"/>
      <c r="D97" s="448"/>
      <c r="E97" s="187"/>
      <c r="F97" s="187"/>
      <c r="G97" s="188"/>
      <c r="H97" s="189"/>
      <c r="I97" s="276"/>
      <c r="J97" s="236"/>
      <c r="L97" s="106"/>
      <c r="N97" s="183"/>
      <c r="O97" s="183"/>
      <c r="P97" s="183"/>
      <c r="Q97" s="183"/>
    </row>
    <row r="98" spans="2:18" ht="12.75" customHeight="1" x14ac:dyDescent="0.25">
      <c r="B98" s="450"/>
      <c r="C98" s="261" t="s">
        <v>132</v>
      </c>
      <c r="D98" s="448"/>
      <c r="E98" s="262"/>
      <c r="F98" s="262"/>
      <c r="G98" s="262"/>
      <c r="H98" s="264"/>
      <c r="I98" s="266">
        <v>12</v>
      </c>
      <c r="J98" s="263" t="s">
        <v>157</v>
      </c>
      <c r="N98" s="121"/>
      <c r="O98" s="447"/>
      <c r="P98" s="447"/>
      <c r="Q98" s="447"/>
    </row>
    <row r="99" spans="2:18" x14ac:dyDescent="0.25">
      <c r="B99" s="450"/>
      <c r="C99" s="261" t="s">
        <v>133</v>
      </c>
      <c r="D99" s="448"/>
      <c r="E99" s="262"/>
      <c r="F99" s="262"/>
      <c r="G99" s="262"/>
      <c r="H99" s="264"/>
      <c r="I99" s="267">
        <v>7</v>
      </c>
      <c r="J99" s="263" t="s">
        <v>157</v>
      </c>
    </row>
    <row r="100" spans="2:18" x14ac:dyDescent="0.25">
      <c r="B100" s="450"/>
      <c r="C100" s="261" t="s">
        <v>201</v>
      </c>
      <c r="D100" s="448"/>
      <c r="E100" s="262"/>
      <c r="F100" s="262"/>
      <c r="G100" s="262"/>
      <c r="H100" s="264"/>
      <c r="I100" s="267">
        <f>I98-I99</f>
        <v>5</v>
      </c>
      <c r="J100" s="263" t="s">
        <v>157</v>
      </c>
    </row>
    <row r="101" spans="2:18" x14ac:dyDescent="0.25">
      <c r="B101" s="450"/>
      <c r="C101" s="261" t="s">
        <v>161</v>
      </c>
      <c r="D101" s="448"/>
      <c r="E101" s="262"/>
      <c r="F101" s="262"/>
      <c r="G101" s="262"/>
      <c r="H101" s="264"/>
      <c r="I101" s="268" t="e">
        <f>100/I15/100</f>
        <v>#DIV/0!</v>
      </c>
      <c r="J101" s="263" t="s">
        <v>140</v>
      </c>
      <c r="L101" s="106"/>
      <c r="M101" s="106"/>
      <c r="N101" s="184"/>
      <c r="O101" s="106"/>
      <c r="P101" s="106"/>
      <c r="Q101" s="106"/>
    </row>
    <row r="102" spans="2:18" x14ac:dyDescent="0.25">
      <c r="B102" s="450"/>
      <c r="C102" s="261" t="s">
        <v>130</v>
      </c>
      <c r="D102" s="448"/>
      <c r="E102" s="262"/>
      <c r="F102" s="262"/>
      <c r="G102" s="262"/>
      <c r="H102" s="264"/>
      <c r="I102" s="268">
        <v>1.05</v>
      </c>
      <c r="J102" s="263" t="s">
        <v>153</v>
      </c>
      <c r="L102" s="106"/>
      <c r="M102" s="106"/>
      <c r="N102" s="184"/>
      <c r="O102" s="106"/>
      <c r="P102" s="106"/>
      <c r="Q102" s="106"/>
    </row>
    <row r="103" spans="2:18" x14ac:dyDescent="0.25">
      <c r="B103" s="450"/>
      <c r="C103" s="261" t="s">
        <v>356</v>
      </c>
      <c r="D103" s="448"/>
      <c r="E103" s="262"/>
      <c r="F103" s="262"/>
      <c r="G103" s="262"/>
      <c r="H103" s="264"/>
      <c r="I103" s="268">
        <v>1.0049999999999999</v>
      </c>
      <c r="J103" s="263" t="s">
        <v>153</v>
      </c>
      <c r="L103" s="106"/>
      <c r="M103" s="106"/>
      <c r="N103" s="184"/>
      <c r="O103" s="106"/>
      <c r="P103" s="106"/>
      <c r="Q103" s="106"/>
    </row>
    <row r="104" spans="2:18" x14ac:dyDescent="0.25">
      <c r="B104" s="450"/>
      <c r="C104" s="261" t="s">
        <v>202</v>
      </c>
      <c r="D104" s="448"/>
      <c r="E104" s="262"/>
      <c r="F104" s="262"/>
      <c r="G104" s="262"/>
      <c r="H104" s="264"/>
      <c r="I104" s="268">
        <v>1.05</v>
      </c>
      <c r="J104" s="263" t="s">
        <v>153</v>
      </c>
      <c r="L104" s="106"/>
      <c r="M104" s="106"/>
      <c r="N104" s="184"/>
      <c r="O104" s="106"/>
      <c r="P104" s="106"/>
      <c r="Q104" s="106"/>
    </row>
    <row r="105" spans="2:18" x14ac:dyDescent="0.25">
      <c r="B105" s="450"/>
      <c r="C105" s="261" t="s">
        <v>136</v>
      </c>
      <c r="D105" s="448"/>
      <c r="E105" s="262"/>
      <c r="F105" s="262"/>
      <c r="G105" s="262"/>
      <c r="H105" s="264"/>
      <c r="I105" s="268">
        <v>1.3</v>
      </c>
      <c r="J105" s="263" t="s">
        <v>144</v>
      </c>
    </row>
    <row r="106" spans="2:18" x14ac:dyDescent="0.25">
      <c r="B106" s="450"/>
      <c r="C106" s="261" t="s">
        <v>128</v>
      </c>
      <c r="D106" s="448"/>
      <c r="E106" s="262"/>
      <c r="F106" s="262"/>
      <c r="G106" s="262"/>
      <c r="H106" s="264"/>
      <c r="I106" s="268">
        <v>1.01</v>
      </c>
      <c r="J106" s="263" t="s">
        <v>145</v>
      </c>
    </row>
    <row r="107" spans="2:18" x14ac:dyDescent="0.25">
      <c r="B107" s="450"/>
      <c r="C107" s="158"/>
      <c r="D107" s="448"/>
      <c r="E107" s="147"/>
      <c r="F107" s="147"/>
      <c r="G107" s="147"/>
      <c r="H107" s="148"/>
      <c r="I107" s="147"/>
      <c r="J107" s="148"/>
    </row>
    <row r="108" spans="2:18" x14ac:dyDescent="0.25">
      <c r="B108" s="450"/>
      <c r="C108" s="261" t="s">
        <v>350</v>
      </c>
      <c r="D108" s="448"/>
      <c r="E108" s="262"/>
      <c r="F108" s="262"/>
      <c r="G108" s="262"/>
      <c r="H108" s="264"/>
      <c r="I108" s="267" t="e">
        <f>I12/I15</f>
        <v>#DIV/0!</v>
      </c>
      <c r="J108" s="264"/>
    </row>
    <row r="109" spans="2:18" x14ac:dyDescent="0.25">
      <c r="B109" s="450"/>
      <c r="C109" s="261" t="s">
        <v>210</v>
      </c>
      <c r="D109" s="448"/>
      <c r="E109" s="262"/>
      <c r="F109" s="262"/>
      <c r="G109" s="262"/>
      <c r="H109" s="264"/>
      <c r="I109" s="267">
        <f>I26</f>
        <v>0</v>
      </c>
      <c r="J109" s="264"/>
    </row>
    <row r="110" spans="2:18" ht="15.75" customHeight="1" x14ac:dyDescent="0.25">
      <c r="B110" s="450"/>
      <c r="C110" s="261" t="s">
        <v>351</v>
      </c>
      <c r="D110" s="448"/>
      <c r="E110" s="262"/>
      <c r="F110" s="262"/>
      <c r="G110" s="262"/>
      <c r="H110" s="264"/>
      <c r="I110" s="267">
        <f>I109*120%</f>
        <v>0</v>
      </c>
      <c r="J110" s="264"/>
    </row>
    <row r="111" spans="2:18" ht="17.25" customHeight="1" x14ac:dyDescent="0.25">
      <c r="B111" s="450"/>
      <c r="C111" s="261" t="s">
        <v>352</v>
      </c>
      <c r="D111" s="448"/>
      <c r="E111" s="262"/>
      <c r="F111" s="262"/>
      <c r="G111" s="262"/>
      <c r="H111" s="264"/>
      <c r="I111" s="267" t="e">
        <f>MAX(I108,I110)</f>
        <v>#DIV/0!</v>
      </c>
      <c r="J111" s="264"/>
    </row>
    <row r="112" spans="2:18" ht="14.25" customHeight="1" x14ac:dyDescent="0.25">
      <c r="B112" s="450"/>
      <c r="C112" s="158"/>
      <c r="D112" s="448"/>
      <c r="E112" s="147"/>
      <c r="F112" s="147"/>
      <c r="G112" s="147"/>
      <c r="H112" s="148"/>
      <c r="I112" s="147"/>
      <c r="J112" s="148"/>
      <c r="R112" s="97"/>
    </row>
    <row r="113" spans="2:17" ht="12" customHeight="1" x14ac:dyDescent="0.25">
      <c r="B113" s="450"/>
      <c r="C113" s="261" t="s">
        <v>353</v>
      </c>
      <c r="D113" s="448"/>
      <c r="E113" s="266"/>
      <c r="F113" s="266"/>
      <c r="G113" s="266"/>
      <c r="H113" s="264"/>
      <c r="I113" s="266">
        <f>I12*I105</f>
        <v>0</v>
      </c>
      <c r="J113" s="264"/>
    </row>
    <row r="114" spans="2:17" ht="20.25" customHeight="1" x14ac:dyDescent="0.35">
      <c r="B114" s="450"/>
      <c r="C114" s="261" t="s">
        <v>354</v>
      </c>
      <c r="D114" s="448"/>
      <c r="E114" s="266"/>
      <c r="F114" s="266"/>
      <c r="G114" s="266"/>
      <c r="H114" s="269"/>
      <c r="I114" s="267">
        <f>I29</f>
        <v>0</v>
      </c>
      <c r="J114" s="264"/>
    </row>
    <row r="115" spans="2:17" ht="12" customHeight="1" x14ac:dyDescent="0.25">
      <c r="B115" s="450"/>
      <c r="C115" s="261" t="s">
        <v>355</v>
      </c>
      <c r="D115" s="448"/>
      <c r="E115" s="266"/>
      <c r="F115" s="266"/>
      <c r="G115" s="266"/>
      <c r="H115" s="263"/>
      <c r="I115" s="266">
        <f>MAX(I113:I114)</f>
        <v>0</v>
      </c>
      <c r="J115" s="264"/>
    </row>
    <row r="116" spans="2:17" ht="14.4" x14ac:dyDescent="0.25">
      <c r="B116" s="450"/>
      <c r="C116" s="158"/>
      <c r="D116" s="448"/>
      <c r="E116" s="149"/>
      <c r="F116" s="149"/>
      <c r="G116" s="149"/>
      <c r="H116" s="150"/>
      <c r="I116" s="149"/>
      <c r="J116" s="150"/>
    </row>
    <row r="117" spans="2:17" ht="18.75" customHeight="1" x14ac:dyDescent="0.25">
      <c r="B117" s="450"/>
      <c r="C117" s="261" t="s">
        <v>211</v>
      </c>
      <c r="D117" s="448"/>
      <c r="E117" s="266"/>
      <c r="F117" s="266"/>
      <c r="G117" s="266"/>
      <c r="H117" s="264"/>
      <c r="I117" s="266">
        <f>I41</f>
        <v>0</v>
      </c>
      <c r="J117" s="264"/>
      <c r="P117" s="185"/>
      <c r="Q117" s="185"/>
    </row>
    <row r="118" spans="2:17" x14ac:dyDescent="0.25">
      <c r="B118" s="450"/>
      <c r="C118" s="261" t="s">
        <v>170</v>
      </c>
      <c r="D118" s="448"/>
      <c r="E118" s="266"/>
      <c r="F118" s="266"/>
      <c r="G118" s="266"/>
      <c r="H118" s="264"/>
      <c r="I118" s="266">
        <v>6</v>
      </c>
      <c r="J118" s="264"/>
      <c r="P118" s="185"/>
      <c r="Q118" s="182"/>
    </row>
    <row r="119" spans="2:17" ht="14.4" x14ac:dyDescent="0.35">
      <c r="B119" s="450"/>
      <c r="C119" s="261" t="s">
        <v>164</v>
      </c>
      <c r="D119" s="448"/>
      <c r="E119" s="266"/>
      <c r="F119" s="266"/>
      <c r="G119" s="266"/>
      <c r="H119" s="264"/>
      <c r="I119" s="267">
        <f>I117/I118</f>
        <v>0</v>
      </c>
      <c r="J119" s="264"/>
      <c r="P119" s="157"/>
      <c r="Q119" s="106"/>
    </row>
    <row r="120" spans="2:17" ht="26.25" customHeight="1" x14ac:dyDescent="0.25">
      <c r="B120" s="450"/>
      <c r="C120" s="158"/>
      <c r="D120" s="448"/>
      <c r="E120" s="159" t="s">
        <v>150</v>
      </c>
      <c r="F120" s="147"/>
      <c r="G120" s="147"/>
      <c r="H120" s="148"/>
      <c r="I120" s="147"/>
      <c r="J120" s="148"/>
      <c r="P120" s="106"/>
      <c r="Q120" s="106"/>
    </row>
    <row r="121" spans="2:17" x14ac:dyDescent="0.25">
      <c r="B121" s="450"/>
      <c r="C121" s="261" t="s">
        <v>135</v>
      </c>
      <c r="D121" s="448"/>
      <c r="E121" s="268">
        <v>0.15</v>
      </c>
      <c r="F121" s="266"/>
      <c r="G121" s="266"/>
      <c r="H121" s="264"/>
      <c r="I121" s="266"/>
      <c r="J121" s="264"/>
      <c r="P121" s="106"/>
      <c r="Q121" s="106"/>
    </row>
    <row r="122" spans="2:17" x14ac:dyDescent="0.25">
      <c r="B122" s="450"/>
      <c r="C122" s="261" t="s">
        <v>206</v>
      </c>
      <c r="D122" s="448"/>
      <c r="E122" s="268">
        <v>0.15</v>
      </c>
      <c r="F122" s="266"/>
      <c r="G122" s="266"/>
      <c r="H122" s="264"/>
      <c r="I122" s="266"/>
      <c r="J122" s="264"/>
    </row>
    <row r="123" spans="2:17" x14ac:dyDescent="0.25">
      <c r="B123" s="450"/>
      <c r="C123" s="261" t="s">
        <v>412</v>
      </c>
      <c r="D123" s="448"/>
      <c r="E123" s="268">
        <v>0.1</v>
      </c>
      <c r="F123" s="266"/>
      <c r="G123" s="266"/>
      <c r="H123" s="264"/>
      <c r="I123" s="266"/>
      <c r="J123" s="264"/>
    </row>
    <row r="124" spans="2:17" x14ac:dyDescent="0.25">
      <c r="B124" s="450"/>
      <c r="C124" s="261" t="s">
        <v>277</v>
      </c>
      <c r="D124" s="448"/>
      <c r="E124" s="268">
        <v>0</v>
      </c>
      <c r="F124" s="266"/>
      <c r="G124" s="266"/>
      <c r="H124" s="264"/>
      <c r="I124" s="266"/>
      <c r="J124" s="264"/>
    </row>
    <row r="125" spans="2:17" x14ac:dyDescent="0.25">
      <c r="B125" s="450"/>
      <c r="C125" s="261" t="s">
        <v>134</v>
      </c>
      <c r="D125" s="448"/>
      <c r="E125" s="268">
        <v>0.1</v>
      </c>
      <c r="F125" s="266"/>
      <c r="G125" s="266"/>
      <c r="H125" s="264"/>
      <c r="I125" s="266"/>
      <c r="J125" s="264"/>
    </row>
    <row r="126" spans="2:17" x14ac:dyDescent="0.25">
      <c r="B126" s="450"/>
      <c r="C126" s="261" t="s">
        <v>413</v>
      </c>
      <c r="D126" s="448"/>
      <c r="E126" s="268">
        <v>0.15</v>
      </c>
      <c r="F126" s="266"/>
      <c r="G126" s="266"/>
      <c r="H126" s="264"/>
      <c r="I126" s="266"/>
      <c r="J126" s="264"/>
    </row>
    <row r="127" spans="2:17" x14ac:dyDescent="0.25">
      <c r="B127" s="450"/>
      <c r="C127" s="261" t="s">
        <v>279</v>
      </c>
      <c r="D127" s="448"/>
      <c r="E127" s="268">
        <v>0.15</v>
      </c>
      <c r="F127" s="266"/>
      <c r="G127" s="266"/>
      <c r="H127" s="264"/>
      <c r="I127" s="266"/>
      <c r="J127" s="264"/>
    </row>
    <row r="128" spans="2:17" x14ac:dyDescent="0.25">
      <c r="B128" s="450"/>
      <c r="C128" s="261" t="s">
        <v>280</v>
      </c>
      <c r="D128" s="448"/>
      <c r="E128" s="268">
        <v>0.15</v>
      </c>
      <c r="F128" s="266"/>
      <c r="G128" s="266"/>
      <c r="H128" s="264"/>
      <c r="I128" s="266"/>
      <c r="J128" s="264"/>
    </row>
    <row r="129" spans="1:20" x14ac:dyDescent="0.25">
      <c r="B129" s="450"/>
      <c r="C129" s="261" t="s">
        <v>281</v>
      </c>
      <c r="D129" s="448"/>
      <c r="E129" s="268">
        <v>0</v>
      </c>
      <c r="F129" s="266"/>
      <c r="G129" s="266"/>
      <c r="H129" s="264"/>
      <c r="I129" s="266"/>
      <c r="J129" s="264"/>
    </row>
    <row r="130" spans="1:20" x14ac:dyDescent="0.25">
      <c r="B130" s="450"/>
      <c r="C130" s="261" t="s">
        <v>414</v>
      </c>
      <c r="D130" s="448"/>
      <c r="E130" s="268">
        <v>0.1</v>
      </c>
      <c r="F130" s="266"/>
      <c r="G130" s="266"/>
      <c r="H130" s="264"/>
      <c r="I130" s="266"/>
      <c r="J130" s="264"/>
      <c r="P130" s="121"/>
    </row>
    <row r="131" spans="1:20" ht="13.8" thickBot="1" x14ac:dyDescent="0.3">
      <c r="B131" s="451"/>
      <c r="C131" s="261" t="s">
        <v>415</v>
      </c>
      <c r="D131" s="448"/>
      <c r="E131" s="268">
        <v>0</v>
      </c>
      <c r="F131" s="266"/>
      <c r="G131" s="266"/>
      <c r="H131" s="264"/>
      <c r="I131" s="266"/>
      <c r="J131" s="264"/>
    </row>
    <row r="133" spans="1:20" ht="17.399999999999999" x14ac:dyDescent="0.3">
      <c r="B133" s="387" t="s">
        <v>428</v>
      </c>
      <c r="O133" s="106"/>
    </row>
    <row r="134" spans="1:20" ht="40.200000000000003" thickBot="1" x14ac:dyDescent="0.3">
      <c r="B134" s="325" t="s">
        <v>405</v>
      </c>
      <c r="C134" s="326" t="s">
        <v>406</v>
      </c>
      <c r="D134" s="325" t="s">
        <v>407</v>
      </c>
      <c r="E134" s="327" t="s">
        <v>408</v>
      </c>
      <c r="F134" s="327" t="s">
        <v>409</v>
      </c>
      <c r="O134" s="106"/>
    </row>
    <row r="135" spans="1:20" x14ac:dyDescent="0.25">
      <c r="B135" s="414" t="str">
        <f>C52</f>
        <v>Plant and Machinery</v>
      </c>
      <c r="C135" s="328">
        <v>1</v>
      </c>
      <c r="D135" s="329"/>
      <c r="E135" s="330"/>
      <c r="F135" s="420">
        <f>SUM(E135:E144)</f>
        <v>0</v>
      </c>
      <c r="O135" s="106"/>
      <c r="P135" s="186"/>
    </row>
    <row r="136" spans="1:20" ht="14.4" x14ac:dyDescent="0.3">
      <c r="B136" s="415"/>
      <c r="C136" s="331">
        <v>2</v>
      </c>
      <c r="D136" s="332"/>
      <c r="E136" s="333"/>
      <c r="F136" s="421"/>
      <c r="O136" s="106"/>
      <c r="R136" s="40"/>
      <c r="S136" s="40"/>
      <c r="T136" s="40"/>
    </row>
    <row r="137" spans="1:20" ht="14.4" x14ac:dyDescent="0.3">
      <c r="B137" s="415"/>
      <c r="C137" s="331">
        <v>3</v>
      </c>
      <c r="D137" s="332"/>
      <c r="E137" s="333"/>
      <c r="F137" s="421"/>
      <c r="R137" s="39"/>
      <c r="S137" s="39"/>
      <c r="T137" s="39"/>
    </row>
    <row r="138" spans="1:20" ht="14.4" x14ac:dyDescent="0.3">
      <c r="B138" s="415"/>
      <c r="C138" s="331">
        <v>4</v>
      </c>
      <c r="D138" s="332"/>
      <c r="E138" s="333"/>
      <c r="F138" s="421"/>
      <c r="R138" s="39"/>
      <c r="S138" s="40"/>
      <c r="T138" s="40"/>
    </row>
    <row r="139" spans="1:20" x14ac:dyDescent="0.25">
      <c r="B139" s="415"/>
      <c r="C139" s="331">
        <v>5</v>
      </c>
      <c r="D139" s="332"/>
      <c r="E139" s="333"/>
      <c r="F139" s="421"/>
    </row>
    <row r="140" spans="1:20" x14ac:dyDescent="0.25">
      <c r="B140" s="415"/>
      <c r="C140" s="331">
        <v>6</v>
      </c>
      <c r="D140" s="332"/>
      <c r="E140" s="333"/>
      <c r="F140" s="421"/>
    </row>
    <row r="141" spans="1:20" x14ac:dyDescent="0.25">
      <c r="B141" s="415"/>
      <c r="C141" s="331">
        <v>7</v>
      </c>
      <c r="D141" s="332"/>
      <c r="E141" s="333"/>
      <c r="F141" s="421"/>
      <c r="G141"/>
      <c r="I141"/>
    </row>
    <row r="142" spans="1:20" x14ac:dyDescent="0.25">
      <c r="A142" s="197"/>
      <c r="B142" s="415"/>
      <c r="C142" s="331">
        <v>8</v>
      </c>
      <c r="D142" s="332"/>
      <c r="E142" s="333"/>
      <c r="F142" s="421"/>
      <c r="G142"/>
      <c r="I142"/>
    </row>
    <row r="143" spans="1:20" x14ac:dyDescent="0.25">
      <c r="B143" s="415"/>
      <c r="C143" s="331">
        <v>9</v>
      </c>
      <c r="D143" s="332"/>
      <c r="E143" s="333"/>
      <c r="F143" s="421"/>
    </row>
    <row r="144" spans="1:20" ht="13.8" thickBot="1" x14ac:dyDescent="0.3">
      <c r="B144" s="416"/>
      <c r="C144" s="334">
        <v>10</v>
      </c>
      <c r="D144" s="335"/>
      <c r="E144" s="336"/>
      <c r="F144" s="422"/>
    </row>
    <row r="145" spans="2:10" x14ac:dyDescent="0.25">
      <c r="B145" s="414" t="str">
        <f>C53</f>
        <v>Service Equipment</v>
      </c>
      <c r="C145" s="328">
        <v>1</v>
      </c>
      <c r="D145" s="329"/>
      <c r="E145" s="330"/>
      <c r="F145" s="420">
        <f>SUM(E145:E154)</f>
        <v>0</v>
      </c>
    </row>
    <row r="146" spans="2:10" x14ac:dyDescent="0.25">
      <c r="B146" s="415"/>
      <c r="C146" s="331">
        <v>2</v>
      </c>
      <c r="D146" s="332"/>
      <c r="E146" s="333"/>
      <c r="F146" s="421"/>
    </row>
    <row r="147" spans="2:10" x14ac:dyDescent="0.25">
      <c r="B147" s="415"/>
      <c r="C147" s="331">
        <v>3</v>
      </c>
      <c r="D147" s="332"/>
      <c r="E147" s="333"/>
      <c r="F147" s="421"/>
    </row>
    <row r="148" spans="2:10" x14ac:dyDescent="0.25">
      <c r="B148" s="415"/>
      <c r="C148" s="331">
        <v>4</v>
      </c>
      <c r="D148" s="332"/>
      <c r="E148" s="333"/>
      <c r="F148" s="421"/>
    </row>
    <row r="149" spans="2:10" x14ac:dyDescent="0.25">
      <c r="B149" s="415"/>
      <c r="C149" s="331">
        <v>5</v>
      </c>
      <c r="D149" s="332"/>
      <c r="E149" s="333"/>
      <c r="F149" s="421"/>
    </row>
    <row r="150" spans="2:10" x14ac:dyDescent="0.25">
      <c r="B150" s="415"/>
      <c r="C150" s="331">
        <v>6</v>
      </c>
      <c r="D150" s="332"/>
      <c r="E150" s="333"/>
      <c r="F150" s="421"/>
    </row>
    <row r="151" spans="2:10" x14ac:dyDescent="0.25">
      <c r="B151" s="415"/>
      <c r="C151" s="331">
        <v>7</v>
      </c>
      <c r="D151" s="332"/>
      <c r="E151" s="333"/>
      <c r="F151" s="421"/>
    </row>
    <row r="152" spans="2:10" x14ac:dyDescent="0.25">
      <c r="B152" s="415"/>
      <c r="C152" s="331">
        <v>8</v>
      </c>
      <c r="D152" s="332"/>
      <c r="E152" s="333"/>
      <c r="F152" s="421"/>
    </row>
    <row r="153" spans="2:10" x14ac:dyDescent="0.25">
      <c r="B153" s="415"/>
      <c r="C153" s="331">
        <v>9</v>
      </c>
      <c r="D153" s="332"/>
      <c r="E153" s="333"/>
      <c r="F153" s="421"/>
    </row>
    <row r="154" spans="2:10" ht="13.8" thickBot="1" x14ac:dyDescent="0.3">
      <c r="B154" s="416"/>
      <c r="C154" s="334">
        <v>10</v>
      </c>
      <c r="D154" s="335"/>
      <c r="E154" s="336"/>
      <c r="F154" s="422"/>
    </row>
    <row r="155" spans="2:10" x14ac:dyDescent="0.25">
      <c r="B155" s="414" t="str">
        <f>C54</f>
        <v>Civil works &amp; Shed Construction</v>
      </c>
      <c r="C155" s="328">
        <v>1</v>
      </c>
      <c r="D155" s="329"/>
      <c r="E155" s="330"/>
      <c r="F155" s="420">
        <f>SUM(E155:E164)</f>
        <v>0</v>
      </c>
    </row>
    <row r="156" spans="2:10" ht="12.75" customHeight="1" x14ac:dyDescent="0.25">
      <c r="B156" s="415"/>
      <c r="C156" s="331">
        <v>2</v>
      </c>
      <c r="D156" s="332"/>
      <c r="E156" s="333"/>
      <c r="F156" s="421"/>
    </row>
    <row r="157" spans="2:10" ht="12.75" customHeight="1" x14ac:dyDescent="0.25">
      <c r="B157" s="415"/>
      <c r="C157" s="331">
        <v>3</v>
      </c>
      <c r="D157" s="332"/>
      <c r="E157" s="333"/>
      <c r="F157" s="421"/>
      <c r="G157" s="122"/>
      <c r="H157" s="104"/>
      <c r="I157" s="122"/>
      <c r="J157" s="104"/>
    </row>
    <row r="158" spans="2:10" x14ac:dyDescent="0.25">
      <c r="B158" s="415"/>
      <c r="C158" s="331">
        <v>4</v>
      </c>
      <c r="D158" s="332"/>
      <c r="E158" s="333"/>
      <c r="F158" s="421"/>
    </row>
    <row r="159" spans="2:10" x14ac:dyDescent="0.25">
      <c r="B159" s="415"/>
      <c r="C159" s="331">
        <v>5</v>
      </c>
      <c r="D159" s="332"/>
      <c r="E159" s="333"/>
      <c r="F159" s="421"/>
    </row>
    <row r="160" spans="2:10" x14ac:dyDescent="0.25">
      <c r="B160" s="415"/>
      <c r="C160" s="331">
        <v>6</v>
      </c>
      <c r="D160" s="332"/>
      <c r="E160" s="333"/>
      <c r="F160" s="421"/>
    </row>
    <row r="161" spans="2:6" x14ac:dyDescent="0.25">
      <c r="B161" s="415"/>
      <c r="C161" s="331">
        <v>7</v>
      </c>
      <c r="D161" s="332"/>
      <c r="E161" s="333"/>
      <c r="F161" s="421"/>
    </row>
    <row r="162" spans="2:6" x14ac:dyDescent="0.25">
      <c r="B162" s="415"/>
      <c r="C162" s="331">
        <v>8</v>
      </c>
      <c r="D162" s="332"/>
      <c r="E162" s="333"/>
      <c r="F162" s="421"/>
    </row>
    <row r="163" spans="2:6" x14ac:dyDescent="0.25">
      <c r="B163" s="415"/>
      <c r="C163" s="331">
        <v>9</v>
      </c>
      <c r="D163" s="332"/>
      <c r="E163" s="333"/>
      <c r="F163" s="421"/>
    </row>
    <row r="164" spans="2:6" ht="13.8" thickBot="1" x14ac:dyDescent="0.3">
      <c r="B164" s="416"/>
      <c r="C164" s="334">
        <v>10</v>
      </c>
      <c r="D164" s="335"/>
      <c r="E164" s="336"/>
      <c r="F164" s="422"/>
    </row>
    <row r="165" spans="2:6" x14ac:dyDescent="0.25">
      <c r="B165" s="426" t="str">
        <f>C55</f>
        <v>Land</v>
      </c>
      <c r="C165" s="337">
        <v>1</v>
      </c>
      <c r="D165" s="338"/>
      <c r="E165" s="339"/>
      <c r="F165" s="429">
        <f>SUM(E165:E167)</f>
        <v>0</v>
      </c>
    </row>
    <row r="166" spans="2:6" x14ac:dyDescent="0.25">
      <c r="B166" s="427"/>
      <c r="C166" s="340">
        <v>2</v>
      </c>
      <c r="D166" s="341"/>
      <c r="E166" s="342"/>
      <c r="F166" s="430"/>
    </row>
    <row r="167" spans="2:6" ht="13.8" thickBot="1" x14ac:dyDescent="0.3">
      <c r="B167" s="428"/>
      <c r="C167" s="343">
        <v>3</v>
      </c>
      <c r="D167" s="344"/>
      <c r="E167" s="345"/>
      <c r="F167" s="431"/>
    </row>
    <row r="168" spans="2:6" x14ac:dyDescent="0.25">
      <c r="B168" s="414" t="str">
        <f>C56</f>
        <v xml:space="preserve">Electrical Items &amp; fittings                    </v>
      </c>
      <c r="C168" s="346">
        <v>1</v>
      </c>
      <c r="D168" s="347"/>
      <c r="E168" s="348"/>
      <c r="F168" s="420">
        <f>SUM(E168:E177)</f>
        <v>0</v>
      </c>
    </row>
    <row r="169" spans="2:6" x14ac:dyDescent="0.25">
      <c r="B169" s="415"/>
      <c r="C169" s="331">
        <v>2</v>
      </c>
      <c r="D169" s="332"/>
      <c r="E169" s="333"/>
      <c r="F169" s="421"/>
    </row>
    <row r="170" spans="2:6" x14ac:dyDescent="0.25">
      <c r="B170" s="415"/>
      <c r="C170" s="331">
        <v>3</v>
      </c>
      <c r="D170" s="332"/>
      <c r="E170" s="333"/>
      <c r="F170" s="421"/>
    </row>
    <row r="171" spans="2:6" x14ac:dyDescent="0.25">
      <c r="B171" s="415"/>
      <c r="C171" s="331">
        <v>4</v>
      </c>
      <c r="D171" s="332"/>
      <c r="E171" s="333"/>
      <c r="F171" s="421"/>
    </row>
    <row r="172" spans="2:6" x14ac:dyDescent="0.25">
      <c r="B172" s="415"/>
      <c r="C172" s="331">
        <v>5</v>
      </c>
      <c r="D172" s="332"/>
      <c r="E172" s="333"/>
      <c r="F172" s="421"/>
    </row>
    <row r="173" spans="2:6" x14ac:dyDescent="0.25">
      <c r="B173" s="415"/>
      <c r="C173" s="331">
        <v>6</v>
      </c>
      <c r="D173" s="332"/>
      <c r="E173" s="333"/>
      <c r="F173" s="421"/>
    </row>
    <row r="174" spans="2:6" x14ac:dyDescent="0.25">
      <c r="B174" s="415"/>
      <c r="C174" s="331">
        <v>7</v>
      </c>
      <c r="D174" s="332"/>
      <c r="E174" s="333"/>
      <c r="F174" s="421"/>
    </row>
    <row r="175" spans="2:6" x14ac:dyDescent="0.25">
      <c r="B175" s="415"/>
      <c r="C175" s="331">
        <v>8</v>
      </c>
      <c r="D175" s="332"/>
      <c r="E175" s="333"/>
      <c r="F175" s="421"/>
    </row>
    <row r="176" spans="2:6" x14ac:dyDescent="0.25">
      <c r="B176" s="415"/>
      <c r="C176" s="331">
        <v>9</v>
      </c>
      <c r="D176" s="332"/>
      <c r="E176" s="333"/>
      <c r="F176" s="421"/>
    </row>
    <row r="177" spans="2:6" ht="13.8" thickBot="1" x14ac:dyDescent="0.3">
      <c r="B177" s="416"/>
      <c r="C177" s="349">
        <v>10</v>
      </c>
      <c r="D177" s="350"/>
      <c r="E177" s="351"/>
      <c r="F177" s="422"/>
    </row>
    <row r="178" spans="2:6" x14ac:dyDescent="0.25">
      <c r="B178" s="414" t="str">
        <f>C57</f>
        <v>Electronic Items</v>
      </c>
      <c r="C178" s="352">
        <v>1</v>
      </c>
      <c r="D178" s="329"/>
      <c r="E178" s="353"/>
      <c r="F178" s="417">
        <f>SUM(E178:E187)</f>
        <v>0</v>
      </c>
    </row>
    <row r="179" spans="2:6" x14ac:dyDescent="0.25">
      <c r="B179" s="415"/>
      <c r="C179" s="354">
        <v>2</v>
      </c>
      <c r="D179" s="332"/>
      <c r="E179" s="355"/>
      <c r="F179" s="418"/>
    </row>
    <row r="180" spans="2:6" x14ac:dyDescent="0.25">
      <c r="B180" s="415"/>
      <c r="C180" s="354">
        <v>3</v>
      </c>
      <c r="D180" s="332"/>
      <c r="E180" s="355"/>
      <c r="F180" s="418"/>
    </row>
    <row r="181" spans="2:6" x14ac:dyDescent="0.25">
      <c r="B181" s="415"/>
      <c r="C181" s="354">
        <v>4</v>
      </c>
      <c r="D181" s="332"/>
      <c r="E181" s="355"/>
      <c r="F181" s="418"/>
    </row>
    <row r="182" spans="2:6" x14ac:dyDescent="0.25">
      <c r="B182" s="415"/>
      <c r="C182" s="354">
        <v>5</v>
      </c>
      <c r="D182" s="332"/>
      <c r="E182" s="355"/>
      <c r="F182" s="418"/>
    </row>
    <row r="183" spans="2:6" x14ac:dyDescent="0.25">
      <c r="B183" s="415"/>
      <c r="C183" s="354">
        <v>6</v>
      </c>
      <c r="D183" s="332"/>
      <c r="E183" s="355"/>
      <c r="F183" s="418"/>
    </row>
    <row r="184" spans="2:6" x14ac:dyDescent="0.25">
      <c r="B184" s="415"/>
      <c r="C184" s="354">
        <v>7</v>
      </c>
      <c r="D184" s="332"/>
      <c r="E184" s="355"/>
      <c r="F184" s="418"/>
    </row>
    <row r="185" spans="2:6" x14ac:dyDescent="0.25">
      <c r="B185" s="415"/>
      <c r="C185" s="354">
        <v>8</v>
      </c>
      <c r="D185" s="332"/>
      <c r="E185" s="355"/>
      <c r="F185" s="418"/>
    </row>
    <row r="186" spans="2:6" x14ac:dyDescent="0.25">
      <c r="B186" s="415"/>
      <c r="C186" s="354">
        <v>9</v>
      </c>
      <c r="D186" s="332"/>
      <c r="E186" s="355"/>
      <c r="F186" s="418"/>
    </row>
    <row r="187" spans="2:6" ht="13.8" thickBot="1" x14ac:dyDescent="0.3">
      <c r="B187" s="416"/>
      <c r="C187" s="356">
        <v>10</v>
      </c>
      <c r="D187" s="335"/>
      <c r="E187" s="357"/>
      <c r="F187" s="419"/>
    </row>
    <row r="188" spans="2:6" x14ac:dyDescent="0.25">
      <c r="B188" s="415" t="str">
        <f>C58</f>
        <v>Furniture and Fittings</v>
      </c>
      <c r="C188" s="352">
        <v>1</v>
      </c>
      <c r="D188" s="329"/>
      <c r="E188" s="330"/>
      <c r="F188" s="423">
        <f>SUM(E188:E197)</f>
        <v>0</v>
      </c>
    </row>
    <row r="189" spans="2:6" x14ac:dyDescent="0.25">
      <c r="B189" s="415"/>
      <c r="C189" s="354">
        <v>2</v>
      </c>
      <c r="D189" s="332"/>
      <c r="E189" s="333"/>
      <c r="F189" s="424"/>
    </row>
    <row r="190" spans="2:6" x14ac:dyDescent="0.25">
      <c r="B190" s="415"/>
      <c r="C190" s="354">
        <v>3</v>
      </c>
      <c r="D190" s="332"/>
      <c r="E190" s="333"/>
      <c r="F190" s="424"/>
    </row>
    <row r="191" spans="2:6" x14ac:dyDescent="0.25">
      <c r="B191" s="415"/>
      <c r="C191" s="354">
        <v>4</v>
      </c>
      <c r="D191" s="332"/>
      <c r="E191" s="333"/>
      <c r="F191" s="424"/>
    </row>
    <row r="192" spans="2:6" x14ac:dyDescent="0.25">
      <c r="B192" s="415"/>
      <c r="C192" s="354">
        <v>5</v>
      </c>
      <c r="D192" s="332"/>
      <c r="E192" s="333"/>
      <c r="F192" s="424"/>
    </row>
    <row r="193" spans="2:6" x14ac:dyDescent="0.25">
      <c r="B193" s="415"/>
      <c r="C193" s="354">
        <v>6</v>
      </c>
      <c r="D193" s="332"/>
      <c r="E193" s="333"/>
      <c r="F193" s="424"/>
    </row>
    <row r="194" spans="2:6" x14ac:dyDescent="0.25">
      <c r="B194" s="415"/>
      <c r="C194" s="354">
        <v>7</v>
      </c>
      <c r="D194" s="332"/>
      <c r="E194" s="333"/>
      <c r="F194" s="424"/>
    </row>
    <row r="195" spans="2:6" x14ac:dyDescent="0.25">
      <c r="B195" s="415"/>
      <c r="C195" s="354">
        <v>8</v>
      </c>
      <c r="D195" s="332"/>
      <c r="E195" s="333"/>
      <c r="F195" s="424"/>
    </row>
    <row r="196" spans="2:6" x14ac:dyDescent="0.25">
      <c r="B196" s="415"/>
      <c r="C196" s="354">
        <v>9</v>
      </c>
      <c r="D196" s="332"/>
      <c r="E196" s="333"/>
      <c r="F196" s="424"/>
    </row>
    <row r="197" spans="2:6" ht="13.8" thickBot="1" x14ac:dyDescent="0.3">
      <c r="B197" s="416"/>
      <c r="C197" s="356">
        <v>10</v>
      </c>
      <c r="D197" s="335"/>
      <c r="E197" s="336"/>
      <c r="F197" s="425"/>
    </row>
    <row r="198" spans="2:6" x14ac:dyDescent="0.25">
      <c r="B198" s="414" t="str">
        <f>C59</f>
        <v>Vehicles</v>
      </c>
      <c r="C198" s="346">
        <v>1</v>
      </c>
      <c r="D198" s="347"/>
      <c r="E198" s="348"/>
      <c r="F198" s="423">
        <f>SUM(E198:E206)</f>
        <v>0</v>
      </c>
    </row>
    <row r="199" spans="2:6" x14ac:dyDescent="0.25">
      <c r="B199" s="415"/>
      <c r="C199" s="331">
        <v>2</v>
      </c>
      <c r="D199" s="332"/>
      <c r="E199" s="333"/>
      <c r="F199" s="424"/>
    </row>
    <row r="200" spans="2:6" x14ac:dyDescent="0.25">
      <c r="B200" s="415"/>
      <c r="C200" s="331">
        <v>3</v>
      </c>
      <c r="D200" s="332"/>
      <c r="E200" s="333"/>
      <c r="F200" s="424"/>
    </row>
    <row r="201" spans="2:6" x14ac:dyDescent="0.25">
      <c r="B201" s="415"/>
      <c r="C201" s="331">
        <v>4</v>
      </c>
      <c r="D201" s="332"/>
      <c r="E201" s="333"/>
      <c r="F201" s="424"/>
    </row>
    <row r="202" spans="2:6" x14ac:dyDescent="0.25">
      <c r="B202" s="415"/>
      <c r="C202" s="331">
        <v>5</v>
      </c>
      <c r="D202" s="332"/>
      <c r="E202" s="333"/>
      <c r="F202" s="424"/>
    </row>
    <row r="203" spans="2:6" x14ac:dyDescent="0.25">
      <c r="B203" s="415"/>
      <c r="C203" s="331">
        <v>6</v>
      </c>
      <c r="D203" s="332"/>
      <c r="E203" s="333"/>
      <c r="F203" s="424"/>
    </row>
    <row r="204" spans="2:6" x14ac:dyDescent="0.25">
      <c r="B204" s="415"/>
      <c r="C204" s="331">
        <v>7</v>
      </c>
      <c r="D204" s="332"/>
      <c r="E204" s="333"/>
      <c r="F204" s="424"/>
    </row>
    <row r="205" spans="2:6" x14ac:dyDescent="0.25">
      <c r="B205" s="415"/>
      <c r="C205" s="331">
        <v>8</v>
      </c>
      <c r="D205" s="332"/>
      <c r="E205" s="333"/>
      <c r="F205" s="424"/>
    </row>
    <row r="206" spans="2:6" ht="13.8" thickBot="1" x14ac:dyDescent="0.3">
      <c r="B206" s="415"/>
      <c r="C206" s="349">
        <v>9</v>
      </c>
      <c r="D206" s="350"/>
      <c r="E206" s="351"/>
      <c r="F206" s="425"/>
    </row>
    <row r="207" spans="2:6" x14ac:dyDescent="0.25">
      <c r="B207" s="426" t="str">
        <f>C60</f>
        <v>Live stock</v>
      </c>
      <c r="C207" s="337">
        <v>1</v>
      </c>
      <c r="D207" s="338"/>
      <c r="E207" s="358"/>
      <c r="F207" s="423">
        <f>SUM(E207:E216)</f>
        <v>0</v>
      </c>
    </row>
    <row r="208" spans="2:6" x14ac:dyDescent="0.25">
      <c r="B208" s="427"/>
      <c r="C208" s="340">
        <v>2</v>
      </c>
      <c r="D208" s="341"/>
      <c r="E208" s="359"/>
      <c r="F208" s="424"/>
    </row>
    <row r="209" spans="2:6" x14ac:dyDescent="0.25">
      <c r="B209" s="427"/>
      <c r="C209" s="340">
        <v>3</v>
      </c>
      <c r="D209" s="341"/>
      <c r="E209" s="359"/>
      <c r="F209" s="424"/>
    </row>
    <row r="210" spans="2:6" x14ac:dyDescent="0.25">
      <c r="B210" s="427"/>
      <c r="C210" s="340">
        <v>4</v>
      </c>
      <c r="D210" s="341"/>
      <c r="E210" s="359"/>
      <c r="F210" s="424"/>
    </row>
    <row r="211" spans="2:6" x14ac:dyDescent="0.25">
      <c r="B211" s="427"/>
      <c r="C211" s="340">
        <v>5</v>
      </c>
      <c r="D211" s="341"/>
      <c r="E211" s="359"/>
      <c r="F211" s="424"/>
    </row>
    <row r="212" spans="2:6" x14ac:dyDescent="0.25">
      <c r="B212" s="427"/>
      <c r="C212" s="340">
        <v>6</v>
      </c>
      <c r="D212" s="341"/>
      <c r="E212" s="359"/>
      <c r="F212" s="424"/>
    </row>
    <row r="213" spans="2:6" x14ac:dyDescent="0.25">
      <c r="B213" s="427"/>
      <c r="C213" s="340">
        <v>7</v>
      </c>
      <c r="D213" s="341"/>
      <c r="E213" s="359"/>
      <c r="F213" s="424"/>
    </row>
    <row r="214" spans="2:6" x14ac:dyDescent="0.25">
      <c r="B214" s="427"/>
      <c r="C214" s="340">
        <v>8</v>
      </c>
      <c r="D214" s="341"/>
      <c r="E214" s="359"/>
      <c r="F214" s="424"/>
    </row>
    <row r="215" spans="2:6" x14ac:dyDescent="0.25">
      <c r="B215" s="427"/>
      <c r="C215" s="340">
        <v>9</v>
      </c>
      <c r="D215" s="341"/>
      <c r="E215" s="359"/>
      <c r="F215" s="424"/>
    </row>
    <row r="216" spans="2:6" ht="13.8" thickBot="1" x14ac:dyDescent="0.3">
      <c r="B216" s="428"/>
      <c r="C216" s="343">
        <v>10</v>
      </c>
      <c r="D216" s="344"/>
      <c r="E216" s="360"/>
      <c r="F216" s="425"/>
    </row>
    <row r="217" spans="2:6" x14ac:dyDescent="0.25">
      <c r="B217" s="414" t="str">
        <f>C61</f>
        <v>Other Assets</v>
      </c>
      <c r="C217" s="346">
        <v>1</v>
      </c>
      <c r="D217" s="347"/>
      <c r="E217" s="330"/>
      <c r="F217" s="420">
        <f>SUM(E217:E226)</f>
        <v>0</v>
      </c>
    </row>
    <row r="218" spans="2:6" x14ac:dyDescent="0.25">
      <c r="B218" s="415"/>
      <c r="C218" s="331">
        <v>2</v>
      </c>
      <c r="D218" s="332"/>
      <c r="E218" s="333"/>
      <c r="F218" s="421"/>
    </row>
    <row r="219" spans="2:6" x14ac:dyDescent="0.25">
      <c r="B219" s="415"/>
      <c r="C219" s="331">
        <v>3</v>
      </c>
      <c r="D219" s="332"/>
      <c r="E219" s="333"/>
      <c r="F219" s="421"/>
    </row>
    <row r="220" spans="2:6" x14ac:dyDescent="0.25">
      <c r="B220" s="415"/>
      <c r="C220" s="331">
        <v>4</v>
      </c>
      <c r="D220" s="332"/>
      <c r="E220" s="333"/>
      <c r="F220" s="421"/>
    </row>
    <row r="221" spans="2:6" x14ac:dyDescent="0.25">
      <c r="B221" s="415"/>
      <c r="C221" s="331">
        <v>5</v>
      </c>
      <c r="D221" s="332"/>
      <c r="E221" s="333"/>
      <c r="F221" s="421"/>
    </row>
    <row r="222" spans="2:6" x14ac:dyDescent="0.25">
      <c r="B222" s="415"/>
      <c r="C222" s="331">
        <v>6</v>
      </c>
      <c r="D222" s="332"/>
      <c r="E222" s="333"/>
      <c r="F222" s="421"/>
    </row>
    <row r="223" spans="2:6" x14ac:dyDescent="0.25">
      <c r="B223" s="415"/>
      <c r="C223" s="331">
        <v>7</v>
      </c>
      <c r="D223" s="332"/>
      <c r="E223" s="333"/>
      <c r="F223" s="421"/>
    </row>
    <row r="224" spans="2:6" x14ac:dyDescent="0.25">
      <c r="B224" s="415"/>
      <c r="C224" s="331">
        <v>8</v>
      </c>
      <c r="D224" s="332"/>
      <c r="E224" s="333"/>
      <c r="F224" s="421"/>
    </row>
    <row r="225" spans="2:6" x14ac:dyDescent="0.25">
      <c r="B225" s="415"/>
      <c r="C225" s="331">
        <v>9</v>
      </c>
      <c r="D225" s="332"/>
      <c r="E225" s="333"/>
      <c r="F225" s="421"/>
    </row>
    <row r="226" spans="2:6" ht="13.8" thickBot="1" x14ac:dyDescent="0.3">
      <c r="B226" s="416"/>
      <c r="C226" s="334">
        <v>10</v>
      </c>
      <c r="D226" s="335"/>
      <c r="E226" s="336"/>
      <c r="F226" s="422"/>
    </row>
  </sheetData>
  <mergeCells count="30">
    <mergeCell ref="B145:B154"/>
    <mergeCell ref="F145:F154"/>
    <mergeCell ref="O98:Q98"/>
    <mergeCell ref="D74:D131"/>
    <mergeCell ref="B74:B131"/>
    <mergeCell ref="B3:B8"/>
    <mergeCell ref="A28:A29"/>
    <mergeCell ref="B52:B62"/>
    <mergeCell ref="B135:B144"/>
    <mergeCell ref="F135:F144"/>
    <mergeCell ref="B26:B50"/>
    <mergeCell ref="B64:B72"/>
    <mergeCell ref="B10:B16"/>
    <mergeCell ref="B18:B24"/>
    <mergeCell ref="B155:B164"/>
    <mergeCell ref="F155:F164"/>
    <mergeCell ref="B165:B167"/>
    <mergeCell ref="F165:F167"/>
    <mergeCell ref="B168:B177"/>
    <mergeCell ref="F168:F177"/>
    <mergeCell ref="B178:B187"/>
    <mergeCell ref="F178:F187"/>
    <mergeCell ref="B217:B226"/>
    <mergeCell ref="F217:F226"/>
    <mergeCell ref="B188:B197"/>
    <mergeCell ref="F188:F197"/>
    <mergeCell ref="B198:B206"/>
    <mergeCell ref="F198:F206"/>
    <mergeCell ref="B207:B216"/>
    <mergeCell ref="F207:F216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18BA-0F11-4942-846E-E7448647F1ED}">
  <dimension ref="A1:V129"/>
  <sheetViews>
    <sheetView topLeftCell="A55" zoomScale="55" zoomScaleNormal="55" zoomScaleSheetLayoutView="25" workbookViewId="0">
      <selection activeCell="A71" sqref="A71"/>
    </sheetView>
  </sheetViews>
  <sheetFormatPr defaultColWidth="21.88671875" defaultRowHeight="25.8" x14ac:dyDescent="0.5"/>
  <cols>
    <col min="1" max="1" width="56.88671875" style="2" customWidth="1"/>
    <col min="2" max="2" width="20.88671875" style="2" customWidth="1"/>
    <col min="3" max="6" width="24" style="2" bestFit="1" customWidth="1"/>
    <col min="7" max="7" width="23" style="2" customWidth="1"/>
    <col min="8" max="8" width="24.44140625" style="2" customWidth="1"/>
    <col min="9" max="9" width="24.88671875" style="2" bestFit="1" customWidth="1"/>
    <col min="10" max="16384" width="21.88671875" style="2"/>
  </cols>
  <sheetData>
    <row r="1" spans="1:15" x14ac:dyDescent="0.5">
      <c r="A1" s="458"/>
      <c r="B1" s="458"/>
      <c r="C1" s="458"/>
      <c r="D1" s="458"/>
      <c r="E1" s="458"/>
      <c r="F1" s="458"/>
    </row>
    <row r="2" spans="1:15" x14ac:dyDescent="0.5">
      <c r="A2" s="458"/>
      <c r="B2" s="458"/>
      <c r="C2" s="458"/>
      <c r="D2" s="458"/>
      <c r="E2" s="458"/>
      <c r="F2" s="458"/>
    </row>
    <row r="3" spans="1:15" ht="29.25" customHeight="1" x14ac:dyDescent="0.7">
      <c r="A3" s="461" t="s">
        <v>252</v>
      </c>
      <c r="B3" s="461"/>
      <c r="C3" s="461"/>
      <c r="D3" s="461"/>
      <c r="E3" s="461"/>
      <c r="F3" s="461"/>
      <c r="G3" s="461"/>
      <c r="H3" s="461"/>
      <c r="I3" s="461"/>
      <c r="M3" s="457"/>
      <c r="N3" s="457"/>
      <c r="O3" s="457"/>
    </row>
    <row r="4" spans="1:15" ht="57" customHeight="1" x14ac:dyDescent="0.5">
      <c r="A4" s="455" t="s">
        <v>253</v>
      </c>
      <c r="B4" s="455"/>
      <c r="C4" s="455"/>
      <c r="D4" s="455"/>
      <c r="E4" s="455"/>
      <c r="F4" s="455"/>
      <c r="G4" s="455"/>
      <c r="H4" s="455"/>
      <c r="I4" s="455"/>
    </row>
    <row r="5" spans="1:15" ht="61.5" customHeight="1" x14ac:dyDescent="0.5">
      <c r="A5" s="459" t="s">
        <v>0</v>
      </c>
      <c r="B5" s="453"/>
      <c r="C5" s="307" t="str">
        <f>Assumptions.1!J18</f>
        <v>Provisional / Audited</v>
      </c>
      <c r="D5" s="105" t="str">
        <f>Assumptions.1!J19</f>
        <v>Estimated</v>
      </c>
      <c r="E5" s="105" t="str">
        <f>Assumptions.1!J20</f>
        <v>Projected</v>
      </c>
      <c r="F5" s="105" t="str">
        <f>Assumptions.1!J21</f>
        <v>Projected</v>
      </c>
      <c r="G5" s="274" t="str">
        <f>Assumptions.1!J22</f>
        <v>Projected</v>
      </c>
      <c r="H5" s="274" t="str">
        <f>Assumptions.1!J23</f>
        <v>Projected</v>
      </c>
      <c r="I5" s="274" t="str">
        <f>Assumptions.1!J24</f>
        <v>Projected</v>
      </c>
    </row>
    <row r="6" spans="1:15" ht="37.5" customHeight="1" thickBot="1" x14ac:dyDescent="0.55000000000000004">
      <c r="A6" s="460"/>
      <c r="B6" s="454"/>
      <c r="C6" s="167">
        <f>Assumptions.1!I18</f>
        <v>0</v>
      </c>
      <c r="D6" s="167">
        <f>Assumptions.1!I19</f>
        <v>0</v>
      </c>
      <c r="E6" s="167">
        <f>Assumptions.1!I20</f>
        <v>0</v>
      </c>
      <c r="F6" s="167">
        <f>Assumptions.1!I21</f>
        <v>0</v>
      </c>
      <c r="G6" s="273">
        <f>Assumptions.1!I22</f>
        <v>0</v>
      </c>
      <c r="H6" s="273">
        <f>Assumptions.1!I23</f>
        <v>0</v>
      </c>
      <c r="I6" s="273">
        <f>Assumptions.1!I24</f>
        <v>0</v>
      </c>
    </row>
    <row r="7" spans="1:15" s="3" customFormat="1" ht="26.4" thickTop="1" x14ac:dyDescent="0.5">
      <c r="E7" s="4"/>
    </row>
    <row r="8" spans="1:15" s="3" customFormat="1" ht="30.6" x14ac:dyDescent="0.55000000000000004">
      <c r="A8" s="5" t="s">
        <v>172</v>
      </c>
      <c r="D8" s="172"/>
      <c r="E8" s="172"/>
      <c r="F8" s="172"/>
    </row>
    <row r="9" spans="1:15" s="3" customFormat="1" x14ac:dyDescent="0.5">
      <c r="A9" s="5"/>
      <c r="D9" s="4"/>
      <c r="E9" s="4"/>
    </row>
    <row r="10" spans="1:15" s="3" customFormat="1" ht="33" customHeight="1" x14ac:dyDescent="0.5">
      <c r="A10" s="2" t="s">
        <v>212</v>
      </c>
      <c r="B10" s="2"/>
      <c r="C10" s="6">
        <f>Assumptions.1!I26</f>
        <v>0</v>
      </c>
      <c r="D10" s="6" t="e">
        <f>Assumptions.1!I111</f>
        <v>#DIV/0!</v>
      </c>
      <c r="E10" s="2" t="e">
        <f>D10*Assumptions.1!I102</f>
        <v>#DIV/0!</v>
      </c>
      <c r="F10" s="2" t="e">
        <f>E10*Assumptions.1!I102</f>
        <v>#DIV/0!</v>
      </c>
      <c r="G10" s="2" t="e">
        <f>F10*Assumptions.1!I102</f>
        <v>#DIV/0!</v>
      </c>
      <c r="H10" s="6" t="e">
        <f>G10*Assumptions.1!I102</f>
        <v>#DIV/0!</v>
      </c>
      <c r="I10" s="6" t="e">
        <f>H10*Assumptions.1!I102</f>
        <v>#DIV/0!</v>
      </c>
    </row>
    <row r="11" spans="1:15" s="3" customFormat="1" ht="33" customHeight="1" x14ac:dyDescent="0.5">
      <c r="A11" s="2"/>
      <c r="B11" s="2"/>
      <c r="C11" s="6"/>
      <c r="D11" s="6"/>
      <c r="E11" s="6"/>
      <c r="F11" s="6"/>
    </row>
    <row r="12" spans="1:15" ht="38.25" customHeight="1" x14ac:dyDescent="0.5">
      <c r="C12" s="7">
        <f t="shared" ref="C12:I12" si="0">SUM(C10:C11)</f>
        <v>0</v>
      </c>
      <c r="D12" s="7" t="e">
        <f t="shared" si="0"/>
        <v>#DIV/0!</v>
      </c>
      <c r="E12" s="3" t="e">
        <f t="shared" si="0"/>
        <v>#DIV/0!</v>
      </c>
      <c r="F12" s="3" t="e">
        <f t="shared" si="0"/>
        <v>#DIV/0!</v>
      </c>
      <c r="G12" s="3" t="e">
        <f t="shared" si="0"/>
        <v>#DIV/0!</v>
      </c>
      <c r="H12" s="3" t="e">
        <f t="shared" si="0"/>
        <v>#DIV/0!</v>
      </c>
      <c r="I12" s="3" t="e">
        <f t="shared" si="0"/>
        <v>#DIV/0!</v>
      </c>
    </row>
    <row r="14" spans="1:15" x14ac:dyDescent="0.5">
      <c r="A14" s="5" t="s">
        <v>6</v>
      </c>
    </row>
    <row r="15" spans="1:15" x14ac:dyDescent="0.5">
      <c r="A15" s="5"/>
    </row>
    <row r="16" spans="1:15" ht="35.25" customHeight="1" x14ac:dyDescent="0.5">
      <c r="A16" s="2" t="s">
        <v>365</v>
      </c>
      <c r="B16" s="1"/>
      <c r="C16" s="53">
        <f>Assumptions.1!I27</f>
        <v>0</v>
      </c>
      <c r="D16" s="6">
        <f t="shared" ref="D16:I16" si="1">C18</f>
        <v>0</v>
      </c>
      <c r="E16" s="2">
        <f t="shared" si="1"/>
        <v>0</v>
      </c>
      <c r="F16" s="2">
        <f t="shared" si="1"/>
        <v>0</v>
      </c>
      <c r="G16" s="6">
        <f t="shared" si="1"/>
        <v>0</v>
      </c>
      <c r="H16" s="6">
        <f t="shared" si="1"/>
        <v>0</v>
      </c>
      <c r="I16" s="6">
        <f t="shared" si="1"/>
        <v>0</v>
      </c>
    </row>
    <row r="17" spans="1:22" ht="37.5" customHeight="1" x14ac:dyDescent="0.5">
      <c r="A17" s="2" t="s">
        <v>366</v>
      </c>
      <c r="B17" s="1"/>
      <c r="C17" s="51">
        <f>Assumptions.1!I28</f>
        <v>0</v>
      </c>
      <c r="D17" s="6" t="e">
        <f t="shared" ref="D17:I17" si="2">D19-D16+D18</f>
        <v>#DIV/0!</v>
      </c>
      <c r="E17" s="6" t="e">
        <f t="shared" si="2"/>
        <v>#DIV/0!</v>
      </c>
      <c r="F17" s="6" t="e">
        <f t="shared" si="2"/>
        <v>#DIV/0!</v>
      </c>
      <c r="G17" s="6" t="e">
        <f t="shared" si="2"/>
        <v>#DIV/0!</v>
      </c>
      <c r="H17" s="6" t="e">
        <f t="shared" si="2"/>
        <v>#DIV/0!</v>
      </c>
      <c r="I17" s="6" t="e">
        <f t="shared" si="2"/>
        <v>#DIV/0!</v>
      </c>
      <c r="L17"/>
      <c r="T17" s="6"/>
    </row>
    <row r="18" spans="1:22" ht="36" customHeight="1" x14ac:dyDescent="0.5">
      <c r="A18" s="2" t="s">
        <v>367</v>
      </c>
      <c r="B18" s="1"/>
      <c r="C18" s="53">
        <f>Assumptions.1!I29</f>
        <v>0</v>
      </c>
      <c r="D18" s="2">
        <f>Assumptions.1!I115</f>
        <v>0</v>
      </c>
      <c r="E18" s="6">
        <f>D18*Assumptions.1!I106</f>
        <v>0</v>
      </c>
      <c r="F18" s="6">
        <f>E18*Assumptions.1!I106</f>
        <v>0</v>
      </c>
      <c r="G18" s="6">
        <f>F18*Assumptions.1!I106</f>
        <v>0</v>
      </c>
      <c r="H18" s="6">
        <f>G18*Assumptions.1!I106</f>
        <v>0</v>
      </c>
      <c r="I18" s="6">
        <f>H18*Assumptions.1!I106</f>
        <v>0</v>
      </c>
    </row>
    <row r="19" spans="1:22" ht="39.75" customHeight="1" x14ac:dyDescent="0.5">
      <c r="A19" s="3" t="s">
        <v>368</v>
      </c>
      <c r="C19" s="7">
        <f>C16+C17-C18</f>
        <v>0</v>
      </c>
      <c r="D19" s="7" t="e">
        <f>D10-D21</f>
        <v>#DIV/0!</v>
      </c>
      <c r="E19" s="7" t="e">
        <f>E12-E21</f>
        <v>#DIV/0!</v>
      </c>
      <c r="F19" s="7" t="e">
        <f>F12-F21</f>
        <v>#DIV/0!</v>
      </c>
      <c r="G19" s="7" t="e">
        <f>G12-G21</f>
        <v>#DIV/0!</v>
      </c>
      <c r="H19" s="7" t="e">
        <f>H12-H21</f>
        <v>#DIV/0!</v>
      </c>
      <c r="I19" s="7" t="e">
        <f>I12-I21</f>
        <v>#DIV/0!</v>
      </c>
    </row>
    <row r="20" spans="1:22" ht="46.5" customHeight="1" x14ac:dyDescent="0.5">
      <c r="A20" s="5"/>
      <c r="C20" s="3"/>
      <c r="D20" s="6"/>
    </row>
    <row r="21" spans="1:22" s="3" customFormat="1" ht="55.5" customHeight="1" x14ac:dyDescent="0.5">
      <c r="A21" s="5" t="s">
        <v>369</v>
      </c>
      <c r="C21" s="7">
        <f>C12-C19</f>
        <v>0</v>
      </c>
      <c r="D21" s="7" t="e">
        <f>D10*Assumptions.1!I83</f>
        <v>#DIV/0!</v>
      </c>
      <c r="E21" s="7" t="e">
        <f>E10*Assumptions.1!I84</f>
        <v>#DIV/0!</v>
      </c>
      <c r="F21" s="7" t="e">
        <f>F10*Assumptions.1!I85</f>
        <v>#DIV/0!</v>
      </c>
      <c r="G21" s="7" t="e">
        <f>G10*Assumptions.1!I86</f>
        <v>#DIV/0!</v>
      </c>
      <c r="H21" s="7" t="e">
        <f>H10*Assumptions.1!I87</f>
        <v>#DIV/0!</v>
      </c>
      <c r="I21" s="7" t="e">
        <f>I10*Assumptions.1!I88</f>
        <v>#DIV/0!</v>
      </c>
      <c r="J21" s="98"/>
      <c r="K21" s="98"/>
      <c r="L21" s="98"/>
    </row>
    <row r="22" spans="1:22" s="3" customFormat="1" ht="40.5" customHeight="1" x14ac:dyDescent="0.5">
      <c r="A22" s="5"/>
      <c r="C22" s="164"/>
      <c r="D22" s="164"/>
      <c r="E22" s="164"/>
      <c r="F22" s="164"/>
    </row>
    <row r="23" spans="1:22" s="3" customFormat="1" ht="40.5" customHeight="1" x14ac:dyDescent="0.5">
      <c r="A23" s="2" t="s">
        <v>370</v>
      </c>
      <c r="B23" s="2"/>
      <c r="C23" s="7">
        <f>Assumptions.1!I30</f>
        <v>0</v>
      </c>
      <c r="D23" s="7">
        <f>C23*Assumptions.1!I104</f>
        <v>0</v>
      </c>
      <c r="E23" s="7">
        <f>D23*Assumptions.1!I104</f>
        <v>0</v>
      </c>
      <c r="F23" s="7">
        <f>E23*Assumptions.1!I104</f>
        <v>0</v>
      </c>
      <c r="G23" s="7">
        <f>F23*Assumptions.1!I104</f>
        <v>0</v>
      </c>
      <c r="H23" s="7">
        <f>G23*Assumptions.1!I104</f>
        <v>0</v>
      </c>
      <c r="I23" s="7">
        <f>H23*Assumptions.1!I104</f>
        <v>0</v>
      </c>
    </row>
    <row r="24" spans="1:22" s="3" customFormat="1" ht="40.5" customHeight="1" x14ac:dyDescent="0.5">
      <c r="A24" s="2"/>
      <c r="C24" s="7"/>
      <c r="D24" s="7"/>
      <c r="E24" s="7"/>
      <c r="F24" s="7"/>
      <c r="V24"/>
    </row>
    <row r="25" spans="1:22" ht="43.5" customHeight="1" x14ac:dyDescent="0.5">
      <c r="A25" s="2" t="s">
        <v>371</v>
      </c>
      <c r="B25" s="11"/>
      <c r="C25" s="6">
        <f>C92</f>
        <v>0</v>
      </c>
      <c r="D25" s="6" t="e">
        <f t="shared" ref="D25:I25" si="3">D92</f>
        <v>#DIV/0!</v>
      </c>
      <c r="E25" s="6" t="e">
        <f t="shared" si="3"/>
        <v>#DIV/0!</v>
      </c>
      <c r="F25" s="6" t="e">
        <f t="shared" si="3"/>
        <v>#DIV/0!</v>
      </c>
      <c r="G25" s="6" t="e">
        <f t="shared" si="3"/>
        <v>#DIV/0!</v>
      </c>
      <c r="H25" s="6" t="e">
        <f t="shared" si="3"/>
        <v>#DIV/0!</v>
      </c>
      <c r="I25" s="6" t="e">
        <f t="shared" si="3"/>
        <v>#DIV/0!</v>
      </c>
      <c r="J25" s="102"/>
      <c r="K25" s="102"/>
      <c r="L25" s="102"/>
    </row>
    <row r="26" spans="1:22" ht="43.5" customHeight="1" x14ac:dyDescent="0.5">
      <c r="B26" s="11"/>
      <c r="H26" s="99"/>
      <c r="I26" s="99"/>
      <c r="J26" s="99"/>
      <c r="K26" s="99"/>
      <c r="L26" s="99"/>
    </row>
    <row r="27" spans="1:22" ht="43.5" customHeight="1" x14ac:dyDescent="0.5">
      <c r="A27" s="5" t="s">
        <v>372</v>
      </c>
      <c r="B27" s="11"/>
      <c r="C27" s="15">
        <f t="shared" ref="C27:I27" si="4">C21+C23-C25</f>
        <v>0</v>
      </c>
      <c r="D27" s="15" t="e">
        <f t="shared" si="4"/>
        <v>#DIV/0!</v>
      </c>
      <c r="E27" s="15" t="e">
        <f t="shared" si="4"/>
        <v>#DIV/0!</v>
      </c>
      <c r="F27" s="15" t="e">
        <f t="shared" si="4"/>
        <v>#DIV/0!</v>
      </c>
      <c r="G27" s="15" t="e">
        <f t="shared" si="4"/>
        <v>#DIV/0!</v>
      </c>
      <c r="H27" s="15" t="e">
        <f t="shared" si="4"/>
        <v>#DIV/0!</v>
      </c>
      <c r="I27" s="15" t="e">
        <f t="shared" si="4"/>
        <v>#DIV/0!</v>
      </c>
      <c r="J27" s="99"/>
      <c r="K27" s="99"/>
      <c r="L27" s="99"/>
    </row>
    <row r="28" spans="1:22" ht="31.5" customHeight="1" x14ac:dyDescent="0.5">
      <c r="A28" s="3"/>
      <c r="B28" s="11"/>
      <c r="H28" s="102"/>
      <c r="I28" s="102"/>
      <c r="J28" s="102"/>
      <c r="K28" s="102"/>
      <c r="L28" s="102"/>
    </row>
    <row r="29" spans="1:22" ht="43.5" customHeight="1" x14ac:dyDescent="0.5">
      <c r="A29" s="2" t="s">
        <v>373</v>
      </c>
      <c r="B29" s="11"/>
      <c r="C29" s="6">
        <f>Assumptions.1!I32</f>
        <v>0</v>
      </c>
      <c r="D29" s="6">
        <f>'Dep sch'!N19</f>
        <v>0</v>
      </c>
      <c r="E29" s="6">
        <f>'Dep sch'!N26</f>
        <v>0</v>
      </c>
      <c r="F29" s="6">
        <f>'Dep sch'!N33</f>
        <v>0</v>
      </c>
      <c r="G29" s="6">
        <f>'Dep sch'!N40</f>
        <v>0</v>
      </c>
      <c r="H29" s="6">
        <f>'Dep sch'!N47</f>
        <v>0</v>
      </c>
      <c r="I29" s="6">
        <f>'Dep sch'!N54</f>
        <v>0</v>
      </c>
      <c r="K29" s="99"/>
      <c r="L29" s="99"/>
    </row>
    <row r="30" spans="1:22" ht="43.5" customHeight="1" x14ac:dyDescent="0.5">
      <c r="B30" s="11"/>
      <c r="C30" s="6"/>
      <c r="D30" s="6"/>
      <c r="E30" s="6"/>
      <c r="F30" s="6"/>
      <c r="G30" s="6"/>
      <c r="H30" s="99"/>
      <c r="I30" s="99"/>
      <c r="J30" s="99"/>
      <c r="K30" s="99"/>
      <c r="L30" s="99"/>
    </row>
    <row r="31" spans="1:22" s="16" customFormat="1" ht="40.5" customHeight="1" x14ac:dyDescent="0.5">
      <c r="A31" s="5" t="s">
        <v>374</v>
      </c>
      <c r="C31" s="15">
        <f t="shared" ref="C31:I31" si="5">C27-C29</f>
        <v>0</v>
      </c>
      <c r="D31" s="15" t="e">
        <f t="shared" si="5"/>
        <v>#DIV/0!</v>
      </c>
      <c r="E31" s="15" t="e">
        <f t="shared" si="5"/>
        <v>#DIV/0!</v>
      </c>
      <c r="F31" s="15" t="e">
        <f t="shared" si="5"/>
        <v>#DIV/0!</v>
      </c>
      <c r="G31" s="15" t="e">
        <f t="shared" si="5"/>
        <v>#DIV/0!</v>
      </c>
      <c r="H31" s="15" t="e">
        <f t="shared" si="5"/>
        <v>#DIV/0!</v>
      </c>
      <c r="I31" s="15" t="e">
        <f t="shared" si="5"/>
        <v>#DIV/0!</v>
      </c>
      <c r="J31" s="100"/>
      <c r="K31" s="100"/>
      <c r="L31" s="100"/>
    </row>
    <row r="32" spans="1:22" ht="31.5" customHeight="1" x14ac:dyDescent="0.5">
      <c r="A32" s="3"/>
      <c r="D32" s="6"/>
      <c r="E32" s="6"/>
      <c r="F32" s="6"/>
      <c r="G32" s="6"/>
      <c r="H32" s="99"/>
      <c r="I32" s="99"/>
      <c r="J32" s="99"/>
      <c r="K32" s="99"/>
      <c r="L32" s="99"/>
    </row>
    <row r="33" spans="1:14" ht="40.5" customHeight="1" x14ac:dyDescent="0.5">
      <c r="A33" s="2" t="s">
        <v>375</v>
      </c>
      <c r="B33" s="11" t="s">
        <v>40</v>
      </c>
      <c r="C33" s="6">
        <f t="shared" ref="C33:I33" si="6">C102</f>
        <v>0</v>
      </c>
      <c r="D33" s="6" t="e">
        <f t="shared" si="6"/>
        <v>#DIV/0!</v>
      </c>
      <c r="E33" s="6" t="e">
        <f t="shared" si="6"/>
        <v>#DIV/0!</v>
      </c>
      <c r="F33" s="6" t="e">
        <f t="shared" si="6"/>
        <v>#DIV/0!</v>
      </c>
      <c r="G33" s="6" t="e">
        <f t="shared" si="6"/>
        <v>#DIV/0!</v>
      </c>
      <c r="H33" s="6" t="e">
        <f t="shared" si="6"/>
        <v>#DIV/0!</v>
      </c>
      <c r="I33" s="6" t="e">
        <f t="shared" si="6"/>
        <v>#DIV/0!</v>
      </c>
      <c r="J33" s="99"/>
      <c r="K33" s="99"/>
      <c r="L33" s="99"/>
    </row>
    <row r="34" spans="1:14" x14ac:dyDescent="0.5">
      <c r="H34" s="99"/>
      <c r="I34" s="99"/>
      <c r="J34" s="99"/>
      <c r="K34" s="99"/>
      <c r="L34" s="99"/>
    </row>
    <row r="35" spans="1:14" s="3" customFormat="1" ht="48" customHeight="1" x14ac:dyDescent="0.5">
      <c r="A35" s="8" t="s">
        <v>376</v>
      </c>
      <c r="B35" s="9"/>
      <c r="C35" s="14">
        <f t="shared" ref="C35:I35" si="7">C31-C33</f>
        <v>0</v>
      </c>
      <c r="D35" s="14" t="e">
        <f t="shared" si="7"/>
        <v>#DIV/0!</v>
      </c>
      <c r="E35" s="14" t="e">
        <f t="shared" si="7"/>
        <v>#DIV/0!</v>
      </c>
      <c r="F35" s="14" t="e">
        <f t="shared" si="7"/>
        <v>#DIV/0!</v>
      </c>
      <c r="G35" s="14" t="e">
        <f t="shared" si="7"/>
        <v>#DIV/0!</v>
      </c>
      <c r="H35" s="14" t="e">
        <f t="shared" si="7"/>
        <v>#DIV/0!</v>
      </c>
      <c r="I35" s="14" t="e">
        <f t="shared" si="7"/>
        <v>#DIV/0!</v>
      </c>
      <c r="J35" s="101"/>
      <c r="K35" s="101"/>
      <c r="L35" s="101"/>
    </row>
    <row r="36" spans="1:14" s="3" customFormat="1" ht="35.25" customHeight="1" x14ac:dyDescent="0.5">
      <c r="A36" s="8"/>
      <c r="B36" s="9"/>
      <c r="H36" s="194"/>
      <c r="I36" s="194"/>
      <c r="J36" s="194"/>
      <c r="K36" s="194"/>
      <c r="L36" s="194"/>
      <c r="M36" s="194"/>
      <c r="N36" s="194"/>
    </row>
    <row r="37" spans="1:14" ht="26.4" thickBot="1" x14ac:dyDescent="0.55000000000000004">
      <c r="A37" s="12"/>
      <c r="B37" s="12"/>
      <c r="C37" s="12"/>
      <c r="D37" s="12"/>
      <c r="E37" s="12"/>
      <c r="F37" s="12"/>
      <c r="G37" s="12"/>
      <c r="H37" s="12"/>
      <c r="I37" s="12"/>
    </row>
    <row r="38" spans="1:14" x14ac:dyDescent="0.5">
      <c r="C38" s="151"/>
      <c r="D38" s="151"/>
      <c r="E38" s="151"/>
      <c r="F38" s="151"/>
    </row>
    <row r="39" spans="1:14" x14ac:dyDescent="0.5">
      <c r="C39" s="151"/>
      <c r="D39" s="151"/>
      <c r="E39" s="151"/>
      <c r="F39" s="151"/>
    </row>
    <row r="40" spans="1:14" x14ac:dyDescent="0.5">
      <c r="C40" s="203"/>
      <c r="D40" s="151"/>
      <c r="E40" s="203"/>
      <c r="F40" s="151"/>
    </row>
    <row r="41" spans="1:14" x14ac:dyDescent="0.5">
      <c r="C41" s="151"/>
      <c r="D41" s="151"/>
      <c r="E41" s="151"/>
      <c r="F41" s="151"/>
    </row>
    <row r="42" spans="1:14" x14ac:dyDescent="0.5">
      <c r="C42" s="151"/>
      <c r="D42" s="151"/>
      <c r="E42" s="151"/>
      <c r="F42" s="151"/>
    </row>
    <row r="43" spans="1:14" ht="44.25" customHeight="1" x14ac:dyDescent="0.7">
      <c r="A43" s="1"/>
      <c r="B43" s="1"/>
      <c r="C43" s="1"/>
      <c r="D43" s="1"/>
      <c r="E43" s="1"/>
      <c r="F43" s="1"/>
      <c r="N43" s="127"/>
    </row>
    <row r="44" spans="1:14" ht="48.75" customHeight="1" x14ac:dyDescent="0.5">
      <c r="A44" s="455" t="s">
        <v>254</v>
      </c>
      <c r="B44" s="455"/>
      <c r="C44" s="455"/>
      <c r="D44" s="455"/>
      <c r="E44" s="455"/>
      <c r="F44" s="455"/>
      <c r="G44" s="455"/>
      <c r="H44" s="455"/>
      <c r="I44" s="455"/>
    </row>
    <row r="45" spans="1:14" ht="59.25" customHeight="1" x14ac:dyDescent="0.5">
      <c r="A45" s="453" t="s">
        <v>23</v>
      </c>
      <c r="B45" s="453"/>
      <c r="C45" s="307" t="str">
        <f t="shared" ref="C45:G46" si="8">C5</f>
        <v>Provisional / Audited</v>
      </c>
      <c r="D45" s="105" t="str">
        <f t="shared" si="8"/>
        <v>Estimated</v>
      </c>
      <c r="E45" s="105" t="str">
        <f t="shared" si="8"/>
        <v>Projected</v>
      </c>
      <c r="F45" s="105" t="str">
        <f t="shared" si="8"/>
        <v>Projected</v>
      </c>
      <c r="G45" s="105" t="str">
        <f t="shared" si="8"/>
        <v>Projected</v>
      </c>
      <c r="H45" s="105" t="str">
        <f>H5</f>
        <v>Projected</v>
      </c>
      <c r="I45" s="105" t="str">
        <f>I5</f>
        <v>Projected</v>
      </c>
    </row>
    <row r="46" spans="1:14" ht="30.75" customHeight="1" thickBot="1" x14ac:dyDescent="0.55000000000000004">
      <c r="A46" s="454"/>
      <c r="B46" s="454"/>
      <c r="C46" s="167">
        <f t="shared" si="8"/>
        <v>0</v>
      </c>
      <c r="D46" s="167">
        <f t="shared" si="8"/>
        <v>0</v>
      </c>
      <c r="E46" s="167">
        <f t="shared" si="8"/>
        <v>0</v>
      </c>
      <c r="F46" s="167">
        <f t="shared" si="8"/>
        <v>0</v>
      </c>
      <c r="G46" s="167">
        <f t="shared" si="8"/>
        <v>0</v>
      </c>
      <c r="H46" s="167">
        <f>H6</f>
        <v>0</v>
      </c>
      <c r="I46" s="167">
        <f>I6</f>
        <v>0</v>
      </c>
    </row>
    <row r="47" spans="1:14" ht="33.75" customHeight="1" thickTop="1" x14ac:dyDescent="0.5">
      <c r="A47" s="47" t="s">
        <v>8</v>
      </c>
    </row>
    <row r="48" spans="1:14" ht="30.6" x14ac:dyDescent="0.55000000000000004">
      <c r="D48" s="172"/>
      <c r="E48" s="172"/>
      <c r="F48" s="172"/>
    </row>
    <row r="49" spans="1:10" ht="42.75" customHeight="1" x14ac:dyDescent="0.5">
      <c r="A49" s="2" t="s">
        <v>109</v>
      </c>
      <c r="C49" s="6">
        <f>Assumptions.1!I40</f>
        <v>0</v>
      </c>
      <c r="D49" s="56" t="e">
        <f t="shared" ref="D49:I49" si="9">D60-SUM(D51:D58)</f>
        <v>#DIV/0!</v>
      </c>
      <c r="E49" s="56" t="e">
        <f>E60-SUM(E51:E58)</f>
        <v>#DIV/0!</v>
      </c>
      <c r="F49" s="56" t="e">
        <f t="shared" si="9"/>
        <v>#DIV/0!</v>
      </c>
      <c r="G49" s="56" t="e">
        <f t="shared" si="9"/>
        <v>#DIV/0!</v>
      </c>
      <c r="H49" s="56" t="e">
        <f t="shared" si="9"/>
        <v>#DIV/0!</v>
      </c>
      <c r="I49" s="56" t="e">
        <f t="shared" si="9"/>
        <v>#DIV/0!</v>
      </c>
    </row>
    <row r="50" spans="1:10" ht="42.75" customHeight="1" x14ac:dyDescent="0.5">
      <c r="A50" s="69" t="s">
        <v>110</v>
      </c>
      <c r="B50" s="10"/>
      <c r="J50"/>
    </row>
    <row r="51" spans="1:10" ht="42.75" customHeight="1" x14ac:dyDescent="0.5">
      <c r="A51" s="3" t="s">
        <v>108</v>
      </c>
      <c r="B51" s="10"/>
    </row>
    <row r="52" spans="1:10" ht="39" customHeight="1" x14ac:dyDescent="0.5">
      <c r="A52" s="2" t="s">
        <v>166</v>
      </c>
      <c r="C52" s="51">
        <f>Assumptions.1!I41</f>
        <v>0</v>
      </c>
      <c r="D52" s="6">
        <f>C52-Assumptions.1!I119</f>
        <v>0</v>
      </c>
      <c r="E52" s="6">
        <f>D52-Assumptions.1!I119</f>
        <v>0</v>
      </c>
      <c r="F52" s="6">
        <f>E52-Assumptions.1!I119</f>
        <v>0</v>
      </c>
      <c r="G52" s="6">
        <f>F52-Assumptions.1!I119</f>
        <v>0</v>
      </c>
      <c r="H52" s="6">
        <f>G52-Assumptions.1!I119</f>
        <v>0</v>
      </c>
      <c r="I52" s="6">
        <f>H52-Assumptions.1!I119</f>
        <v>0</v>
      </c>
    </row>
    <row r="53" spans="1:10" ht="42.75" customHeight="1" x14ac:dyDescent="0.5">
      <c r="A53" s="2" t="s">
        <v>325</v>
      </c>
      <c r="B53" s="10"/>
      <c r="C53" s="6">
        <f t="shared" ref="C53:I53" si="10">C119</f>
        <v>0</v>
      </c>
      <c r="D53" s="6" t="e">
        <f>D119</f>
        <v>#DIV/0!</v>
      </c>
      <c r="E53" s="6" t="e">
        <f t="shared" si="10"/>
        <v>#DIV/0!</v>
      </c>
      <c r="F53" s="6" t="e">
        <f t="shared" si="10"/>
        <v>#DIV/0!</v>
      </c>
      <c r="G53" s="6" t="e">
        <f t="shared" si="10"/>
        <v>#DIV/0!</v>
      </c>
      <c r="H53" s="6" t="e">
        <f t="shared" si="10"/>
        <v>#DIV/0!</v>
      </c>
      <c r="I53" s="6" t="e">
        <f t="shared" si="10"/>
        <v>#DIV/0!</v>
      </c>
    </row>
    <row r="54" spans="1:10" ht="36.75" customHeight="1" x14ac:dyDescent="0.5"/>
    <row r="55" spans="1:10" ht="42.75" customHeight="1" x14ac:dyDescent="0.5">
      <c r="A55" s="3" t="s">
        <v>115</v>
      </c>
      <c r="B55" s="1"/>
    </row>
    <row r="56" spans="1:10" ht="42.75" customHeight="1" x14ac:dyDescent="0.5">
      <c r="A56" s="2" t="s">
        <v>171</v>
      </c>
      <c r="B56" s="10"/>
      <c r="C56" s="51">
        <f>Assumptions.1!I42</f>
        <v>0</v>
      </c>
      <c r="D56" s="51" t="e">
        <f t="shared" ref="D56:I56" si="11">IF(D129&lt;D124,D129,D124)</f>
        <v>#DIV/0!</v>
      </c>
      <c r="E56" s="51" t="e">
        <f t="shared" si="11"/>
        <v>#DIV/0!</v>
      </c>
      <c r="F56" s="51" t="e">
        <f t="shared" si="11"/>
        <v>#DIV/0!</v>
      </c>
      <c r="G56" s="51" t="e">
        <f t="shared" si="11"/>
        <v>#DIV/0!</v>
      </c>
      <c r="H56" s="51" t="e">
        <f t="shared" si="11"/>
        <v>#DIV/0!</v>
      </c>
      <c r="I56" s="51" t="e">
        <f t="shared" si="11"/>
        <v>#DIV/0!</v>
      </c>
    </row>
    <row r="57" spans="1:10" ht="51" customHeight="1" x14ac:dyDescent="0.5">
      <c r="A57" s="2" t="s">
        <v>273</v>
      </c>
      <c r="C57" s="6">
        <f>Assumptions.1!I43</f>
        <v>0</v>
      </c>
      <c r="D57" s="6">
        <v>10000000</v>
      </c>
      <c r="E57" s="6">
        <v>10000000</v>
      </c>
      <c r="F57" s="6">
        <v>10000000</v>
      </c>
      <c r="G57" s="6">
        <v>10000000</v>
      </c>
      <c r="H57" s="6">
        <v>10000000</v>
      </c>
      <c r="I57" s="6">
        <v>10000000</v>
      </c>
    </row>
    <row r="58" spans="1:10" ht="45" customHeight="1" x14ac:dyDescent="0.5">
      <c r="A58" s="2" t="str">
        <f>'Repayment sch'!A22</f>
        <v>Short Term Loan Outstanding</v>
      </c>
      <c r="B58" s="10"/>
      <c r="C58" s="6">
        <f t="shared" ref="C58:I58" si="12">C118</f>
        <v>0</v>
      </c>
      <c r="D58" s="6" t="e">
        <f t="shared" si="12"/>
        <v>#DIV/0!</v>
      </c>
      <c r="E58" s="6" t="e">
        <f>E118</f>
        <v>#DIV/0!</v>
      </c>
      <c r="F58" s="6" t="e">
        <f t="shared" si="12"/>
        <v>#DIV/0!</v>
      </c>
      <c r="G58" s="6" t="e">
        <f t="shared" si="12"/>
        <v>#DIV/0!</v>
      </c>
      <c r="H58" s="6" t="e">
        <f t="shared" si="12"/>
        <v>#DIV/0!</v>
      </c>
      <c r="I58" s="6" t="e">
        <f t="shared" si="12"/>
        <v>#DIV/0!</v>
      </c>
    </row>
    <row r="59" spans="1:10" ht="48.75" customHeight="1" x14ac:dyDescent="0.5">
      <c r="A59" s="3"/>
      <c r="B59" s="10"/>
    </row>
    <row r="60" spans="1:10" ht="47.25" customHeight="1" thickBot="1" x14ac:dyDescent="0.55000000000000004">
      <c r="C60" s="13">
        <f>SUM(C49:C58)</f>
        <v>0</v>
      </c>
      <c r="D60" s="13" t="e">
        <f t="shared" ref="D60:I60" si="13">D75</f>
        <v>#DIV/0!</v>
      </c>
      <c r="E60" s="13" t="e">
        <f>E75</f>
        <v>#DIV/0!</v>
      </c>
      <c r="F60" s="13" t="e">
        <f t="shared" si="13"/>
        <v>#DIV/0!</v>
      </c>
      <c r="G60" s="13" t="e">
        <f t="shared" si="13"/>
        <v>#DIV/0!</v>
      </c>
      <c r="H60" s="13" t="e">
        <f t="shared" si="13"/>
        <v>#DIV/0!</v>
      </c>
      <c r="I60" s="13" t="e">
        <f t="shared" si="13"/>
        <v>#DIV/0!</v>
      </c>
    </row>
    <row r="61" spans="1:10" ht="47.25" customHeight="1" thickTop="1" x14ac:dyDescent="0.5">
      <c r="C61" s="7"/>
      <c r="D61" s="7"/>
      <c r="E61" s="7"/>
      <c r="F61" s="7"/>
    </row>
    <row r="62" spans="1:10" x14ac:dyDescent="0.5">
      <c r="C62" s="456"/>
      <c r="D62" s="456"/>
      <c r="E62" s="456"/>
      <c r="F62" s="456"/>
      <c r="G62" s="456"/>
      <c r="H62" s="456"/>
      <c r="I62" s="456"/>
    </row>
    <row r="63" spans="1:10" ht="36.75" customHeight="1" x14ac:dyDescent="0.5">
      <c r="A63" s="47" t="s">
        <v>9</v>
      </c>
    </row>
    <row r="64" spans="1:10" ht="36.75" customHeight="1" x14ac:dyDescent="0.5">
      <c r="A64" s="5"/>
    </row>
    <row r="65" spans="1:14" ht="36.75" customHeight="1" x14ac:dyDescent="0.5">
      <c r="A65" s="3" t="s">
        <v>111</v>
      </c>
      <c r="C65" s="6">
        <f>Assumptions.1!I44</f>
        <v>0</v>
      </c>
      <c r="D65" s="6">
        <f>'Dep sch'!N20</f>
        <v>0</v>
      </c>
      <c r="E65" s="6">
        <f>'Dep sch'!N27</f>
        <v>0</v>
      </c>
      <c r="F65" s="6">
        <f>'Dep sch'!N34</f>
        <v>0</v>
      </c>
      <c r="G65" s="6">
        <f>'Dep sch'!N41</f>
        <v>0</v>
      </c>
      <c r="H65" s="6">
        <f>'Dep sch'!N48</f>
        <v>0</v>
      </c>
      <c r="I65" s="6">
        <f>'Dep sch'!N55</f>
        <v>0</v>
      </c>
    </row>
    <row r="66" spans="1:14" ht="31.5" customHeight="1" x14ac:dyDescent="0.5">
      <c r="C66" s="6"/>
      <c r="D66" s="6"/>
      <c r="E66" s="6"/>
      <c r="F66" s="6"/>
    </row>
    <row r="67" spans="1:14" ht="31.5" customHeight="1" x14ac:dyDescent="0.5">
      <c r="A67" s="3" t="s">
        <v>168</v>
      </c>
      <c r="C67" s="2">
        <f>Assumptions.1!I47</f>
        <v>0</v>
      </c>
      <c r="D67" s="2">
        <f t="shared" ref="D67:I67" si="14">C67</f>
        <v>0</v>
      </c>
      <c r="E67" s="2">
        <f t="shared" si="14"/>
        <v>0</v>
      </c>
      <c r="F67" s="2">
        <f t="shared" si="14"/>
        <v>0</v>
      </c>
      <c r="G67" s="2">
        <f t="shared" si="14"/>
        <v>0</v>
      </c>
      <c r="H67" s="2">
        <f t="shared" si="14"/>
        <v>0</v>
      </c>
      <c r="I67" s="2">
        <f t="shared" si="14"/>
        <v>0</v>
      </c>
    </row>
    <row r="68" spans="1:14" ht="31.5" customHeight="1" x14ac:dyDescent="0.5">
      <c r="C68" s="6"/>
      <c r="D68" s="6"/>
      <c r="E68" s="6"/>
      <c r="F68" s="6"/>
    </row>
    <row r="69" spans="1:14" ht="42.75" customHeight="1" x14ac:dyDescent="0.5">
      <c r="A69" s="3" t="s">
        <v>112</v>
      </c>
      <c r="B69" s="10"/>
    </row>
    <row r="70" spans="1:14" ht="42.75" customHeight="1" x14ac:dyDescent="0.5">
      <c r="A70" s="2" t="s">
        <v>169</v>
      </c>
      <c r="C70" s="6">
        <f>Assumptions.1!I50</f>
        <v>0</v>
      </c>
      <c r="D70" s="2">
        <v>2000000</v>
      </c>
      <c r="E70" s="2">
        <v>1700000</v>
      </c>
      <c r="F70" s="2">
        <v>1500000</v>
      </c>
      <c r="G70" s="2">
        <v>1500000</v>
      </c>
      <c r="H70" s="2">
        <v>1500000</v>
      </c>
      <c r="I70" s="2">
        <v>1500000</v>
      </c>
    </row>
    <row r="71" spans="1:14" ht="42.75" customHeight="1" x14ac:dyDescent="0.5">
      <c r="A71" s="2" t="str">
        <f>A18</f>
        <v>Closing Stock(C )</v>
      </c>
      <c r="B71" s="10"/>
      <c r="C71" s="2">
        <f t="shared" ref="C71:I71" si="15">C18</f>
        <v>0</v>
      </c>
      <c r="D71" s="2">
        <f t="shared" si="15"/>
        <v>0</v>
      </c>
      <c r="E71" s="6">
        <f t="shared" si="15"/>
        <v>0</v>
      </c>
      <c r="F71" s="6">
        <f t="shared" si="15"/>
        <v>0</v>
      </c>
      <c r="G71" s="6">
        <f t="shared" si="15"/>
        <v>0</v>
      </c>
      <c r="H71" s="6">
        <f t="shared" si="15"/>
        <v>0</v>
      </c>
      <c r="I71" s="6">
        <f t="shared" si="15"/>
        <v>0</v>
      </c>
    </row>
    <row r="72" spans="1:14" ht="44.25" customHeight="1" x14ac:dyDescent="0.5">
      <c r="A72" s="2" t="s">
        <v>4</v>
      </c>
      <c r="C72" s="6">
        <f>Assumptions.1!I48</f>
        <v>0</v>
      </c>
      <c r="D72" s="6" t="e">
        <f>D10*Assumptions.1!I91</f>
        <v>#DIV/0!</v>
      </c>
      <c r="E72" s="6" t="e">
        <f>E10*Assumptions.1!I92</f>
        <v>#DIV/0!</v>
      </c>
      <c r="F72" s="6" t="e">
        <f>F10*Assumptions.1!I93</f>
        <v>#DIV/0!</v>
      </c>
      <c r="G72" s="6" t="e">
        <f>G10*Assumptions.1!I94</f>
        <v>#DIV/0!</v>
      </c>
      <c r="H72" s="6" t="e">
        <f>H10*Assumptions.1!I95</f>
        <v>#DIV/0!</v>
      </c>
      <c r="I72" s="6" t="e">
        <f>I10*Assumptions.1!I96</f>
        <v>#DIV/0!</v>
      </c>
    </row>
    <row r="73" spans="1:14" ht="39" customHeight="1" x14ac:dyDescent="0.5">
      <c r="A73" s="2" t="s">
        <v>72</v>
      </c>
      <c r="C73" s="6">
        <f>Assumptions.1!I49</f>
        <v>0</v>
      </c>
      <c r="D73" s="2" t="e">
        <f>D56*Assumptions.1!I75</f>
        <v>#DIV/0!</v>
      </c>
      <c r="E73" s="2" t="e">
        <f>E56*Assumptions.1!I76</f>
        <v>#DIV/0!</v>
      </c>
      <c r="F73" s="6" t="e">
        <f>F56*Assumptions.1!I77</f>
        <v>#DIV/0!</v>
      </c>
      <c r="G73" s="6" t="e">
        <f>G56*Assumptions.1!I78</f>
        <v>#DIV/0!</v>
      </c>
      <c r="H73" s="6" t="e">
        <f>H56*Assumptions.1!I79</f>
        <v>#DIV/0!</v>
      </c>
      <c r="I73" s="6" t="e">
        <f>I56*Assumptions.1!I80</f>
        <v>#DIV/0!</v>
      </c>
      <c r="L73" s="287"/>
    </row>
    <row r="74" spans="1:14" ht="39" customHeight="1" x14ac:dyDescent="0.5">
      <c r="C74" s="6"/>
    </row>
    <row r="75" spans="1:14" ht="53.25" customHeight="1" thickBot="1" x14ac:dyDescent="0.55000000000000004">
      <c r="C75" s="13">
        <f>SUM(C65:C73)</f>
        <v>0</v>
      </c>
      <c r="D75" s="13" t="e">
        <f t="shared" ref="D75:I75" si="16">SUM(D64:D74)</f>
        <v>#DIV/0!</v>
      </c>
      <c r="E75" s="13" t="e">
        <f t="shared" si="16"/>
        <v>#DIV/0!</v>
      </c>
      <c r="F75" s="13" t="e">
        <f t="shared" si="16"/>
        <v>#DIV/0!</v>
      </c>
      <c r="G75" s="13" t="e">
        <f t="shared" si="16"/>
        <v>#DIV/0!</v>
      </c>
      <c r="H75" s="13" t="e">
        <f t="shared" si="16"/>
        <v>#DIV/0!</v>
      </c>
      <c r="I75" s="13" t="e">
        <f t="shared" si="16"/>
        <v>#DIV/0!</v>
      </c>
    </row>
    <row r="76" spans="1:14" ht="30.75" customHeight="1" thickTop="1" x14ac:dyDescent="0.5">
      <c r="C76" s="7">
        <f t="shared" ref="C76:I76" si="17">C60-C75</f>
        <v>0</v>
      </c>
      <c r="D76" s="7" t="e">
        <f t="shared" si="17"/>
        <v>#DIV/0!</v>
      </c>
      <c r="E76" s="7" t="e">
        <f t="shared" si="17"/>
        <v>#DIV/0!</v>
      </c>
      <c r="F76" s="7" t="e">
        <f t="shared" si="17"/>
        <v>#DIV/0!</v>
      </c>
      <c r="G76" s="7" t="e">
        <f t="shared" si="17"/>
        <v>#DIV/0!</v>
      </c>
      <c r="H76" s="7" t="e">
        <f t="shared" si="17"/>
        <v>#DIV/0!</v>
      </c>
      <c r="I76" s="7" t="e">
        <f t="shared" si="17"/>
        <v>#DIV/0!</v>
      </c>
    </row>
    <row r="77" spans="1:14" ht="30.75" customHeight="1" x14ac:dyDescent="0.5">
      <c r="C77" s="7"/>
      <c r="D77" s="7"/>
      <c r="E77" s="7"/>
      <c r="F77" s="7"/>
    </row>
    <row r="78" spans="1:14" ht="36.75" customHeight="1" x14ac:dyDescent="0.55000000000000004">
      <c r="C78" s="456"/>
      <c r="D78" s="456"/>
      <c r="E78" s="456"/>
      <c r="F78" s="456"/>
      <c r="G78" s="456"/>
      <c r="H78" s="456"/>
      <c r="I78" s="456"/>
      <c r="J78" s="170"/>
      <c r="K78" s="170"/>
      <c r="L78" s="170"/>
      <c r="M78" s="170"/>
      <c r="N78" s="171"/>
    </row>
    <row r="79" spans="1:14" ht="51.75" customHeight="1" x14ac:dyDescent="0.55000000000000004">
      <c r="C79" s="7"/>
      <c r="D79" s="7"/>
      <c r="E79" s="7"/>
      <c r="F79" s="7"/>
      <c r="H79" s="170"/>
      <c r="I79" s="170"/>
      <c r="J79" s="170"/>
      <c r="K79" s="170"/>
      <c r="L79" s="170"/>
      <c r="M79" s="170"/>
      <c r="N79" s="171"/>
    </row>
    <row r="80" spans="1:14" ht="30" customHeight="1" x14ac:dyDescent="0.55000000000000004">
      <c r="A80" s="455" t="s">
        <v>255</v>
      </c>
      <c r="B80" s="455"/>
      <c r="C80" s="455"/>
      <c r="D80" s="455"/>
      <c r="E80" s="455"/>
      <c r="F80" s="455"/>
      <c r="G80" s="455"/>
      <c r="H80" s="455"/>
      <c r="I80" s="455"/>
      <c r="J80" s="170"/>
      <c r="K80" s="170"/>
      <c r="L80" s="170"/>
      <c r="M80" s="170"/>
      <c r="N80" s="171"/>
    </row>
    <row r="81" spans="1:12" ht="95.25" customHeight="1" thickBot="1" x14ac:dyDescent="0.55000000000000004">
      <c r="A81" s="72"/>
      <c r="B81" s="72"/>
      <c r="C81" s="73">
        <f t="shared" ref="C81:I81" si="18">C46</f>
        <v>0</v>
      </c>
      <c r="D81" s="73">
        <f t="shared" si="18"/>
        <v>0</v>
      </c>
      <c r="E81" s="73">
        <f t="shared" si="18"/>
        <v>0</v>
      </c>
      <c r="F81" s="73">
        <f t="shared" si="18"/>
        <v>0</v>
      </c>
      <c r="G81" s="73">
        <f t="shared" si="18"/>
        <v>0</v>
      </c>
      <c r="H81" s="73">
        <f t="shared" si="18"/>
        <v>0</v>
      </c>
      <c r="I81" s="73">
        <f t="shared" si="18"/>
        <v>0</v>
      </c>
    </row>
    <row r="82" spans="1:12" ht="26.4" thickTop="1" x14ac:dyDescent="0.5"/>
    <row r="83" spans="1:12" x14ac:dyDescent="0.5">
      <c r="A83" s="2" t="s">
        <v>81</v>
      </c>
      <c r="C83" s="2">
        <f>Assumptions.1!I31</f>
        <v>0</v>
      </c>
      <c r="D83" s="6" t="e">
        <f t="shared" ref="D83:I83" si="19">C83*D10/C10</f>
        <v>#DIV/0!</v>
      </c>
      <c r="E83" s="6" t="e">
        <f t="shared" si="19"/>
        <v>#DIV/0!</v>
      </c>
      <c r="F83" s="6" t="e">
        <f t="shared" si="19"/>
        <v>#DIV/0!</v>
      </c>
      <c r="G83" s="6" t="e">
        <f t="shared" si="19"/>
        <v>#DIV/0!</v>
      </c>
      <c r="H83" s="6" t="e">
        <f t="shared" si="19"/>
        <v>#DIV/0!</v>
      </c>
      <c r="I83" s="6" t="e">
        <f t="shared" si="19"/>
        <v>#DIV/0!</v>
      </c>
    </row>
    <row r="84" spans="1:12" x14ac:dyDescent="0.5">
      <c r="A84" s="2" t="s">
        <v>205</v>
      </c>
      <c r="C84" s="2">
        <f>Assumptions.1!I33</f>
        <v>0</v>
      </c>
      <c r="D84" s="6">
        <f t="shared" ref="D84:I84" si="20">C84</f>
        <v>0</v>
      </c>
      <c r="E84" s="6">
        <f t="shared" si="20"/>
        <v>0</v>
      </c>
      <c r="F84" s="6">
        <f t="shared" si="20"/>
        <v>0</v>
      </c>
      <c r="G84" s="6">
        <f t="shared" si="20"/>
        <v>0</v>
      </c>
      <c r="H84" s="6">
        <f t="shared" si="20"/>
        <v>0</v>
      </c>
      <c r="I84" s="6">
        <f t="shared" si="20"/>
        <v>0</v>
      </c>
    </row>
    <row r="85" spans="1:12" ht="35.25" customHeight="1" x14ac:dyDescent="0.5">
      <c r="A85" s="2" t="s">
        <v>82</v>
      </c>
      <c r="C85" s="2">
        <f>Assumptions.1!I34</f>
        <v>0</v>
      </c>
      <c r="D85" s="6" t="e">
        <f t="shared" ref="D85:I85" si="21">C85*D10/C10</f>
        <v>#DIV/0!</v>
      </c>
      <c r="E85" s="6" t="e">
        <f t="shared" si="21"/>
        <v>#DIV/0!</v>
      </c>
      <c r="F85" s="6" t="e">
        <f t="shared" si="21"/>
        <v>#DIV/0!</v>
      </c>
      <c r="G85" s="6" t="e">
        <f t="shared" si="21"/>
        <v>#DIV/0!</v>
      </c>
      <c r="H85" s="6" t="e">
        <f t="shared" si="21"/>
        <v>#DIV/0!</v>
      </c>
      <c r="I85" s="6" t="e">
        <f t="shared" si="21"/>
        <v>#DIV/0!</v>
      </c>
      <c r="J85" s="6"/>
      <c r="K85" s="6"/>
      <c r="L85" s="6"/>
    </row>
    <row r="86" spans="1:12" ht="35.25" customHeight="1" x14ac:dyDescent="0.5">
      <c r="A86" s="2" t="s">
        <v>321</v>
      </c>
      <c r="C86" s="6">
        <f>Assumptions.1!I35</f>
        <v>0</v>
      </c>
      <c r="D86" s="6">
        <f>Assumptions.1!I12*Assumptions.1!I14</f>
        <v>0</v>
      </c>
      <c r="E86" s="6">
        <f>D86</f>
        <v>0</v>
      </c>
      <c r="F86" s="6">
        <f>E86</f>
        <v>0</v>
      </c>
      <c r="G86" s="6">
        <f>F86</f>
        <v>0</v>
      </c>
      <c r="H86" s="6">
        <f>G86</f>
        <v>0</v>
      </c>
      <c r="I86" s="6">
        <f>H86</f>
        <v>0</v>
      </c>
      <c r="J86" s="6"/>
      <c r="K86" s="6"/>
      <c r="L86" s="6"/>
    </row>
    <row r="87" spans="1:12" ht="35.25" customHeight="1" x14ac:dyDescent="0.5">
      <c r="A87" s="2" t="s">
        <v>324</v>
      </c>
      <c r="C87" s="2">
        <v>0</v>
      </c>
      <c r="D87" s="6">
        <f>Assumptions.1!I70*Assumptions.1!I64*100000</f>
        <v>0</v>
      </c>
      <c r="E87" s="6">
        <v>0</v>
      </c>
      <c r="F87" s="6">
        <v>0</v>
      </c>
      <c r="G87" s="2">
        <v>0</v>
      </c>
      <c r="H87" s="2">
        <v>0</v>
      </c>
      <c r="I87" s="2">
        <v>0</v>
      </c>
      <c r="J87" s="6"/>
      <c r="K87" s="6"/>
      <c r="L87" s="6"/>
    </row>
    <row r="88" spans="1:12" ht="41.25" customHeight="1" x14ac:dyDescent="0.5">
      <c r="A88" s="2" t="s">
        <v>326</v>
      </c>
      <c r="C88" s="6">
        <f>Assumptions.1!I39</f>
        <v>0</v>
      </c>
      <c r="D88" s="6" t="e">
        <f t="shared" ref="D88:I88" si="22">C88*D10/C10</f>
        <v>#DIV/0!</v>
      </c>
      <c r="E88" s="6" t="e">
        <f t="shared" si="22"/>
        <v>#DIV/0!</v>
      </c>
      <c r="F88" s="6" t="e">
        <f t="shared" si="22"/>
        <v>#DIV/0!</v>
      </c>
      <c r="G88" s="6" t="e">
        <f t="shared" si="22"/>
        <v>#DIV/0!</v>
      </c>
      <c r="H88" s="6" t="e">
        <f t="shared" si="22"/>
        <v>#DIV/0!</v>
      </c>
      <c r="I88" s="6" t="e">
        <f t="shared" si="22"/>
        <v>#DIV/0!</v>
      </c>
      <c r="J88" s="103"/>
      <c r="K88" s="103"/>
    </row>
    <row r="89" spans="1:12" ht="27.75" customHeight="1" x14ac:dyDescent="0.5">
      <c r="D89" s="6"/>
      <c r="E89" s="6"/>
      <c r="F89" s="6"/>
    </row>
    <row r="90" spans="1:12" ht="27.75" customHeight="1" x14ac:dyDescent="0.5">
      <c r="E90" s="6"/>
      <c r="F90" s="6"/>
    </row>
    <row r="92" spans="1:12" ht="50.25" customHeight="1" x14ac:dyDescent="0.5">
      <c r="C92" s="54">
        <f>SUM(C83:C90)</f>
        <v>0</v>
      </c>
      <c r="D92" s="54" t="e">
        <f t="shared" ref="D92:I92" si="23">SUM(D83:D90)</f>
        <v>#DIV/0!</v>
      </c>
      <c r="E92" s="54" t="e">
        <f t="shared" si="23"/>
        <v>#DIV/0!</v>
      </c>
      <c r="F92" s="54" t="e">
        <f t="shared" si="23"/>
        <v>#DIV/0!</v>
      </c>
      <c r="G92" s="54" t="e">
        <f t="shared" si="23"/>
        <v>#DIV/0!</v>
      </c>
      <c r="H92" s="54" t="e">
        <f t="shared" si="23"/>
        <v>#DIV/0!</v>
      </c>
      <c r="I92" s="54" t="e">
        <f t="shared" si="23"/>
        <v>#DIV/0!</v>
      </c>
    </row>
    <row r="93" spans="1:12" ht="50.25" customHeight="1" x14ac:dyDescent="0.5">
      <c r="C93" s="3"/>
      <c r="D93" s="7"/>
      <c r="E93" s="7"/>
      <c r="F93" s="7"/>
    </row>
    <row r="94" spans="1:12" ht="34.5" customHeight="1" x14ac:dyDescent="0.5">
      <c r="C94" s="456"/>
      <c r="D94" s="456"/>
      <c r="E94" s="456"/>
      <c r="F94" s="456"/>
      <c r="G94" s="456"/>
      <c r="H94" s="456"/>
      <c r="I94" s="456"/>
    </row>
    <row r="95" spans="1:12" ht="40.5" customHeight="1" x14ac:dyDescent="0.5">
      <c r="A95" s="455" t="s">
        <v>256</v>
      </c>
      <c r="B95" s="455"/>
      <c r="C95" s="455"/>
      <c r="D95" s="455"/>
      <c r="E95" s="455"/>
      <c r="F95" s="455"/>
      <c r="G95" s="455"/>
      <c r="H95" s="455"/>
      <c r="I95" s="455"/>
    </row>
    <row r="96" spans="1:12" ht="98.25" customHeight="1" thickBot="1" x14ac:dyDescent="0.55000000000000004">
      <c r="A96" s="72"/>
      <c r="B96" s="72"/>
      <c r="C96" s="73">
        <f t="shared" ref="C96:I96" si="24">C81</f>
        <v>0</v>
      </c>
      <c r="D96" s="73">
        <f t="shared" si="24"/>
        <v>0</v>
      </c>
      <c r="E96" s="73">
        <f t="shared" si="24"/>
        <v>0</v>
      </c>
      <c r="F96" s="73">
        <f t="shared" si="24"/>
        <v>0</v>
      </c>
      <c r="G96" s="73">
        <f t="shared" si="24"/>
        <v>0</v>
      </c>
      <c r="H96" s="73">
        <f t="shared" si="24"/>
        <v>0</v>
      </c>
      <c r="I96" s="73">
        <f t="shared" si="24"/>
        <v>0</v>
      </c>
    </row>
    <row r="97" spans="1:9" ht="32.25" customHeight="1" thickTop="1" x14ac:dyDescent="0.5">
      <c r="C97" s="4"/>
      <c r="D97" s="4"/>
      <c r="E97" s="4"/>
      <c r="F97" s="4"/>
    </row>
    <row r="98" spans="1:9" ht="33" customHeight="1" x14ac:dyDescent="0.5">
      <c r="A98" s="2" t="s">
        <v>323</v>
      </c>
      <c r="C98" s="51">
        <f>Assumptions.1!I37</f>
        <v>0</v>
      </c>
      <c r="D98" s="6" t="e">
        <f>C98*D52/C52</f>
        <v>#DIV/0!</v>
      </c>
      <c r="E98" s="6">
        <f>IF(D52=0,0,D98*E52/D52)</f>
        <v>0</v>
      </c>
      <c r="F98" s="6" t="e">
        <f>E98*F52/E52</f>
        <v>#DIV/0!</v>
      </c>
      <c r="G98" s="6" t="e">
        <f>F98*G52/F52</f>
        <v>#DIV/0!</v>
      </c>
      <c r="H98" s="6" t="e">
        <f>G98*H52/G52</f>
        <v>#DIV/0!</v>
      </c>
      <c r="I98" s="6" t="e">
        <f>H98/2</f>
        <v>#DIV/0!</v>
      </c>
    </row>
    <row r="99" spans="1:9" ht="33" customHeight="1" x14ac:dyDescent="0.5">
      <c r="A99" s="2" t="s">
        <v>98</v>
      </c>
      <c r="C99" s="51">
        <f>Assumptions.1!I36</f>
        <v>0</v>
      </c>
      <c r="D99" s="6" t="e">
        <f>Assumptions.1!I13*'Working for PL &amp; BS'!D56</f>
        <v>#DIV/0!</v>
      </c>
      <c r="E99" s="6" t="e">
        <f>D99*Assumptions.1!I103</f>
        <v>#DIV/0!</v>
      </c>
      <c r="F99" s="6" t="e">
        <f>E99*Assumptions.1!I103</f>
        <v>#DIV/0!</v>
      </c>
      <c r="G99" s="6" t="e">
        <f>F99*Assumptions.1!I103</f>
        <v>#DIV/0!</v>
      </c>
      <c r="H99" s="6" t="e">
        <f>G99*Assumptions.1!I103</f>
        <v>#DIV/0!</v>
      </c>
      <c r="I99" s="6" t="e">
        <f>H99*Assumptions.1!I103</f>
        <v>#DIV/0!</v>
      </c>
    </row>
    <row r="100" spans="1:9" ht="33" customHeight="1" x14ac:dyDescent="0.5">
      <c r="A100" s="2" t="s">
        <v>322</v>
      </c>
      <c r="C100" s="6">
        <f t="shared" ref="C100:I100" si="25">C110</f>
        <v>0</v>
      </c>
      <c r="D100" s="6" t="e">
        <f t="shared" si="25"/>
        <v>#DIV/0!</v>
      </c>
      <c r="E100" s="6" t="e">
        <f t="shared" si="25"/>
        <v>#DIV/0!</v>
      </c>
      <c r="F100" s="6" t="e">
        <f t="shared" si="25"/>
        <v>#DIV/0!</v>
      </c>
      <c r="G100" s="6" t="e">
        <f t="shared" si="25"/>
        <v>#DIV/0!</v>
      </c>
      <c r="H100" s="6" t="e">
        <f t="shared" si="25"/>
        <v>#DIV/0!</v>
      </c>
      <c r="I100" s="6" t="e">
        <f t="shared" si="25"/>
        <v>#DIV/0!</v>
      </c>
    </row>
    <row r="101" spans="1:9" ht="34.5" customHeight="1" x14ac:dyDescent="0.5">
      <c r="C101" s="51"/>
      <c r="D101" s="55"/>
      <c r="E101" s="55"/>
      <c r="F101" s="55"/>
    </row>
    <row r="102" spans="1:9" ht="46.5" customHeight="1" x14ac:dyDescent="0.5">
      <c r="C102" s="54">
        <f t="shared" ref="C102:I102" si="26">SUM(C98:C101)</f>
        <v>0</v>
      </c>
      <c r="D102" s="54" t="e">
        <f t="shared" si="26"/>
        <v>#DIV/0!</v>
      </c>
      <c r="E102" s="54" t="e">
        <f t="shared" si="26"/>
        <v>#DIV/0!</v>
      </c>
      <c r="F102" s="54" t="e">
        <f t="shared" si="26"/>
        <v>#DIV/0!</v>
      </c>
      <c r="G102" s="54" t="e">
        <f t="shared" si="26"/>
        <v>#DIV/0!</v>
      </c>
      <c r="H102" s="54" t="e">
        <f t="shared" si="26"/>
        <v>#DIV/0!</v>
      </c>
      <c r="I102" s="54" t="e">
        <f t="shared" si="26"/>
        <v>#DIV/0!</v>
      </c>
    </row>
    <row r="103" spans="1:9" ht="25.5" customHeight="1" x14ac:dyDescent="0.5">
      <c r="C103" s="3"/>
      <c r="D103" s="3"/>
      <c r="E103" s="3"/>
    </row>
    <row r="104" spans="1:9" ht="25.5" customHeight="1" x14ac:dyDescent="0.5">
      <c r="C104" s="456"/>
      <c r="D104" s="456"/>
      <c r="E104" s="456"/>
      <c r="F104" s="456"/>
      <c r="G104" s="456"/>
      <c r="H104" s="456"/>
      <c r="I104" s="456"/>
    </row>
    <row r="107" spans="1:9" x14ac:dyDescent="0.5">
      <c r="A107" s="455" t="s">
        <v>332</v>
      </c>
      <c r="B107" s="455"/>
      <c r="C107" s="455"/>
      <c r="D107" s="455"/>
      <c r="E107" s="455"/>
      <c r="F107" s="455"/>
      <c r="G107" s="455"/>
      <c r="H107" s="455"/>
      <c r="I107" s="455"/>
    </row>
    <row r="108" spans="1:9" ht="75" customHeight="1" thickBot="1" x14ac:dyDescent="0.55000000000000004">
      <c r="A108" s="72"/>
      <c r="B108" s="72"/>
      <c r="C108" s="73">
        <f t="shared" ref="C108:I108" si="27">C96</f>
        <v>0</v>
      </c>
      <c r="D108" s="73">
        <f t="shared" si="27"/>
        <v>0</v>
      </c>
      <c r="E108" s="73">
        <f t="shared" si="27"/>
        <v>0</v>
      </c>
      <c r="F108" s="73">
        <f t="shared" si="27"/>
        <v>0</v>
      </c>
      <c r="G108" s="73">
        <f t="shared" si="27"/>
        <v>0</v>
      </c>
      <c r="H108" s="73">
        <f t="shared" si="27"/>
        <v>0</v>
      </c>
      <c r="I108" s="73">
        <f t="shared" si="27"/>
        <v>0</v>
      </c>
    </row>
    <row r="109" spans="1:9" ht="26.4" thickTop="1" x14ac:dyDescent="0.5">
      <c r="C109" s="4"/>
      <c r="D109" s="4"/>
      <c r="E109" s="4"/>
      <c r="F109" s="4"/>
    </row>
    <row r="110" spans="1:9" x14ac:dyDescent="0.5">
      <c r="A110" s="2" t="s">
        <v>322</v>
      </c>
      <c r="C110" s="51">
        <v>0</v>
      </c>
      <c r="D110" s="6" t="e">
        <f>SUM('Loan Sch'!E24:E29)</f>
        <v>#DIV/0!</v>
      </c>
      <c r="E110" s="6" t="e">
        <f>SUM('Loan Sch'!E30:E41)</f>
        <v>#DIV/0!</v>
      </c>
      <c r="F110" s="6" t="e">
        <f>SUM('Loan Sch'!E42:E53)</f>
        <v>#DIV/0!</v>
      </c>
      <c r="G110" s="6" t="e">
        <f>SUM('Loan Sch'!E54:E65)</f>
        <v>#DIV/0!</v>
      </c>
      <c r="H110" s="6" t="e">
        <f>SUM('Loan Sch'!E66:E77)</f>
        <v>#DIV/0!</v>
      </c>
      <c r="I110" s="6" t="e">
        <f>SUM('Loan Sch'!E78:E89)</f>
        <v>#DIV/0!</v>
      </c>
    </row>
    <row r="111" spans="1:9" ht="26.4" thickBot="1" x14ac:dyDescent="0.55000000000000004">
      <c r="C111" s="285"/>
      <c r="D111" s="286"/>
      <c r="E111" s="286"/>
      <c r="F111" s="286"/>
      <c r="G111" s="286"/>
      <c r="H111" s="286"/>
      <c r="I111" s="286"/>
    </row>
    <row r="112" spans="1:9" ht="67.2" x14ac:dyDescent="0.5">
      <c r="A112" s="247" t="s">
        <v>358</v>
      </c>
      <c r="B112" s="249" t="s">
        <v>327</v>
      </c>
      <c r="C112" s="51">
        <v>0</v>
      </c>
      <c r="D112" s="51" t="e">
        <f>'Repayment sch'!B21</f>
        <v>#DIV/0!</v>
      </c>
      <c r="E112" s="51" t="e">
        <f>'Repayment sch'!C21</f>
        <v>#DIV/0!</v>
      </c>
      <c r="F112" s="51" t="e">
        <f>'Repayment sch'!D21</f>
        <v>#DIV/0!</v>
      </c>
      <c r="G112" s="51" t="e">
        <f>'Repayment sch'!E21</f>
        <v>#DIV/0!</v>
      </c>
      <c r="H112" s="51" t="e">
        <f>'Repayment sch'!F21</f>
        <v>#DIV/0!</v>
      </c>
      <c r="I112" s="51" t="e">
        <f>'Repayment sch'!G21</f>
        <v>#DIV/0!</v>
      </c>
    </row>
    <row r="113" spans="1:9" x14ac:dyDescent="0.5">
      <c r="A113" s="247"/>
      <c r="B113" s="249"/>
      <c r="C113" s="51"/>
      <c r="D113" s="51"/>
      <c r="E113" s="51"/>
      <c r="F113" s="51"/>
      <c r="G113" s="51"/>
      <c r="H113" s="51"/>
      <c r="I113" s="51"/>
    </row>
    <row r="114" spans="1:9" ht="77.400000000000006" x14ac:dyDescent="0.5">
      <c r="A114" s="247" t="s">
        <v>359</v>
      </c>
      <c r="B114" s="249"/>
      <c r="C114" s="51">
        <v>0</v>
      </c>
      <c r="D114" s="51">
        <f t="shared" ref="D114:I114" si="28">C52-D52</f>
        <v>0</v>
      </c>
      <c r="E114" s="51">
        <f t="shared" si="28"/>
        <v>0</v>
      </c>
      <c r="F114" s="51">
        <f t="shared" si="28"/>
        <v>0</v>
      </c>
      <c r="G114" s="51">
        <f t="shared" si="28"/>
        <v>0</v>
      </c>
      <c r="H114" s="51">
        <f t="shared" si="28"/>
        <v>0</v>
      </c>
      <c r="I114" s="51">
        <f t="shared" si="28"/>
        <v>0</v>
      </c>
    </row>
    <row r="115" spans="1:9" ht="45.75" customHeight="1" x14ac:dyDescent="0.5">
      <c r="A115" s="2" t="s">
        <v>360</v>
      </c>
      <c r="C115" s="6">
        <f t="shared" ref="C115:I115" si="29">C112+C114</f>
        <v>0</v>
      </c>
      <c r="D115" s="6" t="e">
        <f>D112+D114</f>
        <v>#DIV/0!</v>
      </c>
      <c r="E115" s="6" t="e">
        <f t="shared" si="29"/>
        <v>#DIV/0!</v>
      </c>
      <c r="F115" s="6" t="e">
        <f t="shared" si="29"/>
        <v>#DIV/0!</v>
      </c>
      <c r="G115" s="6" t="e">
        <f t="shared" si="29"/>
        <v>#DIV/0!</v>
      </c>
      <c r="H115" s="6" t="e">
        <f t="shared" si="29"/>
        <v>#DIV/0!</v>
      </c>
      <c r="I115" s="6" t="e">
        <f t="shared" si="29"/>
        <v>#DIV/0!</v>
      </c>
    </row>
    <row r="116" spans="1:9" ht="45.75" customHeight="1" thickBot="1" x14ac:dyDescent="0.55000000000000004">
      <c r="C116" s="286"/>
      <c r="D116" s="286"/>
      <c r="E116" s="286"/>
      <c r="F116" s="286"/>
      <c r="G116" s="286"/>
      <c r="H116" s="286"/>
      <c r="I116" s="286"/>
    </row>
    <row r="117" spans="1:9" ht="51.6" x14ac:dyDescent="0.5">
      <c r="A117" s="247" t="s">
        <v>328</v>
      </c>
      <c r="B117" s="452" t="s">
        <v>333</v>
      </c>
      <c r="C117" s="51">
        <v>0</v>
      </c>
      <c r="D117" s="51" t="e">
        <f>'Loan Sch'!G29</f>
        <v>#DIV/0!</v>
      </c>
      <c r="E117" s="51" t="e">
        <f>'Loan Sch'!G41</f>
        <v>#DIV/0!</v>
      </c>
      <c r="F117" s="51" t="e">
        <f>'Loan Sch'!G53</f>
        <v>#DIV/0!</v>
      </c>
      <c r="G117" s="51" t="e">
        <f>'Loan Sch'!G65</f>
        <v>#DIV/0!</v>
      </c>
      <c r="H117" s="51" t="e">
        <f>'Loan Sch'!G77</f>
        <v>#DIV/0!</v>
      </c>
      <c r="I117" s="51" t="e">
        <f>'Loan Sch'!G89</f>
        <v>#DIV/0!</v>
      </c>
    </row>
    <row r="118" spans="1:9" ht="39.75" customHeight="1" x14ac:dyDescent="0.5">
      <c r="A118" s="2" t="s">
        <v>329</v>
      </c>
      <c r="B118" s="452"/>
      <c r="C118" s="6">
        <v>0</v>
      </c>
      <c r="D118" s="6" t="e">
        <f>'Repayment sch'!B22</f>
        <v>#DIV/0!</v>
      </c>
      <c r="E118" s="6" t="e">
        <f>'Repayment sch'!C22</f>
        <v>#DIV/0!</v>
      </c>
      <c r="F118" s="6" t="e">
        <f>'Repayment sch'!D22</f>
        <v>#DIV/0!</v>
      </c>
      <c r="G118" s="6" t="e">
        <f>'Repayment sch'!E22</f>
        <v>#DIV/0!</v>
      </c>
      <c r="H118" s="6" t="e">
        <f>'Repayment sch'!F22</f>
        <v>#DIV/0!</v>
      </c>
      <c r="I118" s="6" t="e">
        <f>'Repayment sch'!G22</f>
        <v>#DIV/0!</v>
      </c>
    </row>
    <row r="119" spans="1:9" ht="65.25" customHeight="1" x14ac:dyDescent="0.5">
      <c r="A119" s="248" t="s">
        <v>330</v>
      </c>
      <c r="B119" s="452"/>
      <c r="C119" s="6">
        <f t="shared" ref="C119:I119" si="30">C117-C118</f>
        <v>0</v>
      </c>
      <c r="D119" s="6" t="e">
        <f t="shared" si="30"/>
        <v>#DIV/0!</v>
      </c>
      <c r="E119" s="6" t="e">
        <f t="shared" si="30"/>
        <v>#DIV/0!</v>
      </c>
      <c r="F119" s="6" t="e">
        <f t="shared" si="30"/>
        <v>#DIV/0!</v>
      </c>
      <c r="G119" s="6" t="e">
        <f t="shared" si="30"/>
        <v>#DIV/0!</v>
      </c>
      <c r="H119" s="6" t="e">
        <f t="shared" si="30"/>
        <v>#DIV/0!</v>
      </c>
      <c r="I119" s="6" t="e">
        <f t="shared" si="30"/>
        <v>#DIV/0!</v>
      </c>
    </row>
    <row r="120" spans="1:9" ht="26.4" thickBot="1" x14ac:dyDescent="0.55000000000000004">
      <c r="A120" s="12"/>
      <c r="B120" s="12"/>
      <c r="C120" s="12"/>
      <c r="D120" s="12"/>
      <c r="E120" s="12"/>
      <c r="F120" s="12"/>
      <c r="G120" s="12"/>
      <c r="H120" s="12"/>
      <c r="I120" s="12"/>
    </row>
    <row r="123" spans="1:9" x14ac:dyDescent="0.5">
      <c r="A123" s="2" t="s">
        <v>382</v>
      </c>
    </row>
    <row r="124" spans="1:9" x14ac:dyDescent="0.5">
      <c r="A124" s="2" t="s">
        <v>383</v>
      </c>
      <c r="C124" s="2">
        <f>Assumptions.1!I12</f>
        <v>0</v>
      </c>
      <c r="D124" s="2">
        <f>Assumptions.1!I12</f>
        <v>0</v>
      </c>
      <c r="E124" s="2">
        <f>Assumptions.1!I12</f>
        <v>0</v>
      </c>
      <c r="F124" s="2">
        <f>Assumptions.1!I12</f>
        <v>0</v>
      </c>
      <c r="G124" s="2">
        <f>Assumptions.1!I12</f>
        <v>0</v>
      </c>
      <c r="H124" s="2">
        <f>Assumptions.1!I12</f>
        <v>0</v>
      </c>
      <c r="I124" s="2">
        <f>Assumptions.1!I12</f>
        <v>0</v>
      </c>
    </row>
    <row r="126" spans="1:9" x14ac:dyDescent="0.5">
      <c r="A126" s="2" t="s">
        <v>384</v>
      </c>
      <c r="B126" s="287">
        <v>0.75</v>
      </c>
      <c r="C126" s="6">
        <f>B126*C71</f>
        <v>0</v>
      </c>
      <c r="D126" s="6">
        <f>B126*D71</f>
        <v>0</v>
      </c>
      <c r="E126" s="6">
        <f>B126*E71</f>
        <v>0</v>
      </c>
      <c r="F126" s="6">
        <f>B126*F71</f>
        <v>0</v>
      </c>
      <c r="G126" s="6">
        <f>B126*G71</f>
        <v>0</v>
      </c>
      <c r="H126" s="6">
        <f>B126*H71</f>
        <v>0</v>
      </c>
      <c r="I126" s="6">
        <f>B126*I71</f>
        <v>0</v>
      </c>
    </row>
    <row r="127" spans="1:9" x14ac:dyDescent="0.5">
      <c r="A127" s="2" t="s">
        <v>4</v>
      </c>
      <c r="B127" s="287">
        <v>0.5</v>
      </c>
      <c r="C127" s="6">
        <f>B127*C72</f>
        <v>0</v>
      </c>
      <c r="D127" s="6" t="e">
        <f>B127*D72</f>
        <v>#DIV/0!</v>
      </c>
      <c r="E127" s="6" t="e">
        <f>B127*E72</f>
        <v>#DIV/0!</v>
      </c>
      <c r="F127" s="6" t="e">
        <f>B127*F72</f>
        <v>#DIV/0!</v>
      </c>
      <c r="G127" s="6" t="e">
        <f>B127*G72</f>
        <v>#DIV/0!</v>
      </c>
      <c r="H127" s="6" t="e">
        <f>B127*H72</f>
        <v>#DIV/0!</v>
      </c>
      <c r="I127" s="6" t="e">
        <f>B127*I72</f>
        <v>#DIV/0!</v>
      </c>
    </row>
    <row r="128" spans="1:9" x14ac:dyDescent="0.5">
      <c r="C128" s="6"/>
      <c r="D128" s="6"/>
      <c r="E128" s="6"/>
      <c r="F128" s="6"/>
      <c r="G128" s="6"/>
      <c r="H128" s="6"/>
      <c r="I128" s="6"/>
    </row>
    <row r="129" spans="1:9" x14ac:dyDescent="0.5">
      <c r="A129" s="2" t="s">
        <v>385</v>
      </c>
      <c r="C129" s="6">
        <f>C126+C127</f>
        <v>0</v>
      </c>
      <c r="D129" s="6" t="e">
        <f t="shared" ref="D129:I129" si="31">D126+D127</f>
        <v>#DIV/0!</v>
      </c>
      <c r="E129" s="6" t="e">
        <f t="shared" si="31"/>
        <v>#DIV/0!</v>
      </c>
      <c r="F129" s="6" t="e">
        <f t="shared" si="31"/>
        <v>#DIV/0!</v>
      </c>
      <c r="G129" s="6" t="e">
        <f t="shared" si="31"/>
        <v>#DIV/0!</v>
      </c>
      <c r="H129" s="6" t="e">
        <f t="shared" si="31"/>
        <v>#DIV/0!</v>
      </c>
      <c r="I129" s="6" t="e">
        <f t="shared" si="31"/>
        <v>#DIV/0!</v>
      </c>
    </row>
  </sheetData>
  <mergeCells count="18">
    <mergeCell ref="M3:O3"/>
    <mergeCell ref="A44:I44"/>
    <mergeCell ref="A80:I80"/>
    <mergeCell ref="C94:I94"/>
    <mergeCell ref="A1:F1"/>
    <mergeCell ref="A2:F2"/>
    <mergeCell ref="A5:A6"/>
    <mergeCell ref="B5:B6"/>
    <mergeCell ref="C78:I78"/>
    <mergeCell ref="C62:I62"/>
    <mergeCell ref="A3:I3"/>
    <mergeCell ref="A4:I4"/>
    <mergeCell ref="B117:B119"/>
    <mergeCell ref="A45:A46"/>
    <mergeCell ref="B45:B46"/>
    <mergeCell ref="A107:I107"/>
    <mergeCell ref="A95:I95"/>
    <mergeCell ref="C104:I104"/>
  </mergeCells>
  <phoneticPr fontId="2" type="noConversion"/>
  <pageMargins left="0.23622047244094491" right="0.19685039370078741" top="0.39370078740157483" bottom="0.31496062992125984" header="0.23622047244094491" footer="0.15748031496062992"/>
  <pageSetup scale="50" orientation="portrait" r:id="rId1"/>
  <headerFooter alignWithMargins="0"/>
  <rowBreaks count="1" manualBreakCount="1">
    <brk id="7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7124-1C03-4947-98D9-8A2D19B04741}">
  <dimension ref="A1:V101"/>
  <sheetViews>
    <sheetView view="pageBreakPreview" zoomScale="60" zoomScaleNormal="40" workbookViewId="0">
      <selection activeCell="F10" sqref="F10"/>
    </sheetView>
  </sheetViews>
  <sheetFormatPr defaultColWidth="21.88671875" defaultRowHeight="25.8" x14ac:dyDescent="0.5"/>
  <cols>
    <col min="1" max="1" width="52" style="2" customWidth="1"/>
    <col min="2" max="2" width="18.6640625" style="2" customWidth="1"/>
    <col min="3" max="3" width="27.88671875" style="2" customWidth="1"/>
    <col min="4" max="4" width="27.33203125" style="2" customWidth="1"/>
    <col min="5" max="5" width="30.109375" style="2" customWidth="1"/>
    <col min="6" max="6" width="31" style="2" customWidth="1"/>
    <col min="7" max="16384" width="21.88671875" style="2"/>
  </cols>
  <sheetData>
    <row r="1" spans="1:15" x14ac:dyDescent="0.5">
      <c r="A1" s="458" t="s">
        <v>80</v>
      </c>
      <c r="B1" s="458"/>
      <c r="C1" s="458"/>
      <c r="D1" s="458"/>
      <c r="E1" s="458"/>
      <c r="F1" s="458"/>
    </row>
    <row r="2" spans="1:15" x14ac:dyDescent="0.5">
      <c r="A2" s="458">
        <f>Assumptions.1!I5</f>
        <v>0</v>
      </c>
      <c r="B2" s="458"/>
      <c r="C2" s="458"/>
      <c r="D2" s="458"/>
      <c r="E2" s="458"/>
      <c r="F2" s="458"/>
    </row>
    <row r="3" spans="1:15" ht="29.25" customHeight="1" x14ac:dyDescent="0.7">
      <c r="A3" s="458" t="s">
        <v>83</v>
      </c>
      <c r="B3" s="458"/>
      <c r="C3" s="458"/>
      <c r="D3" s="458"/>
      <c r="E3" s="458"/>
      <c r="F3" s="458"/>
      <c r="M3" s="457"/>
      <c r="N3" s="457"/>
      <c r="O3" s="457"/>
    </row>
    <row r="4" spans="1:15" ht="57" customHeight="1" x14ac:dyDescent="0.9">
      <c r="A4" s="462" t="s">
        <v>7</v>
      </c>
      <c r="B4" s="462"/>
      <c r="C4" s="462"/>
      <c r="D4" s="462"/>
      <c r="E4" s="462"/>
      <c r="F4" s="462"/>
      <c r="H4" s="169"/>
    </row>
    <row r="5" spans="1:15" ht="28.5" customHeight="1" x14ac:dyDescent="0.5">
      <c r="A5" s="459" t="s">
        <v>0</v>
      </c>
      <c r="B5" s="453" t="s">
        <v>37</v>
      </c>
      <c r="C5" s="105" t="str">
        <f>Assumptions.1!J18</f>
        <v>Provisional / Audited</v>
      </c>
      <c r="D5" s="105" t="str">
        <f>Assumptions.1!J19</f>
        <v>Estimated</v>
      </c>
      <c r="E5" s="105" t="str">
        <f>Assumptions.1!J20</f>
        <v>Projected</v>
      </c>
      <c r="F5" s="105" t="str">
        <f>Assumptions.1!J21</f>
        <v>Projected</v>
      </c>
    </row>
    <row r="6" spans="1:15" ht="37.5" customHeight="1" thickBot="1" x14ac:dyDescent="0.55000000000000004">
      <c r="A6" s="460"/>
      <c r="B6" s="454"/>
      <c r="C6" s="167">
        <f>Assumptions.1!I18</f>
        <v>0</v>
      </c>
      <c r="D6" s="167">
        <f>Assumptions.1!I19</f>
        <v>0</v>
      </c>
      <c r="E6" s="167">
        <f>Assumptions.1!I20</f>
        <v>0</v>
      </c>
      <c r="F6" s="167">
        <f>Assumptions.1!I21</f>
        <v>0</v>
      </c>
      <c r="G6" s="3"/>
    </row>
    <row r="7" spans="1:15" s="3" customFormat="1" ht="26.4" thickTop="1" x14ac:dyDescent="0.5">
      <c r="E7" s="4"/>
    </row>
    <row r="8" spans="1:15" s="3" customFormat="1" ht="30.6" x14ac:dyDescent="0.55000000000000004">
      <c r="A8" s="5" t="s">
        <v>172</v>
      </c>
      <c r="D8" s="172"/>
      <c r="E8" s="172"/>
      <c r="F8" s="172"/>
    </row>
    <row r="9" spans="1:15" s="3" customFormat="1" x14ac:dyDescent="0.5">
      <c r="A9" s="5"/>
      <c r="D9" s="4"/>
      <c r="E9" s="4"/>
    </row>
    <row r="10" spans="1:15" s="3" customFormat="1" ht="33" customHeight="1" x14ac:dyDescent="0.5">
      <c r="A10" s="2" t="s">
        <v>41</v>
      </c>
      <c r="B10" s="2"/>
      <c r="C10" s="6">
        <f>'Working for PL &amp; BS'!C10</f>
        <v>0</v>
      </c>
      <c r="D10" s="6" t="e">
        <f>'Working for PL &amp; BS'!D10</f>
        <v>#DIV/0!</v>
      </c>
      <c r="E10" s="6" t="e">
        <f>'Working for PL &amp; BS'!E10</f>
        <v>#DIV/0!</v>
      </c>
      <c r="F10" s="6" t="e">
        <f>'Working for PL &amp; BS'!F10</f>
        <v>#DIV/0!</v>
      </c>
    </row>
    <row r="11" spans="1:15" s="3" customFormat="1" ht="33" customHeight="1" x14ac:dyDescent="0.5">
      <c r="A11" s="2"/>
      <c r="B11" s="2"/>
      <c r="C11" s="6"/>
      <c r="D11" s="6"/>
      <c r="E11" s="6"/>
      <c r="F11" s="6"/>
    </row>
    <row r="12" spans="1:15" ht="38.25" customHeight="1" x14ac:dyDescent="0.5">
      <c r="C12" s="7">
        <f>SUM(C10:C11)</f>
        <v>0</v>
      </c>
      <c r="D12" s="7" t="e">
        <f>SUM(D10:D11)</f>
        <v>#DIV/0!</v>
      </c>
      <c r="E12" s="3" t="e">
        <f>SUM(E10:E11)</f>
        <v>#DIV/0!</v>
      </c>
      <c r="F12" s="3" t="e">
        <f>SUM(F10:F11)</f>
        <v>#DIV/0!</v>
      </c>
    </row>
    <row r="14" spans="1:15" x14ac:dyDescent="0.5">
      <c r="A14" s="5" t="s">
        <v>6</v>
      </c>
    </row>
    <row r="15" spans="1:15" x14ac:dyDescent="0.5">
      <c r="A15" s="5"/>
    </row>
    <row r="16" spans="1:15" ht="35.25" customHeight="1" x14ac:dyDescent="0.5">
      <c r="A16" s="2" t="s">
        <v>1</v>
      </c>
      <c r="B16" s="1"/>
      <c r="C16" s="53">
        <f>'Working for PL &amp; BS'!C16</f>
        <v>0</v>
      </c>
      <c r="D16" s="53">
        <f>'Working for PL &amp; BS'!D16</f>
        <v>0</v>
      </c>
      <c r="E16" s="51">
        <f>'Working for PL &amp; BS'!E16</f>
        <v>0</v>
      </c>
      <c r="F16" s="53">
        <f>'Working for PL &amp; BS'!F16</f>
        <v>0</v>
      </c>
    </row>
    <row r="17" spans="1:22" ht="37.5" customHeight="1" x14ac:dyDescent="0.5">
      <c r="A17" s="2" t="s">
        <v>127</v>
      </c>
      <c r="B17" s="1"/>
      <c r="C17" s="53">
        <f>'Working for PL &amp; BS'!C17</f>
        <v>0</v>
      </c>
      <c r="D17" s="51" t="e">
        <f>'Working for PL &amp; BS'!D17</f>
        <v>#DIV/0!</v>
      </c>
      <c r="E17" s="51" t="e">
        <f>'Working for PL &amp; BS'!E17</f>
        <v>#DIV/0!</v>
      </c>
      <c r="F17" s="51" t="e">
        <f>'Working for PL &amp; BS'!F17</f>
        <v>#DIV/0!</v>
      </c>
      <c r="L17"/>
      <c r="T17" s="6"/>
    </row>
    <row r="18" spans="1:22" ht="36" customHeight="1" x14ac:dyDescent="0.5">
      <c r="A18" s="2" t="s">
        <v>2</v>
      </c>
      <c r="B18" s="1"/>
      <c r="C18" s="53">
        <f>'Working for PL &amp; BS'!C18</f>
        <v>0</v>
      </c>
      <c r="D18" s="53">
        <f>'Working for PL &amp; BS'!D18</f>
        <v>0</v>
      </c>
      <c r="E18" s="53">
        <f>'Working for PL &amp; BS'!E18</f>
        <v>0</v>
      </c>
      <c r="F18" s="53">
        <f>'Working for PL &amp; BS'!F18</f>
        <v>0</v>
      </c>
    </row>
    <row r="19" spans="1:22" ht="39.75" customHeight="1" x14ac:dyDescent="0.5">
      <c r="A19" s="3" t="s">
        <v>78</v>
      </c>
      <c r="C19" s="3">
        <f>C16+C17-C18</f>
        <v>0</v>
      </c>
      <c r="D19" s="7" t="e">
        <f>D16+D17-D18</f>
        <v>#DIV/0!</v>
      </c>
      <c r="E19" s="7" t="e">
        <f>E16+E17-E18</f>
        <v>#DIV/0!</v>
      </c>
      <c r="F19" s="7" t="e">
        <f>F16+F17-F18</f>
        <v>#DIV/0!</v>
      </c>
    </row>
    <row r="20" spans="1:22" ht="46.5" customHeight="1" x14ac:dyDescent="0.5">
      <c r="A20" s="5"/>
      <c r="C20" s="3"/>
      <c r="D20" s="6"/>
    </row>
    <row r="21" spans="1:22" s="3" customFormat="1" x14ac:dyDescent="0.5">
      <c r="A21" s="5" t="s">
        <v>227</v>
      </c>
      <c r="C21" s="7">
        <f>C12-C19</f>
        <v>0</v>
      </c>
      <c r="D21" s="7" t="e">
        <f>D12-D19</f>
        <v>#DIV/0!</v>
      </c>
      <c r="E21" s="7" t="e">
        <f>E12-E19</f>
        <v>#DIV/0!</v>
      </c>
      <c r="F21" s="7" t="e">
        <f>F12-F19</f>
        <v>#DIV/0!</v>
      </c>
      <c r="H21" s="98"/>
      <c r="I21" s="98"/>
      <c r="J21" s="98"/>
      <c r="K21" s="98"/>
      <c r="L21" s="98"/>
    </row>
    <row r="22" spans="1:22" s="3" customFormat="1" ht="40.5" customHeight="1" x14ac:dyDescent="0.5">
      <c r="A22" s="5"/>
      <c r="C22" s="164"/>
      <c r="D22" s="164"/>
      <c r="E22" s="164"/>
      <c r="F22" s="164"/>
    </row>
    <row r="23" spans="1:22" s="3" customFormat="1" ht="40.5" customHeight="1" x14ac:dyDescent="0.5">
      <c r="A23" s="2" t="s">
        <v>228</v>
      </c>
      <c r="B23" s="2"/>
      <c r="C23" s="7">
        <f>'Working for PL &amp; BS'!C23</f>
        <v>0</v>
      </c>
      <c r="D23" s="7">
        <f>'Working for PL &amp; BS'!D23</f>
        <v>0</v>
      </c>
      <c r="E23" s="7">
        <f>'Working for PL &amp; BS'!E23</f>
        <v>0</v>
      </c>
      <c r="F23" s="7">
        <f>'Working for PL &amp; BS'!F23</f>
        <v>0</v>
      </c>
    </row>
    <row r="24" spans="1:22" s="3" customFormat="1" ht="40.5" customHeight="1" x14ac:dyDescent="0.5">
      <c r="A24" s="2"/>
      <c r="C24" s="7"/>
      <c r="D24" s="7"/>
      <c r="E24" s="7"/>
      <c r="F24" s="7"/>
      <c r="V24"/>
    </row>
    <row r="25" spans="1:22" ht="43.5" customHeight="1" x14ac:dyDescent="0.5">
      <c r="A25" s="2" t="s">
        <v>229</v>
      </c>
      <c r="B25" s="11" t="s">
        <v>36</v>
      </c>
      <c r="C25" s="6">
        <f>C89</f>
        <v>0</v>
      </c>
      <c r="D25" s="6" t="e">
        <f>D89</f>
        <v>#DIV/0!</v>
      </c>
      <c r="E25" s="6" t="e">
        <f>E89</f>
        <v>#DIV/0!</v>
      </c>
      <c r="F25" s="6" t="e">
        <f>F89</f>
        <v>#DIV/0!</v>
      </c>
      <c r="H25" s="102"/>
      <c r="I25" s="102"/>
      <c r="J25" s="102"/>
      <c r="K25" s="102"/>
      <c r="L25" s="102"/>
    </row>
    <row r="26" spans="1:22" ht="43.5" customHeight="1" x14ac:dyDescent="0.5">
      <c r="B26" s="11"/>
      <c r="H26" s="99"/>
      <c r="I26" s="99"/>
      <c r="J26" s="99"/>
      <c r="K26" s="99"/>
      <c r="L26" s="99"/>
    </row>
    <row r="27" spans="1:22" x14ac:dyDescent="0.5">
      <c r="A27" s="5" t="s">
        <v>230</v>
      </c>
      <c r="B27" s="11"/>
      <c r="C27" s="15">
        <f>C21+C23-C25</f>
        <v>0</v>
      </c>
      <c r="D27" s="15" t="e">
        <f>D21+D23-D25</f>
        <v>#DIV/0!</v>
      </c>
      <c r="E27" s="15" t="e">
        <f>E21+E23-E25</f>
        <v>#DIV/0!</v>
      </c>
      <c r="F27" s="15" t="e">
        <f>F21+F23-F25</f>
        <v>#DIV/0!</v>
      </c>
      <c r="H27" s="99"/>
      <c r="I27" s="99"/>
      <c r="J27" s="99"/>
      <c r="K27" s="99"/>
      <c r="L27" s="99"/>
    </row>
    <row r="28" spans="1:22" ht="31.5" customHeight="1" x14ac:dyDescent="0.5">
      <c r="A28" s="3"/>
      <c r="B28" s="11"/>
      <c r="H28" s="102"/>
      <c r="I28" s="102"/>
      <c r="J28" s="102"/>
      <c r="K28" s="102"/>
      <c r="L28" s="102"/>
    </row>
    <row r="29" spans="1:22" x14ac:dyDescent="0.5">
      <c r="A29" s="2" t="s">
        <v>231</v>
      </c>
      <c r="B29" s="11"/>
      <c r="C29" s="6">
        <f>'Working for PL &amp; BS'!C29</f>
        <v>0</v>
      </c>
      <c r="D29" s="6">
        <f>'Working for PL &amp; BS'!D29</f>
        <v>0</v>
      </c>
      <c r="E29" s="6">
        <f>'Working for PL &amp; BS'!E29</f>
        <v>0</v>
      </c>
      <c r="F29" s="6">
        <f>'Working for PL &amp; BS'!F29</f>
        <v>0</v>
      </c>
      <c r="H29" s="99"/>
      <c r="I29" s="99"/>
      <c r="J29" s="99"/>
      <c r="K29" s="99"/>
      <c r="L29" s="99"/>
    </row>
    <row r="30" spans="1:22" ht="43.5" customHeight="1" x14ac:dyDescent="0.5">
      <c r="B30" s="11"/>
      <c r="C30" s="6"/>
      <c r="D30" s="6"/>
      <c r="E30" s="6"/>
      <c r="F30" s="6"/>
      <c r="H30" s="99"/>
      <c r="I30" s="99"/>
      <c r="J30" s="99"/>
      <c r="K30" s="99"/>
      <c r="L30" s="99"/>
    </row>
    <row r="31" spans="1:22" s="16" customFormat="1" x14ac:dyDescent="0.5">
      <c r="A31" s="5" t="s">
        <v>232</v>
      </c>
      <c r="C31" s="15">
        <f>C27-C29</f>
        <v>0</v>
      </c>
      <c r="D31" s="15" t="e">
        <f>D27-D29</f>
        <v>#DIV/0!</v>
      </c>
      <c r="E31" s="15" t="e">
        <f>E27-E29</f>
        <v>#DIV/0!</v>
      </c>
      <c r="F31" s="15" t="e">
        <f>F27-F29</f>
        <v>#DIV/0!</v>
      </c>
      <c r="H31" s="100"/>
      <c r="I31" s="100"/>
      <c r="J31" s="100"/>
      <c r="K31" s="100"/>
      <c r="L31" s="100"/>
    </row>
    <row r="32" spans="1:22" ht="31.5" customHeight="1" x14ac:dyDescent="0.5">
      <c r="A32" s="3"/>
      <c r="D32" s="6"/>
      <c r="E32" s="6"/>
      <c r="F32" s="6"/>
      <c r="H32" s="99"/>
      <c r="I32" s="99"/>
      <c r="J32" s="99"/>
      <c r="K32" s="99"/>
      <c r="L32" s="99"/>
    </row>
    <row r="33" spans="1:18" x14ac:dyDescent="0.5">
      <c r="A33" s="2" t="s">
        <v>233</v>
      </c>
      <c r="B33" s="11" t="s">
        <v>40</v>
      </c>
      <c r="C33" s="6">
        <f>C99</f>
        <v>0</v>
      </c>
      <c r="D33" s="6" t="e">
        <f>D99</f>
        <v>#DIV/0!</v>
      </c>
      <c r="E33" s="6" t="e">
        <f>E99</f>
        <v>#DIV/0!</v>
      </c>
      <c r="F33" s="6" t="e">
        <f>F99</f>
        <v>#DIV/0!</v>
      </c>
      <c r="H33" s="99"/>
      <c r="I33" s="99"/>
      <c r="J33" s="99"/>
      <c r="K33" s="99"/>
      <c r="L33" s="99"/>
    </row>
    <row r="34" spans="1:18" x14ac:dyDescent="0.5">
      <c r="H34" s="99"/>
      <c r="I34" s="99"/>
      <c r="J34" s="99"/>
      <c r="K34" s="99"/>
      <c r="L34" s="99"/>
    </row>
    <row r="35" spans="1:18" s="3" customFormat="1" x14ac:dyDescent="0.5">
      <c r="A35" s="8" t="s">
        <v>234</v>
      </c>
      <c r="B35" s="9"/>
      <c r="C35" s="14">
        <f>C31-C33</f>
        <v>0</v>
      </c>
      <c r="D35" s="14" t="e">
        <f>D31-D33</f>
        <v>#DIV/0!</v>
      </c>
      <c r="E35" s="14" t="e">
        <f>E31-E33</f>
        <v>#DIV/0!</v>
      </c>
      <c r="F35" s="14" t="e">
        <f>F31-F33</f>
        <v>#DIV/0!</v>
      </c>
      <c r="H35" s="101"/>
      <c r="I35" s="101"/>
      <c r="J35" s="101"/>
      <c r="K35" s="101"/>
      <c r="L35" s="101"/>
    </row>
    <row r="36" spans="1:18" s="3" customFormat="1" ht="35.25" customHeight="1" x14ac:dyDescent="0.5">
      <c r="A36" s="8"/>
      <c r="B36" s="9"/>
    </row>
    <row r="37" spans="1:18" ht="26.4" thickBot="1" x14ac:dyDescent="0.55000000000000004">
      <c r="A37" s="12"/>
      <c r="B37" s="12"/>
      <c r="C37" s="12"/>
      <c r="D37" s="12"/>
      <c r="E37" s="12"/>
      <c r="F37" s="12"/>
    </row>
    <row r="38" spans="1:18" x14ac:dyDescent="0.5">
      <c r="C38" s="151"/>
      <c r="D38" s="151"/>
      <c r="E38" s="151"/>
      <c r="F38" s="151"/>
    </row>
    <row r="39" spans="1:18" ht="35.25" customHeight="1" x14ac:dyDescent="0.5">
      <c r="A39" s="458" t="str">
        <f>A1</f>
        <v>MEDICAID LABS LLP</v>
      </c>
      <c r="B39" s="458"/>
      <c r="C39" s="458"/>
      <c r="D39" s="458"/>
      <c r="E39" s="458"/>
      <c r="F39" s="458"/>
    </row>
    <row r="40" spans="1:18" ht="39" customHeight="1" x14ac:dyDescent="0.5">
      <c r="A40" s="458">
        <f>A2</f>
        <v>0</v>
      </c>
      <c r="B40" s="458"/>
      <c r="C40" s="458"/>
      <c r="D40" s="458"/>
      <c r="E40" s="458"/>
      <c r="F40" s="458"/>
    </row>
    <row r="41" spans="1:18" ht="44.25" customHeight="1" x14ac:dyDescent="0.5">
      <c r="A41" s="458" t="str">
        <f>A3</f>
        <v>AUTONAGAR , VIJAYAWADA - 520 007</v>
      </c>
      <c r="B41" s="458"/>
      <c r="C41" s="458"/>
      <c r="D41" s="458"/>
      <c r="E41" s="458"/>
      <c r="F41" s="458"/>
    </row>
    <row r="42" spans="1:18" ht="27" customHeight="1" x14ac:dyDescent="0.7">
      <c r="A42" s="1"/>
      <c r="B42" s="1"/>
      <c r="C42" s="1"/>
      <c r="D42" s="1"/>
      <c r="E42" s="1"/>
      <c r="F42" s="1"/>
      <c r="N42" s="127"/>
    </row>
    <row r="43" spans="1:18" ht="48.75" customHeight="1" x14ac:dyDescent="0.9">
      <c r="A43" s="462" t="s">
        <v>10</v>
      </c>
      <c r="B43" s="462"/>
      <c r="C43" s="462"/>
      <c r="D43" s="462"/>
      <c r="E43" s="462"/>
      <c r="F43" s="462"/>
      <c r="H43" s="169"/>
    </row>
    <row r="44" spans="1:18" ht="30.75" customHeight="1" x14ac:dyDescent="0.5">
      <c r="A44" s="459" t="s">
        <v>0</v>
      </c>
      <c r="B44" s="453" t="s">
        <v>37</v>
      </c>
      <c r="C44" s="105" t="str">
        <f t="shared" ref="C44:F45" si="0">C5</f>
        <v>Provisional / Audited</v>
      </c>
      <c r="D44" s="105" t="str">
        <f t="shared" si="0"/>
        <v>Estimated</v>
      </c>
      <c r="E44" s="105" t="str">
        <f t="shared" si="0"/>
        <v>Projected</v>
      </c>
      <c r="F44" s="105" t="str">
        <f t="shared" si="0"/>
        <v>Projected</v>
      </c>
    </row>
    <row r="45" spans="1:18" ht="30.75" customHeight="1" x14ac:dyDescent="0.5">
      <c r="A45" s="463"/>
      <c r="B45" s="465"/>
      <c r="C45" s="166">
        <f t="shared" si="0"/>
        <v>0</v>
      </c>
      <c r="D45" s="166">
        <f t="shared" si="0"/>
        <v>0</v>
      </c>
      <c r="E45" s="166">
        <f t="shared" si="0"/>
        <v>0</v>
      </c>
      <c r="F45" s="166">
        <f t="shared" si="0"/>
        <v>0</v>
      </c>
    </row>
    <row r="46" spans="1:18" ht="40.5" customHeight="1" thickBot="1" x14ac:dyDescent="0.55000000000000004">
      <c r="A46" s="464"/>
      <c r="B46" s="454"/>
      <c r="C46" s="167"/>
      <c r="D46" s="167"/>
      <c r="E46" s="167"/>
      <c r="F46" s="167"/>
      <c r="R46"/>
    </row>
    <row r="47" spans="1:18" ht="33.75" customHeight="1" thickTop="1" x14ac:dyDescent="0.5">
      <c r="A47" s="47" t="s">
        <v>8</v>
      </c>
    </row>
    <row r="48" spans="1:18" ht="30.6" x14ac:dyDescent="0.55000000000000004">
      <c r="D48" s="172"/>
      <c r="E48" s="172"/>
      <c r="F48" s="172"/>
    </row>
    <row r="49" spans="1:10" ht="42.75" customHeight="1" x14ac:dyDescent="0.5">
      <c r="A49" s="2" t="s">
        <v>109</v>
      </c>
      <c r="C49" s="6">
        <f>C58-SUM(C51:C57)</f>
        <v>0</v>
      </c>
      <c r="D49" s="6" t="e">
        <f>D58-SUM(D51:D57)</f>
        <v>#DIV/0!</v>
      </c>
      <c r="E49" s="6" t="e">
        <f>E58-SUM(E51:E57)</f>
        <v>#DIV/0!</v>
      </c>
      <c r="F49" s="6" t="e">
        <f>F58-SUM(F51:F57)</f>
        <v>#DIV/0!</v>
      </c>
      <c r="G49" s="6"/>
      <c r="H49" s="6"/>
    </row>
    <row r="50" spans="1:10" ht="42.75" customHeight="1" x14ac:dyDescent="0.5">
      <c r="A50" s="69" t="s">
        <v>110</v>
      </c>
      <c r="B50" s="10"/>
      <c r="J50"/>
    </row>
    <row r="51" spans="1:10" ht="42.75" customHeight="1" x14ac:dyDescent="0.5">
      <c r="A51" s="3" t="s">
        <v>108</v>
      </c>
      <c r="B51" s="10"/>
    </row>
    <row r="52" spans="1:10" ht="39" customHeight="1" x14ac:dyDescent="0.5">
      <c r="A52" s="2" t="s">
        <v>166</v>
      </c>
      <c r="C52" s="53">
        <f>'Working for PL &amp; BS'!C52</f>
        <v>0</v>
      </c>
      <c r="D52" s="51">
        <f>'Working for PL &amp; BS'!D52</f>
        <v>0</v>
      </c>
      <c r="E52" s="51">
        <f>'Working for PL &amp; BS'!E52</f>
        <v>0</v>
      </c>
      <c r="F52" s="51">
        <f>'Working for PL &amp; BS'!F52</f>
        <v>0</v>
      </c>
    </row>
    <row r="53" spans="1:10" ht="42.75" customHeight="1" x14ac:dyDescent="0.5">
      <c r="B53" s="10"/>
      <c r="C53" s="51"/>
      <c r="D53" s="51"/>
      <c r="E53" s="51"/>
      <c r="F53" s="51"/>
    </row>
    <row r="54" spans="1:10" ht="42.75" customHeight="1" x14ac:dyDescent="0.5">
      <c r="A54" s="3" t="s">
        <v>115</v>
      </c>
      <c r="B54" s="1"/>
    </row>
    <row r="55" spans="1:10" ht="42.75" customHeight="1" x14ac:dyDescent="0.5">
      <c r="A55" s="2" t="s">
        <v>171</v>
      </c>
      <c r="B55" s="10"/>
      <c r="C55" s="51">
        <f>'Working for PL &amp; BS'!C56</f>
        <v>0</v>
      </c>
      <c r="D55" s="51" t="e">
        <f>'Working for PL &amp; BS'!D56</f>
        <v>#DIV/0!</v>
      </c>
      <c r="E55" s="51" t="e">
        <f>'Working for PL &amp; BS'!E56</f>
        <v>#DIV/0!</v>
      </c>
      <c r="F55" s="51" t="e">
        <f>'Working for PL &amp; BS'!F56</f>
        <v>#DIV/0!</v>
      </c>
      <c r="G55" s="51"/>
    </row>
    <row r="56" spans="1:10" ht="51" customHeight="1" x14ac:dyDescent="0.5">
      <c r="A56" s="2" t="s">
        <v>167</v>
      </c>
      <c r="C56" s="2">
        <f>'Working for PL &amp; BS'!C57</f>
        <v>0</v>
      </c>
      <c r="D56" s="2">
        <f>'Working for PL &amp; BS'!D57</f>
        <v>10000000</v>
      </c>
      <c r="E56" s="2">
        <f>'Working for PL &amp; BS'!E57</f>
        <v>10000000</v>
      </c>
      <c r="F56" s="2">
        <f>'Working for PL &amp; BS'!F57</f>
        <v>10000000</v>
      </c>
    </row>
    <row r="57" spans="1:10" ht="45" customHeight="1" x14ac:dyDescent="0.5">
      <c r="B57" s="10"/>
      <c r="C57" s="6"/>
      <c r="D57" s="6"/>
      <c r="E57" s="6"/>
      <c r="F57" s="6"/>
    </row>
    <row r="58" spans="1:10" ht="47.25" customHeight="1" thickBot="1" x14ac:dyDescent="0.55000000000000004">
      <c r="C58" s="13">
        <f>C73</f>
        <v>0</v>
      </c>
      <c r="D58" s="13" t="e">
        <f>D73</f>
        <v>#DIV/0!</v>
      </c>
      <c r="E58" s="13" t="e">
        <f>E73</f>
        <v>#DIV/0!</v>
      </c>
      <c r="F58" s="13" t="e">
        <f>F73</f>
        <v>#DIV/0!</v>
      </c>
    </row>
    <row r="59" spans="1:10" ht="47.25" customHeight="1" thickTop="1" x14ac:dyDescent="0.5">
      <c r="C59" s="7"/>
      <c r="D59" s="7"/>
      <c r="E59" s="7"/>
      <c r="F59" s="7"/>
    </row>
    <row r="60" spans="1:10" x14ac:dyDescent="0.5">
      <c r="C60" s="85"/>
      <c r="D60" s="85"/>
      <c r="E60" s="85"/>
      <c r="F60" s="85"/>
    </row>
    <row r="61" spans="1:10" ht="36.75" customHeight="1" x14ac:dyDescent="0.5">
      <c r="A61" s="47" t="s">
        <v>9</v>
      </c>
    </row>
    <row r="62" spans="1:10" ht="36.75" customHeight="1" x14ac:dyDescent="0.5">
      <c r="A62" s="5"/>
    </row>
    <row r="63" spans="1:10" ht="36.75" customHeight="1" x14ac:dyDescent="0.5">
      <c r="A63" s="3" t="s">
        <v>111</v>
      </c>
      <c r="C63" s="6">
        <f>'Working for PL &amp; BS'!C65</f>
        <v>0</v>
      </c>
      <c r="D63" s="6">
        <f>'Working for PL &amp; BS'!D65</f>
        <v>0</v>
      </c>
      <c r="E63" s="6">
        <f>'Working for PL &amp; BS'!E65</f>
        <v>0</v>
      </c>
      <c r="F63" s="6">
        <f>'Working for PL &amp; BS'!F65</f>
        <v>0</v>
      </c>
      <c r="G63" s="6"/>
    </row>
    <row r="64" spans="1:10" ht="31.5" customHeight="1" x14ac:dyDescent="0.5">
      <c r="C64" s="6"/>
      <c r="D64" s="6"/>
      <c r="E64" s="6"/>
      <c r="F64" s="6"/>
    </row>
    <row r="65" spans="1:14" ht="31.5" customHeight="1" x14ac:dyDescent="0.5">
      <c r="A65" s="3" t="s">
        <v>168</v>
      </c>
      <c r="C65" s="6">
        <f>'Working for PL &amp; BS'!C67</f>
        <v>0</v>
      </c>
      <c r="D65" s="6">
        <f>'Working for PL &amp; BS'!D67</f>
        <v>0</v>
      </c>
      <c r="E65" s="6">
        <f>'Working for PL &amp; BS'!E67</f>
        <v>0</v>
      </c>
      <c r="F65" s="6">
        <f>'Working for PL &amp; BS'!F67</f>
        <v>0</v>
      </c>
    </row>
    <row r="66" spans="1:14" ht="31.5" customHeight="1" x14ac:dyDescent="0.5">
      <c r="C66" s="6"/>
      <c r="D66" s="6"/>
      <c r="E66" s="6"/>
      <c r="F66" s="6"/>
    </row>
    <row r="67" spans="1:14" ht="42.75" customHeight="1" x14ac:dyDescent="0.5">
      <c r="A67" s="3" t="s">
        <v>112</v>
      </c>
      <c r="B67" s="10"/>
      <c r="C67" s="6"/>
      <c r="D67" s="6"/>
      <c r="E67" s="6"/>
      <c r="F67" s="6"/>
    </row>
    <row r="68" spans="1:14" ht="42.75" customHeight="1" x14ac:dyDescent="0.5">
      <c r="A68" s="2" t="s">
        <v>169</v>
      </c>
      <c r="C68" s="6">
        <f>'Working for PL &amp; BS'!C70</f>
        <v>0</v>
      </c>
      <c r="D68" s="6">
        <f>'Working for PL &amp; BS'!D70</f>
        <v>2000000</v>
      </c>
      <c r="E68" s="6">
        <f>'Working for PL &amp; BS'!E70</f>
        <v>1700000</v>
      </c>
      <c r="F68" s="6">
        <f>'Working for PL &amp; BS'!F70</f>
        <v>1500000</v>
      </c>
    </row>
    <row r="69" spans="1:14" ht="42.75" customHeight="1" x14ac:dyDescent="0.5">
      <c r="A69" s="2" t="str">
        <f>A18</f>
        <v>Closing Stock</v>
      </c>
      <c r="B69" s="10"/>
      <c r="C69" s="6">
        <f>'Working for PL &amp; BS'!C71</f>
        <v>0</v>
      </c>
      <c r="D69" s="6">
        <f>'Working for PL &amp; BS'!D71</f>
        <v>0</v>
      </c>
      <c r="E69" s="6">
        <f>'Working for PL &amp; BS'!E71</f>
        <v>0</v>
      </c>
      <c r="F69" s="6">
        <f>'Working for PL &amp; BS'!F71</f>
        <v>0</v>
      </c>
    </row>
    <row r="70" spans="1:14" ht="44.25" customHeight="1" x14ac:dyDescent="0.5">
      <c r="A70" s="2" t="s">
        <v>4</v>
      </c>
      <c r="C70" s="6">
        <f>'Working for PL &amp; BS'!C72</f>
        <v>0</v>
      </c>
      <c r="D70" s="6" t="e">
        <f>'Working for PL &amp; BS'!D72</f>
        <v>#DIV/0!</v>
      </c>
      <c r="E70" s="6" t="e">
        <f>'Working for PL &amp; BS'!E72</f>
        <v>#DIV/0!</v>
      </c>
      <c r="F70" s="6" t="e">
        <f>'Working for PL &amp; BS'!F72</f>
        <v>#DIV/0!</v>
      </c>
      <c r="G70" s="6"/>
    </row>
    <row r="71" spans="1:14" ht="39" customHeight="1" x14ac:dyDescent="0.5">
      <c r="A71" s="2" t="s">
        <v>72</v>
      </c>
      <c r="C71" s="6">
        <f>'Working for PL &amp; BS'!C73</f>
        <v>0</v>
      </c>
      <c r="D71" s="6" t="e">
        <f>'Working for PL &amp; BS'!D73</f>
        <v>#DIV/0!</v>
      </c>
      <c r="E71" s="6" t="e">
        <f>'Working for PL &amp; BS'!E73</f>
        <v>#DIV/0!</v>
      </c>
      <c r="F71" s="6" t="e">
        <f>'Working for PL &amp; BS'!F73</f>
        <v>#DIV/0!</v>
      </c>
    </row>
    <row r="72" spans="1:14" ht="39" customHeight="1" x14ac:dyDescent="0.5"/>
    <row r="73" spans="1:14" ht="53.25" customHeight="1" thickBot="1" x14ac:dyDescent="0.55000000000000004">
      <c r="C73" s="13">
        <f>SUM(C63:C72)</f>
        <v>0</v>
      </c>
      <c r="D73" s="13" t="e">
        <f>SUM(D63:D72)</f>
        <v>#DIV/0!</v>
      </c>
      <c r="E73" s="13" t="e">
        <f>SUM(E63:E72)</f>
        <v>#DIV/0!</v>
      </c>
      <c r="F73" s="13" t="e">
        <f>SUM(F63:F72)</f>
        <v>#DIV/0!</v>
      </c>
    </row>
    <row r="74" spans="1:14" ht="30.75" customHeight="1" thickTop="1" x14ac:dyDescent="0.5">
      <c r="C74" s="7">
        <f>C58-C73</f>
        <v>0</v>
      </c>
      <c r="D74" s="7" t="e">
        <f>D58-D73</f>
        <v>#DIV/0!</v>
      </c>
      <c r="E74" s="7" t="e">
        <f>E58-E73</f>
        <v>#DIV/0!</v>
      </c>
      <c r="F74" s="7" t="e">
        <f>F58-F73</f>
        <v>#DIV/0!</v>
      </c>
    </row>
    <row r="75" spans="1:14" ht="30.75" customHeight="1" thickBot="1" x14ac:dyDescent="0.55000000000000004">
      <c r="A75" s="12"/>
      <c r="B75" s="12"/>
      <c r="C75" s="173"/>
      <c r="D75" s="173"/>
      <c r="E75" s="173"/>
      <c r="F75" s="173"/>
    </row>
    <row r="76" spans="1:14" ht="53.25" customHeight="1" x14ac:dyDescent="0.55000000000000004">
      <c r="C76" s="85"/>
      <c r="D76" s="85"/>
      <c r="E76" s="85"/>
      <c r="F76" s="85"/>
      <c r="H76" s="170"/>
      <c r="I76" s="170"/>
      <c r="J76" s="170"/>
      <c r="K76" s="170"/>
      <c r="L76" s="170"/>
      <c r="M76" s="170"/>
      <c r="N76" s="171"/>
    </row>
    <row r="77" spans="1:14" ht="51.75" customHeight="1" x14ac:dyDescent="0.55000000000000004">
      <c r="C77" s="7"/>
      <c r="D77" s="7"/>
      <c r="E77" s="7"/>
      <c r="F77" s="7"/>
      <c r="H77" s="170"/>
      <c r="I77" s="170"/>
      <c r="J77" s="170"/>
      <c r="K77" s="170"/>
      <c r="L77" s="170"/>
      <c r="M77" s="170"/>
      <c r="N77" s="171"/>
    </row>
    <row r="78" spans="1:14" ht="30" customHeight="1" x14ac:dyDescent="0.55000000000000004">
      <c r="A78" s="462" t="s">
        <v>38</v>
      </c>
      <c r="B78" s="462"/>
      <c r="C78" s="462"/>
      <c r="D78" s="462"/>
      <c r="E78" s="462"/>
      <c r="F78" s="462"/>
      <c r="H78" s="170"/>
      <c r="I78" s="170"/>
      <c r="J78" s="170"/>
      <c r="K78" s="170"/>
      <c r="L78" s="170"/>
      <c r="M78" s="170"/>
      <c r="N78" s="171"/>
    </row>
    <row r="79" spans="1:14" ht="95.25" customHeight="1" thickBot="1" x14ac:dyDescent="0.55000000000000004">
      <c r="A79" s="174" t="s">
        <v>0</v>
      </c>
      <c r="B79" s="72"/>
      <c r="C79" s="73">
        <f>C45</f>
        <v>0</v>
      </c>
      <c r="D79" s="73">
        <f>D45</f>
        <v>0</v>
      </c>
      <c r="E79" s="73">
        <f>E45</f>
        <v>0</v>
      </c>
      <c r="F79" s="73">
        <f>F45</f>
        <v>0</v>
      </c>
    </row>
    <row r="80" spans="1:14" ht="26.4" thickTop="1" x14ac:dyDescent="0.5"/>
    <row r="81" spans="1:12" x14ac:dyDescent="0.5">
      <c r="A81" s="2" t="s">
        <v>81</v>
      </c>
      <c r="C81" s="6">
        <f>'Working for PL &amp; BS'!C83</f>
        <v>0</v>
      </c>
      <c r="D81" s="6" t="e">
        <f>'Working for PL &amp; BS'!D83</f>
        <v>#DIV/0!</v>
      </c>
      <c r="E81" s="6" t="e">
        <f>'Working for PL &amp; BS'!E83</f>
        <v>#DIV/0!</v>
      </c>
      <c r="F81" s="6" t="e">
        <f>'Working for PL &amp; BS'!F83</f>
        <v>#DIV/0!</v>
      </c>
      <c r="G81" s="6"/>
    </row>
    <row r="82" spans="1:12" x14ac:dyDescent="0.5">
      <c r="A82" s="2" t="s">
        <v>205</v>
      </c>
      <c r="C82" s="6">
        <f>'Working for PL &amp; BS'!C84</f>
        <v>0</v>
      </c>
      <c r="D82" s="6">
        <f>'Working for PL &amp; BS'!D84</f>
        <v>0</v>
      </c>
      <c r="E82" s="6">
        <f>'Working for PL &amp; BS'!E84</f>
        <v>0</v>
      </c>
      <c r="F82" s="6">
        <f>'Working for PL &amp; BS'!F84</f>
        <v>0</v>
      </c>
      <c r="G82" s="6"/>
    </row>
    <row r="83" spans="1:12" ht="35.25" customHeight="1" x14ac:dyDescent="0.5">
      <c r="A83" s="2" t="s">
        <v>82</v>
      </c>
      <c r="C83" s="6">
        <f>'Working for PL &amp; BS'!C85</f>
        <v>0</v>
      </c>
      <c r="D83" s="6" t="e">
        <f>'Working for PL &amp; BS'!D85</f>
        <v>#DIV/0!</v>
      </c>
      <c r="E83" s="6" t="e">
        <f>'Working for PL &amp; BS'!E85</f>
        <v>#DIV/0!</v>
      </c>
      <c r="F83" s="6" t="e">
        <f>'Working for PL &amp; BS'!F85</f>
        <v>#DIV/0!</v>
      </c>
      <c r="I83" s="6"/>
      <c r="J83" s="6"/>
      <c r="K83" s="6"/>
      <c r="L83" s="6"/>
    </row>
    <row r="84" spans="1:12" ht="35.25" customHeight="1" x14ac:dyDescent="0.5">
      <c r="A84" s="2" t="s">
        <v>100</v>
      </c>
      <c r="C84" s="6">
        <f>'Working for PL &amp; BS'!C86</f>
        <v>0</v>
      </c>
      <c r="D84" s="6">
        <f>'Working for PL &amp; BS'!D86</f>
        <v>0</v>
      </c>
      <c r="E84" s="6">
        <f>'Working for PL &amp; BS'!E86</f>
        <v>0</v>
      </c>
      <c r="F84" s="6">
        <f>'Working for PL &amp; BS'!F86</f>
        <v>0</v>
      </c>
      <c r="I84" s="6"/>
      <c r="J84" s="6"/>
      <c r="K84" s="6"/>
      <c r="L84" s="6"/>
    </row>
    <row r="85" spans="1:12" ht="41.25" customHeight="1" x14ac:dyDescent="0.5">
      <c r="A85" s="2" t="s">
        <v>203</v>
      </c>
      <c r="C85" s="6">
        <f>'Working for PL &amp; BS'!C88</f>
        <v>0</v>
      </c>
      <c r="D85" s="6" t="e">
        <f>'Working for PL &amp; BS'!D88</f>
        <v>#DIV/0!</v>
      </c>
      <c r="E85" s="6" t="e">
        <f>'Working for PL &amp; BS'!E88</f>
        <v>#DIV/0!</v>
      </c>
      <c r="F85" s="6" t="e">
        <f>'Working for PL &amp; BS'!F88</f>
        <v>#DIV/0!</v>
      </c>
      <c r="I85" s="103"/>
      <c r="J85" s="103"/>
      <c r="K85" s="103"/>
    </row>
    <row r="86" spans="1:12" ht="27.75" customHeight="1" x14ac:dyDescent="0.5">
      <c r="C86" s="6"/>
      <c r="D86" s="6"/>
      <c r="E86" s="6"/>
      <c r="F86" s="6"/>
    </row>
    <row r="87" spans="1:12" ht="27.75" customHeight="1" x14ac:dyDescent="0.5">
      <c r="C87" s="6"/>
      <c r="D87" s="6"/>
      <c r="E87" s="6"/>
      <c r="F87" s="6"/>
    </row>
    <row r="88" spans="1:12" x14ac:dyDescent="0.5">
      <c r="C88" s="6"/>
      <c r="D88" s="6"/>
      <c r="E88" s="6"/>
      <c r="F88" s="6"/>
    </row>
    <row r="89" spans="1:12" ht="50.25" customHeight="1" x14ac:dyDescent="0.5">
      <c r="C89" s="54">
        <f>SUM(C80:C88)</f>
        <v>0</v>
      </c>
      <c r="D89" s="54" t="e">
        <f>SUM(D80:D88)</f>
        <v>#DIV/0!</v>
      </c>
      <c r="E89" s="54" t="e">
        <f>SUM(E80:E88)</f>
        <v>#DIV/0!</v>
      </c>
      <c r="F89" s="54" t="e">
        <f>SUM(F80:F88)</f>
        <v>#DIV/0!</v>
      </c>
    </row>
    <row r="90" spans="1:12" ht="50.25" customHeight="1" x14ac:dyDescent="0.5">
      <c r="C90" s="3"/>
      <c r="D90" s="7"/>
      <c r="E90" s="7"/>
      <c r="F90" s="7"/>
    </row>
    <row r="91" spans="1:12" ht="34.5" customHeight="1" x14ac:dyDescent="0.5">
      <c r="C91" s="85"/>
      <c r="D91" s="85"/>
      <c r="E91" s="85"/>
      <c r="F91" s="85"/>
      <c r="I91" s="6"/>
    </row>
    <row r="92" spans="1:12" ht="40.5" customHeight="1" x14ac:dyDescent="0.5">
      <c r="A92" s="462" t="s">
        <v>39</v>
      </c>
      <c r="B92" s="462"/>
      <c r="C92" s="462"/>
      <c r="D92" s="462"/>
      <c r="E92" s="462"/>
      <c r="F92" s="462"/>
    </row>
    <row r="93" spans="1:12" ht="98.25" customHeight="1" thickBot="1" x14ac:dyDescent="0.55000000000000004">
      <c r="A93" s="174" t="s">
        <v>0</v>
      </c>
      <c r="B93" s="72"/>
      <c r="C93" s="73">
        <f>C79</f>
        <v>0</v>
      </c>
      <c r="D93" s="73">
        <f>D79</f>
        <v>0</v>
      </c>
      <c r="E93" s="73">
        <f>E79</f>
        <v>0</v>
      </c>
      <c r="F93" s="73">
        <f>F79</f>
        <v>0</v>
      </c>
    </row>
    <row r="94" spans="1:12" ht="32.25" customHeight="1" thickTop="1" x14ac:dyDescent="0.5">
      <c r="C94" s="4"/>
      <c r="D94" s="4"/>
      <c r="E94" s="4"/>
      <c r="F94" s="4"/>
    </row>
    <row r="95" spans="1:12" ht="33" customHeight="1" x14ac:dyDescent="0.5">
      <c r="A95" s="2" t="s">
        <v>165</v>
      </c>
      <c r="C95" s="51">
        <f>'Working for PL &amp; BS'!C98</f>
        <v>0</v>
      </c>
      <c r="D95" s="51" t="e">
        <f>'Working for PL &amp; BS'!D98</f>
        <v>#DIV/0!</v>
      </c>
      <c r="E95" s="51">
        <f>'Working for PL &amp; BS'!E98</f>
        <v>0</v>
      </c>
      <c r="F95" s="51" t="e">
        <f>'Working for PL &amp; BS'!F98</f>
        <v>#DIV/0!</v>
      </c>
    </row>
    <row r="96" spans="1:12" ht="33" customHeight="1" x14ac:dyDescent="0.5">
      <c r="A96" s="2" t="s">
        <v>98</v>
      </c>
      <c r="C96" s="51">
        <f>'Working for PL &amp; BS'!C99</f>
        <v>0</v>
      </c>
      <c r="D96" s="51" t="e">
        <f>'Working for PL &amp; BS'!D99</f>
        <v>#DIV/0!</v>
      </c>
      <c r="E96" s="51" t="e">
        <f>'Working for PL &amp; BS'!E99</f>
        <v>#DIV/0!</v>
      </c>
      <c r="F96" s="51" t="e">
        <f>'Working for PL &amp; BS'!F99</f>
        <v>#DIV/0!</v>
      </c>
    </row>
    <row r="97" spans="3:6" ht="33" customHeight="1" x14ac:dyDescent="0.5">
      <c r="C97" s="51"/>
      <c r="D97" s="6"/>
      <c r="E97" s="6"/>
      <c r="F97" s="6"/>
    </row>
    <row r="98" spans="3:6" ht="34.5" customHeight="1" x14ac:dyDescent="0.5">
      <c r="C98" s="51"/>
      <c r="D98" s="55"/>
      <c r="E98" s="55"/>
      <c r="F98" s="55"/>
    </row>
    <row r="99" spans="3:6" ht="46.5" customHeight="1" x14ac:dyDescent="0.5">
      <c r="C99" s="54">
        <f>SUM(C94:C98)</f>
        <v>0</v>
      </c>
      <c r="D99" s="54" t="e">
        <f>SUM(D94:D98)</f>
        <v>#DIV/0!</v>
      </c>
      <c r="E99" s="54" t="e">
        <f>SUM(E94:E98)</f>
        <v>#DIV/0!</v>
      </c>
      <c r="F99" s="54" t="e">
        <f>SUM(F94:F98)</f>
        <v>#DIV/0!</v>
      </c>
    </row>
    <row r="100" spans="3:6" ht="25.5" customHeight="1" x14ac:dyDescent="0.5">
      <c r="C100" s="3"/>
      <c r="D100" s="3"/>
      <c r="E100" s="3"/>
    </row>
    <row r="101" spans="3:6" ht="25.5" customHeight="1" x14ac:dyDescent="0.5">
      <c r="C101" s="85"/>
      <c r="D101" s="85"/>
      <c r="E101" s="85"/>
      <c r="F101" s="85"/>
    </row>
  </sheetData>
  <mergeCells count="15">
    <mergeCell ref="A5:A6"/>
    <mergeCell ref="B5:B6"/>
    <mergeCell ref="A92:F92"/>
    <mergeCell ref="A44:A46"/>
    <mergeCell ref="B44:B46"/>
    <mergeCell ref="A78:F78"/>
    <mergeCell ref="A39:F39"/>
    <mergeCell ref="A40:F40"/>
    <mergeCell ref="A41:F41"/>
    <mergeCell ref="A43:F43"/>
    <mergeCell ref="A1:F1"/>
    <mergeCell ref="A2:F2"/>
    <mergeCell ref="A3:F3"/>
    <mergeCell ref="M3:O3"/>
    <mergeCell ref="A4:F4"/>
  </mergeCells>
  <pageMargins left="0.23622047244094491" right="0.27559055118110237" top="0.49" bottom="0.56000000000000005" header="0.31496062992125984" footer="0.31496062992125984"/>
  <pageSetup scale="51" orientation="portrait" r:id="rId1"/>
  <rowBreaks count="2" manualBreakCount="2">
    <brk id="38" max="5" man="1"/>
    <brk id="7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895F-6B79-44FC-98C2-8507F8DBE61B}">
  <dimension ref="A1:S48"/>
  <sheetViews>
    <sheetView view="pageBreakPreview" zoomScale="60" zoomScaleNormal="55" workbookViewId="0">
      <selection activeCell="D54" sqref="D54"/>
    </sheetView>
  </sheetViews>
  <sheetFormatPr defaultColWidth="21.88671875" defaultRowHeight="25.8" x14ac:dyDescent="0.5"/>
  <cols>
    <col min="1" max="1" width="77" style="508" customWidth="1"/>
    <col min="2" max="2" width="24.109375" style="508" customWidth="1"/>
    <col min="3" max="3" width="19.88671875" style="508" customWidth="1"/>
    <col min="4" max="4" width="22.33203125" style="508" customWidth="1"/>
    <col min="5" max="5" width="22.44140625" style="508" customWidth="1"/>
    <col min="6" max="16384" width="21.88671875" style="508"/>
  </cols>
  <sheetData>
    <row r="1" spans="1:19" x14ac:dyDescent="0.5">
      <c r="A1" s="507"/>
      <c r="B1" s="507"/>
      <c r="C1" s="507"/>
      <c r="D1" s="507"/>
      <c r="E1" s="507"/>
    </row>
    <row r="2" spans="1:19" x14ac:dyDescent="0.5">
      <c r="A2" s="507"/>
      <c r="B2" s="507"/>
      <c r="C2" s="507"/>
      <c r="D2" s="507"/>
      <c r="E2" s="507"/>
    </row>
    <row r="3" spans="1:19" ht="34.5" customHeight="1" x14ac:dyDescent="0.7">
      <c r="A3" s="509" t="s">
        <v>331</v>
      </c>
      <c r="B3" s="509"/>
      <c r="C3" s="509"/>
      <c r="D3" s="509"/>
      <c r="E3" s="509"/>
      <c r="F3" s="509"/>
      <c r="G3" s="509"/>
      <c r="H3" s="509"/>
      <c r="L3" s="510"/>
      <c r="M3" s="510"/>
      <c r="N3" s="510"/>
    </row>
    <row r="4" spans="1:19" ht="42" customHeight="1" x14ac:dyDescent="0.55000000000000004">
      <c r="A4" s="511" t="s">
        <v>270</v>
      </c>
      <c r="B4" s="511"/>
      <c r="C4" s="511"/>
      <c r="D4" s="511"/>
      <c r="E4" s="511"/>
      <c r="F4" s="511"/>
      <c r="G4" s="511"/>
      <c r="H4" s="511"/>
    </row>
    <row r="5" spans="1:19" ht="28.5" customHeight="1" x14ac:dyDescent="0.5">
      <c r="A5" s="512" t="s">
        <v>0</v>
      </c>
      <c r="B5" s="513" t="str">
        <f>Assumptions.1!J18</f>
        <v>Provisional / Audited</v>
      </c>
      <c r="C5" s="514" t="str">
        <f>'Working for PL &amp; BS'!D5</f>
        <v>Estimated</v>
      </c>
      <c r="D5" s="514" t="str">
        <f>'Working for PL &amp; BS'!E5</f>
        <v>Projected</v>
      </c>
      <c r="E5" s="514" t="str">
        <f>'Working for PL &amp; BS'!F5</f>
        <v>Projected</v>
      </c>
      <c r="F5" s="514" t="str">
        <f>'Working for PL &amp; BS'!G5</f>
        <v>Projected</v>
      </c>
      <c r="G5" s="514" t="str">
        <f>'Working for PL &amp; BS'!H5</f>
        <v>Projected</v>
      </c>
      <c r="H5" s="514" t="str">
        <f>'Working for PL &amp; BS'!I5</f>
        <v>Projected</v>
      </c>
    </row>
    <row r="6" spans="1:19" ht="37.5" customHeight="1" thickBot="1" x14ac:dyDescent="0.55000000000000004">
      <c r="A6" s="515"/>
      <c r="B6" s="516">
        <f>Assumptions.1!I18</f>
        <v>0</v>
      </c>
      <c r="C6" s="517">
        <f>'Working for PL &amp; BS'!C6</f>
        <v>0</v>
      </c>
      <c r="D6" s="517">
        <f>'Working for PL &amp; BS'!D6</f>
        <v>0</v>
      </c>
      <c r="E6" s="517">
        <f>'Working for PL &amp; BS'!E6</f>
        <v>0</v>
      </c>
      <c r="F6" s="517">
        <f>'Working for PL &amp; BS'!F6</f>
        <v>0</v>
      </c>
      <c r="G6" s="517">
        <f>'Working for PL &amp; BS'!G6</f>
        <v>0</v>
      </c>
      <c r="H6" s="517">
        <f>'Working for PL &amp; BS'!H6</f>
        <v>0</v>
      </c>
    </row>
    <row r="7" spans="1:19" s="518" customFormat="1" ht="38.4" thickTop="1" x14ac:dyDescent="0.5">
      <c r="B7" s="519" t="s">
        <v>264</v>
      </c>
      <c r="C7" s="519" t="s">
        <v>263</v>
      </c>
      <c r="D7" s="519" t="s">
        <v>263</v>
      </c>
      <c r="E7" s="519" t="s">
        <v>263</v>
      </c>
      <c r="F7" s="519" t="s">
        <v>263</v>
      </c>
      <c r="G7" s="519" t="s">
        <v>263</v>
      </c>
      <c r="H7" s="519" t="s">
        <v>263</v>
      </c>
    </row>
    <row r="8" spans="1:19" s="518" customFormat="1" x14ac:dyDescent="0.5">
      <c r="A8" s="520" t="s">
        <v>260</v>
      </c>
      <c r="B8" s="520"/>
      <c r="D8" s="521"/>
    </row>
    <row r="9" spans="1:19" s="518" customFormat="1" ht="33" customHeight="1" x14ac:dyDescent="0.5">
      <c r="A9" s="508" t="s">
        <v>421</v>
      </c>
      <c r="B9" s="526">
        <f>'Working for PL &amp; BS'!C10</f>
        <v>0</v>
      </c>
      <c r="C9" s="526" t="e">
        <f>'Working for PL &amp; BS'!D10</f>
        <v>#DIV/0!</v>
      </c>
      <c r="D9" s="526" t="e">
        <f>'Working for PL &amp; BS'!E10</f>
        <v>#DIV/0!</v>
      </c>
      <c r="E9" s="526" t="e">
        <f>'Working for PL &amp; BS'!F10</f>
        <v>#DIV/0!</v>
      </c>
      <c r="F9" s="526" t="e">
        <f>'Working for PL &amp; BS'!G10</f>
        <v>#DIV/0!</v>
      </c>
      <c r="G9" s="526" t="e">
        <f>'Working for PL &amp; BS'!H10</f>
        <v>#DIV/0!</v>
      </c>
      <c r="H9" s="526" t="e">
        <f>'Working for PL &amp; BS'!I10</f>
        <v>#DIV/0!</v>
      </c>
    </row>
    <row r="10" spans="1:19" ht="37.5" customHeight="1" x14ac:dyDescent="0.5">
      <c r="A10" s="508" t="s">
        <v>127</v>
      </c>
      <c r="B10" s="527">
        <f>'Working for PL &amp; BS'!C17</f>
        <v>0</v>
      </c>
      <c r="C10" s="527" t="e">
        <f>'Working for PL &amp; BS'!D17</f>
        <v>#DIV/0!</v>
      </c>
      <c r="D10" s="527" t="e">
        <f>'Working for PL &amp; BS'!E17</f>
        <v>#DIV/0!</v>
      </c>
      <c r="E10" s="527" t="e">
        <f>'Working for PL &amp; BS'!F17</f>
        <v>#DIV/0!</v>
      </c>
      <c r="F10" s="527" t="e">
        <f>'Working for PL &amp; BS'!G17</f>
        <v>#DIV/0!</v>
      </c>
      <c r="G10" s="527" t="e">
        <f>'Working for PL &amp; BS'!H17</f>
        <v>#DIV/0!</v>
      </c>
      <c r="H10" s="527" t="e">
        <f>'Working for PL &amp; BS'!I17</f>
        <v>#DIV/0!</v>
      </c>
      <c r="K10" s="524"/>
      <c r="S10" s="522"/>
    </row>
    <row r="11" spans="1:19" ht="36" customHeight="1" x14ac:dyDescent="0.5">
      <c r="A11" s="508" t="s">
        <v>420</v>
      </c>
      <c r="B11" s="528">
        <f>'Working for PL &amp; BS'!C18</f>
        <v>0</v>
      </c>
      <c r="C11" s="528">
        <f>'Working for PL &amp; BS'!D18</f>
        <v>0</v>
      </c>
      <c r="D11" s="528">
        <f>'Working for PL &amp; BS'!E18</f>
        <v>0</v>
      </c>
      <c r="E11" s="528">
        <f>'Working for PL &amp; BS'!F18</f>
        <v>0</v>
      </c>
      <c r="F11" s="527">
        <f>'Working for PL &amp; BS'!G18</f>
        <v>0</v>
      </c>
      <c r="G11" s="527">
        <f>'Working for PL &amp; BS'!H18</f>
        <v>0</v>
      </c>
      <c r="H11" s="527">
        <f>'Working for PL &amp; BS'!I18</f>
        <v>0</v>
      </c>
      <c r="I11" s="522"/>
    </row>
    <row r="12" spans="1:19" s="518" customFormat="1" ht="40.5" customHeight="1" x14ac:dyDescent="0.5">
      <c r="A12" s="508" t="s">
        <v>228</v>
      </c>
      <c r="B12" s="526">
        <f>'Working for PL &amp; BS'!C23</f>
        <v>0</v>
      </c>
      <c r="C12" s="526">
        <f>'Working for PL &amp; BS'!D23</f>
        <v>0</v>
      </c>
      <c r="D12" s="526">
        <f>'Working for PL &amp; BS'!E23</f>
        <v>0</v>
      </c>
      <c r="E12" s="526">
        <f>'Working for PL &amp; BS'!F23</f>
        <v>0</v>
      </c>
      <c r="F12" s="526">
        <f>'Working for PL &amp; BS'!G23</f>
        <v>0</v>
      </c>
      <c r="G12" s="526">
        <f>'Working for PL &amp; BS'!H23</f>
        <v>0</v>
      </c>
      <c r="H12" s="526">
        <f>'Working for PL &amp; BS'!I23</f>
        <v>0</v>
      </c>
    </row>
    <row r="13" spans="1:19" s="518" customFormat="1" ht="40.5" customHeight="1" x14ac:dyDescent="0.5">
      <c r="A13" s="508" t="s">
        <v>81</v>
      </c>
      <c r="B13" s="526">
        <f>'Working for PL &amp; BS'!C83</f>
        <v>0</v>
      </c>
      <c r="C13" s="526" t="e">
        <f>'Working for PL &amp; BS'!D83</f>
        <v>#DIV/0!</v>
      </c>
      <c r="D13" s="526" t="e">
        <f>'Working for PL &amp; BS'!E83</f>
        <v>#DIV/0!</v>
      </c>
      <c r="E13" s="526" t="e">
        <f>'Working for PL &amp; BS'!F83</f>
        <v>#DIV/0!</v>
      </c>
      <c r="F13" s="526" t="e">
        <f>'Working for PL &amp; BS'!G83</f>
        <v>#DIV/0!</v>
      </c>
      <c r="G13" s="526" t="e">
        <f>'Working for PL &amp; BS'!H83</f>
        <v>#DIV/0!</v>
      </c>
      <c r="H13" s="526" t="e">
        <f>'Working for PL &amp; BS'!I83</f>
        <v>#DIV/0!</v>
      </c>
    </row>
    <row r="14" spans="1:19" s="518" customFormat="1" ht="40.5" customHeight="1" x14ac:dyDescent="0.5">
      <c r="A14" s="508" t="s">
        <v>205</v>
      </c>
      <c r="B14" s="526">
        <f>'Working for PL &amp; BS'!C84</f>
        <v>0</v>
      </c>
      <c r="C14" s="526">
        <f>'Working for PL &amp; BS'!D84</f>
        <v>0</v>
      </c>
      <c r="D14" s="526">
        <f>'Working for PL &amp; BS'!E84</f>
        <v>0</v>
      </c>
      <c r="E14" s="526">
        <f>'Working for PL &amp; BS'!F84</f>
        <v>0</v>
      </c>
      <c r="F14" s="526">
        <f>'Working for PL &amp; BS'!G84</f>
        <v>0</v>
      </c>
      <c r="G14" s="526">
        <f>'Working for PL &amp; BS'!H84</f>
        <v>0</v>
      </c>
      <c r="H14" s="526">
        <f>'Working for PL &amp; BS'!I84</f>
        <v>0</v>
      </c>
    </row>
    <row r="15" spans="1:19" s="518" customFormat="1" ht="40.5" customHeight="1" x14ac:dyDescent="0.5">
      <c r="A15" s="508" t="s">
        <v>82</v>
      </c>
      <c r="B15" s="526">
        <f>'Working for PL &amp; BS'!C85</f>
        <v>0</v>
      </c>
      <c r="C15" s="526" t="e">
        <f>'Working for PL &amp; BS'!D85</f>
        <v>#DIV/0!</v>
      </c>
      <c r="D15" s="526" t="e">
        <f>'Working for PL &amp; BS'!E85</f>
        <v>#DIV/0!</v>
      </c>
      <c r="E15" s="526" t="e">
        <f>'Working for PL &amp; BS'!F85</f>
        <v>#DIV/0!</v>
      </c>
      <c r="F15" s="526" t="e">
        <f>'Working for PL &amp; BS'!G85</f>
        <v>#DIV/0!</v>
      </c>
      <c r="G15" s="526" t="e">
        <f>'Working for PL &amp; BS'!H85</f>
        <v>#DIV/0!</v>
      </c>
      <c r="H15" s="526" t="e">
        <f>'Working for PL &amp; BS'!I85</f>
        <v>#DIV/0!</v>
      </c>
    </row>
    <row r="16" spans="1:19" s="518" customFormat="1" ht="40.5" customHeight="1" x14ac:dyDescent="0.5">
      <c r="A16" s="508" t="s">
        <v>326</v>
      </c>
      <c r="B16" s="526">
        <f>'Working for PL &amp; BS'!C88</f>
        <v>0</v>
      </c>
      <c r="C16" s="526" t="e">
        <f>'Working for PL &amp; BS'!D88</f>
        <v>#DIV/0!</v>
      </c>
      <c r="D16" s="526" t="e">
        <f>'Working for PL &amp; BS'!E88</f>
        <v>#DIV/0!</v>
      </c>
      <c r="E16" s="526" t="e">
        <f>'Working for PL &amp; BS'!F88</f>
        <v>#DIV/0!</v>
      </c>
      <c r="F16" s="526" t="e">
        <f>'Working for PL &amp; BS'!G88</f>
        <v>#DIV/0!</v>
      </c>
      <c r="G16" s="526" t="e">
        <f>'Working for PL &amp; BS'!H88</f>
        <v>#DIV/0!</v>
      </c>
      <c r="H16" s="526" t="e">
        <f>'Working for PL &amp; BS'!I88</f>
        <v>#DIV/0!</v>
      </c>
    </row>
    <row r="17" spans="1:8" s="518" customFormat="1" ht="40.5" customHeight="1" x14ac:dyDescent="0.5">
      <c r="A17" s="508" t="s">
        <v>165</v>
      </c>
      <c r="B17" s="527">
        <f>'Working for PL &amp; BS'!C98</f>
        <v>0</v>
      </c>
      <c r="C17" s="527" t="e">
        <f>'Working for PL &amp; BS'!D98</f>
        <v>#DIV/0!</v>
      </c>
      <c r="D17" s="527">
        <f>IF(C23=0,0,'Working for PL &amp; BS'!E98)</f>
        <v>0</v>
      </c>
      <c r="E17" s="527">
        <f>IF(D23=0,0,'Working for PL &amp; BS'!F98)</f>
        <v>0</v>
      </c>
      <c r="F17" s="527">
        <f>IF(E23=0,0,'Working for PL &amp; BS'!G98)</f>
        <v>0</v>
      </c>
      <c r="G17" s="527">
        <f>IF(F23=0,0,'Working for PL &amp; BS'!H98)</f>
        <v>0</v>
      </c>
      <c r="H17" s="527">
        <f>IF(G23=0,0,'Working for PL &amp; BS'!I98)</f>
        <v>0</v>
      </c>
    </row>
    <row r="18" spans="1:8" s="518" customFormat="1" ht="40.5" customHeight="1" x14ac:dyDescent="0.5">
      <c r="A18" s="508" t="s">
        <v>98</v>
      </c>
      <c r="B18" s="527">
        <f>'Working for PL &amp; BS'!C99</f>
        <v>0</v>
      </c>
      <c r="C18" s="527" t="e">
        <f>'Working for PL &amp; BS'!D99</f>
        <v>#DIV/0!</v>
      </c>
      <c r="D18" s="527" t="e">
        <f>'Working for PL &amp; BS'!E99</f>
        <v>#DIV/0!</v>
      </c>
      <c r="E18" s="527" t="e">
        <f>'Working for PL &amp; BS'!F99</f>
        <v>#DIV/0!</v>
      </c>
      <c r="F18" s="527" t="e">
        <f>'Working for PL &amp; BS'!G99</f>
        <v>#DIV/0!</v>
      </c>
      <c r="G18" s="527" t="e">
        <f>'Working for PL &amp; BS'!H99</f>
        <v>#DIV/0!</v>
      </c>
      <c r="H18" s="527" t="e">
        <f>'Working for PL &amp; BS'!I99</f>
        <v>#DIV/0!</v>
      </c>
    </row>
    <row r="19" spans="1:8" s="518" customFormat="1" ht="40.5" customHeight="1" x14ac:dyDescent="0.5">
      <c r="A19" s="508" t="str">
        <f>'Working for PL &amp; BS'!A100</f>
        <v>Interest on New Term loan</v>
      </c>
      <c r="B19" s="527">
        <f>'Working for PL &amp; BS'!C110</f>
        <v>0</v>
      </c>
      <c r="C19" s="527" t="e">
        <f>'Working for PL &amp; BS'!D110</f>
        <v>#DIV/0!</v>
      </c>
      <c r="D19" s="527" t="e">
        <f>'Working for PL &amp; BS'!E110</f>
        <v>#DIV/0!</v>
      </c>
      <c r="E19" s="527" t="e">
        <f>'Working for PL &amp; BS'!F110</f>
        <v>#DIV/0!</v>
      </c>
      <c r="F19" s="527" t="e">
        <f>'Working for PL &amp; BS'!G110</f>
        <v>#DIV/0!</v>
      </c>
      <c r="G19" s="527" t="e">
        <f>'Working for PL &amp; BS'!H110</f>
        <v>#DIV/0!</v>
      </c>
      <c r="H19" s="527" t="e">
        <f>'Working for PL &amp; BS'!I110</f>
        <v>#DIV/0!</v>
      </c>
    </row>
    <row r="20" spans="1:8" s="518" customFormat="1" ht="40.5" customHeight="1" x14ac:dyDescent="0.5">
      <c r="A20" s="508" t="s">
        <v>377</v>
      </c>
      <c r="B20" s="522">
        <f>PLBS!C36</f>
        <v>0</v>
      </c>
      <c r="C20" s="522" t="e">
        <f>PLBS!D36</f>
        <v>#DIV/0!</v>
      </c>
      <c r="D20" s="522" t="e">
        <f>PLBS!E36</f>
        <v>#DIV/0!</v>
      </c>
      <c r="E20" s="522" t="e">
        <f>PLBS!F36</f>
        <v>#DIV/0!</v>
      </c>
      <c r="F20" s="522" t="e">
        <f>PLBS!G36</f>
        <v>#DIV/0!</v>
      </c>
      <c r="G20" s="522" t="e">
        <f>PLBS!H36</f>
        <v>#DIV/0!</v>
      </c>
      <c r="H20" s="522" t="e">
        <f>PLBS!I36</f>
        <v>#DIV/0!</v>
      </c>
    </row>
    <row r="21" spans="1:8" s="518" customFormat="1" ht="40.5" customHeight="1" x14ac:dyDescent="0.5">
      <c r="A21" s="508"/>
      <c r="B21" s="523"/>
      <c r="C21" s="523"/>
      <c r="D21" s="523"/>
      <c r="E21" s="523"/>
    </row>
    <row r="22" spans="1:8" s="518" customFormat="1" ht="40.5" customHeight="1" x14ac:dyDescent="0.5">
      <c r="A22" s="520" t="s">
        <v>261</v>
      </c>
      <c r="B22" s="520"/>
      <c r="C22" s="522"/>
      <c r="D22" s="522"/>
      <c r="E22" s="522"/>
    </row>
    <row r="23" spans="1:8" ht="39" customHeight="1" x14ac:dyDescent="0.5">
      <c r="A23" s="508" t="s">
        <v>380</v>
      </c>
      <c r="B23" s="527">
        <f>ROUND('Working for PL &amp; BS'!C52,-4)</f>
        <v>0</v>
      </c>
      <c r="C23" s="527">
        <f>ROUND('Working for PL &amp; BS'!D52,-4)</f>
        <v>0</v>
      </c>
      <c r="D23" s="527">
        <f>ROUND('Working for PL &amp; BS'!E52,-4)</f>
        <v>0</v>
      </c>
      <c r="E23" s="527">
        <f>ROUND('Working for PL &amp; BS'!F52,-4)</f>
        <v>0</v>
      </c>
      <c r="F23" s="527">
        <f>ROUND('Working for PL &amp; BS'!G52,-4)</f>
        <v>0</v>
      </c>
      <c r="G23" s="527">
        <f>ROUND('Working for PL &amp; BS'!H52,-4)</f>
        <v>0</v>
      </c>
      <c r="H23" s="527">
        <f>ROUND('Working for PL &amp; BS'!I52,-4)</f>
        <v>0</v>
      </c>
    </row>
    <row r="24" spans="1:8" ht="39" customHeight="1" x14ac:dyDescent="0.5">
      <c r="A24" s="508" t="str">
        <f>'Working for PL &amp; BS'!A53</f>
        <v>New Term Loan</v>
      </c>
      <c r="B24" s="526">
        <f>'Working for PL &amp; BS'!C117</f>
        <v>0</v>
      </c>
      <c r="C24" s="526" t="e">
        <f>'Working for PL &amp; BS'!D119</f>
        <v>#DIV/0!</v>
      </c>
      <c r="D24" s="526" t="e">
        <f>'Working for PL &amp; BS'!E119</f>
        <v>#DIV/0!</v>
      </c>
      <c r="E24" s="526" t="e">
        <f>'Working for PL &amp; BS'!F119</f>
        <v>#DIV/0!</v>
      </c>
      <c r="F24" s="526" t="e">
        <f>'Working for PL &amp; BS'!G119</f>
        <v>#DIV/0!</v>
      </c>
      <c r="G24" s="526" t="e">
        <f>'Working for PL &amp; BS'!H119</f>
        <v>#DIV/0!</v>
      </c>
      <c r="H24" s="526" t="e">
        <f>'Working for PL &amp; BS'!I119</f>
        <v>#DIV/0!</v>
      </c>
    </row>
    <row r="25" spans="1:8" ht="39" customHeight="1" x14ac:dyDescent="0.5">
      <c r="A25" s="508" t="str">
        <f>'Working for PL &amp; BS'!A58</f>
        <v>Short Term Loan Outstanding</v>
      </c>
      <c r="B25" s="526">
        <f>'Working for PL &amp; BS'!C58</f>
        <v>0</v>
      </c>
      <c r="C25" s="526" t="e">
        <f>'Working for PL &amp; BS'!D118</f>
        <v>#DIV/0!</v>
      </c>
      <c r="D25" s="526" t="e">
        <f>'Working for PL &amp; BS'!E118</f>
        <v>#DIV/0!</v>
      </c>
      <c r="E25" s="526" t="e">
        <f>'Working for PL &amp; BS'!F118</f>
        <v>#DIV/0!</v>
      </c>
      <c r="F25" s="526" t="e">
        <f>'Working for PL &amp; BS'!G118</f>
        <v>#DIV/0!</v>
      </c>
      <c r="G25" s="526" t="e">
        <f>'Working for PL &amp; BS'!H118</f>
        <v>#DIV/0!</v>
      </c>
      <c r="H25" s="526" t="e">
        <f>'Working for PL &amp; BS'!I118</f>
        <v>#DIV/0!</v>
      </c>
    </row>
    <row r="26" spans="1:8" ht="42.75" customHeight="1" x14ac:dyDescent="0.5">
      <c r="A26" s="508" t="s">
        <v>171</v>
      </c>
      <c r="B26" s="527">
        <f>'Working for PL &amp; BS'!C56</f>
        <v>0</v>
      </c>
      <c r="C26" s="527" t="e">
        <f>'Working for PL &amp; BS'!D56</f>
        <v>#DIV/0!</v>
      </c>
      <c r="D26" s="527" t="e">
        <f>'Working for PL &amp; BS'!E56</f>
        <v>#DIV/0!</v>
      </c>
      <c r="E26" s="527" t="e">
        <f>'Working for PL &amp; BS'!F56</f>
        <v>#DIV/0!</v>
      </c>
      <c r="F26" s="527" t="e">
        <f>'Working for PL &amp; BS'!G56</f>
        <v>#DIV/0!</v>
      </c>
      <c r="G26" s="527" t="e">
        <f>'Working for PL &amp; BS'!H56</f>
        <v>#DIV/0!</v>
      </c>
      <c r="H26" s="527" t="e">
        <f>'Working for PL &amp; BS'!I56</f>
        <v>#DIV/0!</v>
      </c>
    </row>
    <row r="27" spans="1:8" ht="51" customHeight="1" x14ac:dyDescent="0.5">
      <c r="A27" s="508" t="s">
        <v>167</v>
      </c>
      <c r="B27" s="526">
        <f>'Working for PL &amp; BS'!C57</f>
        <v>0</v>
      </c>
      <c r="C27" s="526">
        <f>'Working for PL &amp; BS'!D57</f>
        <v>10000000</v>
      </c>
      <c r="D27" s="526">
        <f>'Working for PL &amp; BS'!E57</f>
        <v>10000000</v>
      </c>
      <c r="E27" s="526">
        <f>'Working for PL &amp; BS'!F57</f>
        <v>10000000</v>
      </c>
      <c r="F27" s="526">
        <f>'Working for PL &amp; BS'!G57</f>
        <v>10000000</v>
      </c>
      <c r="G27" s="526">
        <f>'Working for PL &amp; BS'!H57</f>
        <v>10000000</v>
      </c>
      <c r="H27" s="526">
        <f>'Working for PL &amp; BS'!I57</f>
        <v>10000000</v>
      </c>
    </row>
    <row r="28" spans="1:8" ht="31.5" customHeight="1" x14ac:dyDescent="0.5">
      <c r="A28" s="508" t="s">
        <v>225</v>
      </c>
      <c r="B28" s="526">
        <f>'Working for PL &amp; BS'!C67</f>
        <v>0</v>
      </c>
      <c r="C28" s="526">
        <f>'Working for PL &amp; BS'!D67</f>
        <v>0</v>
      </c>
      <c r="D28" s="526">
        <f>'Working for PL &amp; BS'!E67</f>
        <v>0</v>
      </c>
      <c r="E28" s="526">
        <f>'Working for PL &amp; BS'!F67</f>
        <v>0</v>
      </c>
      <c r="F28" s="526">
        <f>'Working for PL &amp; BS'!G67</f>
        <v>0</v>
      </c>
      <c r="G28" s="526">
        <f>'Working for PL &amp; BS'!H67</f>
        <v>0</v>
      </c>
      <c r="H28" s="526">
        <f>'Working for PL &amp; BS'!I67</f>
        <v>0</v>
      </c>
    </row>
    <row r="29" spans="1:8" ht="42.75" customHeight="1" x14ac:dyDescent="0.5">
      <c r="A29" s="508" t="s">
        <v>169</v>
      </c>
      <c r="B29" s="526">
        <f>'Working for PL &amp; BS'!C70</f>
        <v>0</v>
      </c>
      <c r="C29" s="526">
        <f>'Working for PL &amp; BS'!D70</f>
        <v>2000000</v>
      </c>
      <c r="D29" s="526">
        <f>'Working for PL &amp; BS'!E70</f>
        <v>1700000</v>
      </c>
      <c r="E29" s="526">
        <f>'Working for PL &amp; BS'!F70</f>
        <v>1500000</v>
      </c>
      <c r="F29" s="526">
        <f>'Working for PL &amp; BS'!G70</f>
        <v>1500000</v>
      </c>
      <c r="G29" s="526">
        <f>'Working for PL &amp; BS'!H70</f>
        <v>1500000</v>
      </c>
      <c r="H29" s="526">
        <f>'Working for PL &amp; BS'!I70</f>
        <v>1500000</v>
      </c>
    </row>
    <row r="30" spans="1:8" ht="44.25" customHeight="1" x14ac:dyDescent="0.5">
      <c r="A30" s="508" t="s">
        <v>4</v>
      </c>
      <c r="B30" s="526">
        <f>'Working for PL &amp; BS'!C72</f>
        <v>0</v>
      </c>
      <c r="C30" s="526" t="e">
        <f>'Working for PL &amp; BS'!D72</f>
        <v>#DIV/0!</v>
      </c>
      <c r="D30" s="526" t="e">
        <f>'Working for PL &amp; BS'!E72</f>
        <v>#DIV/0!</v>
      </c>
      <c r="E30" s="526" t="e">
        <f>'Working for PL &amp; BS'!F72</f>
        <v>#DIV/0!</v>
      </c>
      <c r="F30" s="526" t="e">
        <f>'Working for PL &amp; BS'!G72</f>
        <v>#DIV/0!</v>
      </c>
      <c r="G30" s="526" t="e">
        <f>'Working for PL &amp; BS'!H72</f>
        <v>#DIV/0!</v>
      </c>
      <c r="H30" s="526" t="e">
        <f>'Working for PL &amp; BS'!I72</f>
        <v>#DIV/0!</v>
      </c>
    </row>
    <row r="31" spans="1:8" ht="39" customHeight="1" x14ac:dyDescent="0.5">
      <c r="A31" s="508" t="s">
        <v>72</v>
      </c>
      <c r="B31" s="526">
        <f>'Working for PL &amp; BS'!C73</f>
        <v>0</v>
      </c>
      <c r="C31" s="526" t="e">
        <f>'Working for PL &amp; BS'!D73</f>
        <v>#DIV/0!</v>
      </c>
      <c r="D31" s="526" t="e">
        <f>'Working for PL &amp; BS'!E73</f>
        <v>#DIV/0!</v>
      </c>
      <c r="E31" s="526" t="e">
        <f>'Working for PL &amp; BS'!F73</f>
        <v>#DIV/0!</v>
      </c>
      <c r="F31" s="526" t="e">
        <f>'Working for PL &amp; BS'!G73</f>
        <v>#DIV/0!</v>
      </c>
      <c r="G31" s="526" t="e">
        <f>'Working for PL &amp; BS'!H73</f>
        <v>#DIV/0!</v>
      </c>
      <c r="H31" s="526" t="e">
        <f>'Working for PL &amp; BS'!I73</f>
        <v>#DIV/0!</v>
      </c>
    </row>
    <row r="32" spans="1:8" ht="33" customHeight="1" x14ac:dyDescent="0.5">
      <c r="C32" s="523"/>
      <c r="D32" s="523"/>
      <c r="E32" s="523"/>
    </row>
    <row r="33" spans="1:8" ht="33" customHeight="1" x14ac:dyDescent="0.5">
      <c r="A33" s="520" t="s">
        <v>262</v>
      </c>
      <c r="B33" s="520"/>
      <c r="C33" s="522"/>
      <c r="D33" s="522"/>
      <c r="E33" s="522"/>
    </row>
    <row r="34" spans="1:8" ht="34.5" customHeight="1" x14ac:dyDescent="0.5">
      <c r="A34" s="508" t="s">
        <v>265</v>
      </c>
      <c r="B34" s="525" t="e">
        <f>RATIO!C42</f>
        <v>#DIV/0!</v>
      </c>
      <c r="C34" s="525" t="e">
        <f>RATIO!D42</f>
        <v>#DIV/0!</v>
      </c>
      <c r="D34" s="525" t="e">
        <f>RATIO!E42</f>
        <v>#DIV/0!</v>
      </c>
      <c r="E34" s="525" t="e">
        <f>RATIO!F42</f>
        <v>#DIV/0!</v>
      </c>
      <c r="F34" s="525" t="e">
        <f>RATIO!G42</f>
        <v>#DIV/0!</v>
      </c>
      <c r="G34" s="525" t="e">
        <f>RATIO!H42</f>
        <v>#DIV/0!</v>
      </c>
      <c r="H34" s="525" t="e">
        <f>RATIO!I42</f>
        <v>#DIV/0!</v>
      </c>
    </row>
    <row r="35" spans="1:8" ht="25.5" customHeight="1" x14ac:dyDescent="0.5">
      <c r="A35" s="508" t="s">
        <v>266</v>
      </c>
      <c r="B35" s="525" t="e">
        <f>RATIO!C50</f>
        <v>#DIV/0!</v>
      </c>
      <c r="C35" s="525" t="e">
        <f>RATIO!D50</f>
        <v>#DIV/0!</v>
      </c>
      <c r="D35" s="525" t="e">
        <f>RATIO!E50</f>
        <v>#DIV/0!</v>
      </c>
      <c r="E35" s="525" t="e">
        <f>RATIO!F50</f>
        <v>#DIV/0!</v>
      </c>
      <c r="F35" s="525" t="e">
        <f>RATIO!G50</f>
        <v>#DIV/0!</v>
      </c>
      <c r="G35" s="525" t="e">
        <f>RATIO!H50</f>
        <v>#DIV/0!</v>
      </c>
      <c r="H35" s="525" t="e">
        <f>RATIO!I50</f>
        <v>#DIV/0!</v>
      </c>
    </row>
    <row r="36" spans="1:8" ht="25.5" customHeight="1" x14ac:dyDescent="0.5">
      <c r="A36" s="508" t="s">
        <v>267</v>
      </c>
      <c r="B36" s="525" t="e">
        <f>RATIO!C84</f>
        <v>#DIV/0!</v>
      </c>
      <c r="C36" s="525" t="e">
        <f>RATIO!D84</f>
        <v>#DIV/0!</v>
      </c>
      <c r="D36" s="525" t="e">
        <f>RATIO!E84</f>
        <v>#DIV/0!</v>
      </c>
      <c r="E36" s="525" t="e">
        <f>RATIO!F84</f>
        <v>#DIV/0!</v>
      </c>
      <c r="F36" s="525" t="e">
        <f>RATIO!G84</f>
        <v>#DIV/0!</v>
      </c>
      <c r="G36" s="525" t="e">
        <f>RATIO!H84</f>
        <v>#DIV/0!</v>
      </c>
      <c r="H36" s="525" t="e">
        <f>RATIO!I84</f>
        <v>#DIV/0!</v>
      </c>
    </row>
    <row r="37" spans="1:8" x14ac:dyDescent="0.5">
      <c r="A37" s="508" t="s">
        <v>268</v>
      </c>
      <c r="B37" s="525" t="e">
        <f>RATIO!C31</f>
        <v>#DIV/0!</v>
      </c>
      <c r="C37" s="525" t="e">
        <f>RATIO!D31</f>
        <v>#DIV/0!</v>
      </c>
      <c r="D37" s="525" t="e">
        <f>RATIO!E31</f>
        <v>#DIV/0!</v>
      </c>
      <c r="E37" s="525" t="e">
        <f>RATIO!F31</f>
        <v>#DIV/0!</v>
      </c>
      <c r="F37" s="525" t="e">
        <f>RATIO!G31</f>
        <v>#DIV/0!</v>
      </c>
      <c r="G37" s="525" t="e">
        <f>RATIO!H31</f>
        <v>#DIV/0!</v>
      </c>
      <c r="H37" s="525" t="e">
        <f>RATIO!I31</f>
        <v>#DIV/0!</v>
      </c>
    </row>
    <row r="38" spans="1:8" x14ac:dyDescent="0.5">
      <c r="A38" s="508" t="s">
        <v>269</v>
      </c>
      <c r="B38" s="525" t="e">
        <f>RATIO!C58</f>
        <v>#DIV/0!</v>
      </c>
      <c r="C38" s="525" t="e">
        <f>RATIO!D58</f>
        <v>#DIV/0!</v>
      </c>
      <c r="D38" s="525" t="e">
        <f>RATIO!E58</f>
        <v>#DIV/0!</v>
      </c>
      <c r="E38" s="525" t="e">
        <f>RATIO!F58</f>
        <v>#DIV/0!</v>
      </c>
      <c r="F38" s="525" t="e">
        <f>RATIO!G58</f>
        <v>#DIV/0!</v>
      </c>
      <c r="G38" s="525" t="e">
        <f>RATIO!H58</f>
        <v>#DIV/0!</v>
      </c>
      <c r="H38" s="525" t="e">
        <f>RATIO!I58</f>
        <v>#DIV/0!</v>
      </c>
    </row>
    <row r="39" spans="1:8" x14ac:dyDescent="0.5">
      <c r="B39" s="525"/>
      <c r="C39" s="525"/>
      <c r="D39" s="525"/>
      <c r="E39" s="525"/>
      <c r="F39" s="525"/>
      <c r="G39" s="525"/>
      <c r="H39" s="525"/>
    </row>
    <row r="40" spans="1:8" x14ac:dyDescent="0.5">
      <c r="A40" s="520" t="s">
        <v>416</v>
      </c>
      <c r="B40" s="525"/>
      <c r="C40" s="525"/>
      <c r="D40" s="525"/>
      <c r="E40" s="525"/>
      <c r="F40" s="525"/>
      <c r="G40" s="525"/>
      <c r="H40" s="525"/>
    </row>
    <row r="41" spans="1:8" x14ac:dyDescent="0.5">
      <c r="A41" s="508" t="s">
        <v>417</v>
      </c>
      <c r="B41" s="525"/>
      <c r="C41" s="527" t="e">
        <f>'MPBF '!B28</f>
        <v>#DIV/0!</v>
      </c>
      <c r="D41" s="527" t="e">
        <f>'MPBF '!C28</f>
        <v>#DIV/0!</v>
      </c>
      <c r="E41" s="527" t="e">
        <f>'MPBF '!D28</f>
        <v>#DIV/0!</v>
      </c>
      <c r="F41" s="527" t="e">
        <f>'MPBF '!E28</f>
        <v>#DIV/0!</v>
      </c>
      <c r="G41" s="527" t="e">
        <f>'MPBF '!F28</f>
        <v>#DIV/0!</v>
      </c>
      <c r="H41" s="527" t="e">
        <f>'MPBF '!G28</f>
        <v>#DIV/0!</v>
      </c>
    </row>
    <row r="42" spans="1:8" x14ac:dyDescent="0.5">
      <c r="A42" s="508" t="s">
        <v>418</v>
      </c>
      <c r="B42" s="525"/>
      <c r="C42" s="527" t="e">
        <f>'MPBF '!B52</f>
        <v>#DIV/0!</v>
      </c>
      <c r="D42" s="527" t="e">
        <f>'MPBF '!C52</f>
        <v>#DIV/0!</v>
      </c>
      <c r="E42" s="527" t="e">
        <f>'MPBF '!D52</f>
        <v>#DIV/0!</v>
      </c>
      <c r="F42" s="527" t="e">
        <f>'MPBF '!E52</f>
        <v>#DIV/0!</v>
      </c>
      <c r="G42" s="527" t="e">
        <f>'MPBF '!F52</f>
        <v>#DIV/0!</v>
      </c>
      <c r="H42" s="527" t="e">
        <f>'MPBF '!G52</f>
        <v>#DIV/0!</v>
      </c>
    </row>
    <row r="43" spans="1:8" x14ac:dyDescent="0.5">
      <c r="A43" s="508" t="s">
        <v>419</v>
      </c>
      <c r="B43" s="525"/>
      <c r="C43" s="527" t="e">
        <f>nayak!C23</f>
        <v>#DIV/0!</v>
      </c>
      <c r="D43" s="527" t="e">
        <f>nayak!D23</f>
        <v>#DIV/0!</v>
      </c>
      <c r="E43" s="527" t="e">
        <f>nayak!E23</f>
        <v>#DIV/0!</v>
      </c>
      <c r="F43" s="527" t="e">
        <f>nayak!F23</f>
        <v>#DIV/0!</v>
      </c>
      <c r="G43" s="527" t="e">
        <f>nayak!G23</f>
        <v>#DIV/0!</v>
      </c>
      <c r="H43" s="527" t="e">
        <f>nayak!H23</f>
        <v>#DIV/0!</v>
      </c>
    </row>
    <row r="44" spans="1:8" x14ac:dyDescent="0.5">
      <c r="B44" s="525"/>
      <c r="C44" s="525"/>
      <c r="D44" s="525"/>
      <c r="E44" s="525"/>
      <c r="F44" s="525"/>
      <c r="G44" s="525"/>
      <c r="H44" s="525"/>
    </row>
    <row r="45" spans="1:8" x14ac:dyDescent="0.5">
      <c r="A45" s="529"/>
      <c r="B45" s="529"/>
      <c r="C45" s="529"/>
      <c r="D45" s="529"/>
      <c r="E45" s="529"/>
      <c r="F45" s="529"/>
      <c r="G45" s="529"/>
      <c r="H45" s="529"/>
    </row>
    <row r="46" spans="1:8" ht="75.75" customHeight="1" x14ac:dyDescent="0.5">
      <c r="A46" s="530"/>
      <c r="B46" s="531"/>
      <c r="C46" s="531"/>
      <c r="D46" s="532"/>
      <c r="E46" s="532"/>
      <c r="F46" s="531"/>
      <c r="G46" s="531"/>
      <c r="H46" s="531"/>
    </row>
    <row r="47" spans="1:8" x14ac:dyDescent="0.5">
      <c r="A47" s="533"/>
      <c r="B47" s="533"/>
      <c r="C47" s="533"/>
      <c r="D47" s="533"/>
      <c r="E47" s="533"/>
      <c r="F47" s="533"/>
      <c r="G47" s="533"/>
      <c r="H47" s="533"/>
    </row>
    <row r="48" spans="1:8" x14ac:dyDescent="0.5">
      <c r="A48" s="531"/>
      <c r="B48" s="531"/>
      <c r="C48" s="531"/>
      <c r="D48" s="531"/>
      <c r="E48" s="531"/>
      <c r="F48" s="531"/>
      <c r="G48" s="531"/>
      <c r="H48" s="531"/>
    </row>
  </sheetData>
  <mergeCells count="8">
    <mergeCell ref="A47:H47"/>
    <mergeCell ref="D46:E46"/>
    <mergeCell ref="A1:E1"/>
    <mergeCell ref="A2:E2"/>
    <mergeCell ref="L3:N3"/>
    <mergeCell ref="A5:A6"/>
    <mergeCell ref="A3:H3"/>
    <mergeCell ref="A4:H4"/>
  </mergeCells>
  <pageMargins left="0.27559055118110237" right="0.23622047244094491" top="0.49" bottom="0.42" header="0.31496062992125984" footer="0.31496062992125984"/>
  <pageSetup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73C7-8812-4A97-952A-DE418E4E7DD7}">
  <dimension ref="B1:L37"/>
  <sheetViews>
    <sheetView view="pageBreakPreview" zoomScale="60" zoomScaleNormal="55" workbookViewId="0">
      <selection activeCell="S11" sqref="S11"/>
    </sheetView>
  </sheetViews>
  <sheetFormatPr defaultColWidth="9.109375" defaultRowHeight="23.4" x14ac:dyDescent="0.45"/>
  <cols>
    <col min="1" max="2" width="5.44140625" style="85" customWidth="1"/>
    <col min="3" max="3" width="8.33203125" style="85" customWidth="1"/>
    <col min="4" max="4" width="11" style="85" customWidth="1"/>
    <col min="5" max="5" width="10.5546875" style="85" customWidth="1"/>
    <col min="6" max="6" width="11.6640625" style="85" customWidth="1"/>
    <col min="7" max="7" width="12.5546875" style="85" customWidth="1"/>
    <col min="8" max="8" width="12.44140625" style="85" customWidth="1"/>
    <col min="9" max="11" width="9.109375" style="85"/>
    <col min="12" max="12" width="6" style="85" customWidth="1"/>
    <col min="13" max="13" width="4.44140625" style="85" customWidth="1"/>
    <col min="14" max="16384" width="9.109375" style="85"/>
  </cols>
  <sheetData>
    <row r="1" spans="2:12" ht="24" thickBot="1" x14ac:dyDescent="0.5"/>
    <row r="2" spans="2:12" x14ac:dyDescent="0.45">
      <c r="B2" s="87"/>
      <c r="C2" s="88"/>
      <c r="D2" s="88"/>
      <c r="E2" s="88"/>
      <c r="F2" s="88"/>
      <c r="G2" s="88"/>
      <c r="H2" s="88"/>
      <c r="I2" s="88"/>
      <c r="J2" s="88"/>
      <c r="K2" s="88"/>
      <c r="L2" s="89"/>
    </row>
    <row r="3" spans="2:12" x14ac:dyDescent="0.45">
      <c r="B3" s="90"/>
      <c r="C3" s="91"/>
      <c r="D3" s="91"/>
      <c r="E3" s="91"/>
      <c r="F3" s="91"/>
      <c r="G3" s="91"/>
      <c r="H3" s="91"/>
      <c r="I3" s="91"/>
      <c r="J3" s="91"/>
      <c r="K3" s="91"/>
      <c r="L3" s="92"/>
    </row>
    <row r="4" spans="2:12" x14ac:dyDescent="0.45">
      <c r="B4" s="90"/>
      <c r="C4" s="91"/>
      <c r="D4" s="91"/>
      <c r="E4" s="91"/>
      <c r="F4" s="91"/>
      <c r="G4" s="91"/>
      <c r="H4" s="91"/>
      <c r="I4" s="91"/>
      <c r="J4" s="91"/>
      <c r="K4" s="91"/>
      <c r="L4" s="92"/>
    </row>
    <row r="5" spans="2:12" x14ac:dyDescent="0.45">
      <c r="B5" s="90"/>
      <c r="C5" s="91"/>
      <c r="K5" s="91"/>
      <c r="L5" s="92"/>
    </row>
    <row r="6" spans="2:12" x14ac:dyDescent="0.45">
      <c r="B6" s="90"/>
      <c r="C6" s="91"/>
      <c r="D6" s="466" t="s">
        <v>389</v>
      </c>
      <c r="E6" s="466"/>
      <c r="F6" s="466"/>
      <c r="G6" s="466"/>
      <c r="H6" s="466"/>
      <c r="I6" s="466"/>
      <c r="J6" s="466"/>
      <c r="K6" s="291"/>
      <c r="L6" s="92"/>
    </row>
    <row r="7" spans="2:12" x14ac:dyDescent="0.45">
      <c r="B7" s="90"/>
      <c r="C7" s="91"/>
      <c r="K7" s="91"/>
      <c r="L7" s="92"/>
    </row>
    <row r="8" spans="2:12" x14ac:dyDescent="0.45">
      <c r="B8" s="90"/>
      <c r="C8" s="91"/>
      <c r="E8" s="466" t="s">
        <v>124</v>
      </c>
      <c r="F8" s="466"/>
      <c r="G8" s="466"/>
      <c r="H8" s="466"/>
      <c r="I8" s="466"/>
      <c r="J8" s="83"/>
      <c r="K8" s="292"/>
      <c r="L8" s="92"/>
    </row>
    <row r="9" spans="2:12" ht="32.25" customHeight="1" x14ac:dyDescent="0.45">
      <c r="B9" s="90"/>
      <c r="C9" s="91"/>
      <c r="D9" s="466">
        <f>Assumptions.1!I3</f>
        <v>0</v>
      </c>
      <c r="E9" s="466"/>
      <c r="F9" s="466"/>
      <c r="G9" s="466"/>
      <c r="H9" s="466"/>
      <c r="I9" s="466"/>
      <c r="J9" s="466"/>
      <c r="K9" s="291"/>
      <c r="L9" s="92"/>
    </row>
    <row r="10" spans="2:12" ht="32.25" customHeight="1" x14ac:dyDescent="0.45">
      <c r="B10" s="90"/>
      <c r="C10" s="91"/>
      <c r="D10" s="83"/>
      <c r="E10" s="83"/>
      <c r="F10" s="83"/>
      <c r="G10" s="83"/>
      <c r="H10" s="83"/>
      <c r="I10" s="83"/>
      <c r="J10" s="83"/>
      <c r="K10" s="292"/>
      <c r="L10" s="92"/>
    </row>
    <row r="11" spans="2:12" ht="21.75" customHeight="1" x14ac:dyDescent="0.45">
      <c r="B11" s="90"/>
      <c r="C11" s="91"/>
      <c r="K11" s="91"/>
      <c r="L11" s="92"/>
    </row>
    <row r="12" spans="2:12" x14ac:dyDescent="0.45">
      <c r="B12" s="90"/>
      <c r="C12" s="91"/>
      <c r="D12" s="466">
        <f>Assumptions.1!I5</f>
        <v>0</v>
      </c>
      <c r="E12" s="466"/>
      <c r="F12" s="466"/>
      <c r="G12" s="466"/>
      <c r="H12" s="466"/>
      <c r="I12" s="466"/>
      <c r="J12" s="466"/>
      <c r="K12" s="291"/>
      <c r="L12" s="92"/>
    </row>
    <row r="13" spans="2:12" x14ac:dyDescent="0.45">
      <c r="B13" s="90"/>
      <c r="C13" s="91"/>
      <c r="K13" s="91"/>
      <c r="L13" s="92"/>
    </row>
    <row r="14" spans="2:12" x14ac:dyDescent="0.45">
      <c r="B14" s="90"/>
      <c r="C14" s="91"/>
      <c r="K14" s="91"/>
      <c r="L14" s="92"/>
    </row>
    <row r="15" spans="2:12" x14ac:dyDescent="0.45">
      <c r="B15" s="90"/>
      <c r="C15" s="91"/>
      <c r="K15" s="91"/>
      <c r="L15" s="92"/>
    </row>
    <row r="16" spans="2:12" ht="12.75" customHeight="1" x14ac:dyDescent="0.45">
      <c r="B16" s="90"/>
      <c r="C16" s="91"/>
      <c r="D16" s="469">
        <f>Assumptions.1!I8</f>
        <v>0</v>
      </c>
      <c r="E16" s="469"/>
      <c r="F16" s="469"/>
      <c r="G16" s="469"/>
      <c r="H16" s="469"/>
      <c r="I16" s="469"/>
      <c r="J16" s="469"/>
      <c r="K16" s="295"/>
      <c r="L16" s="94"/>
    </row>
    <row r="17" spans="2:12" ht="12.75" customHeight="1" x14ac:dyDescent="0.45">
      <c r="B17" s="90"/>
      <c r="C17" s="91"/>
      <c r="D17" s="469"/>
      <c r="E17" s="469"/>
      <c r="F17" s="469"/>
      <c r="G17" s="469"/>
      <c r="H17" s="469"/>
      <c r="I17" s="469"/>
      <c r="J17" s="469"/>
      <c r="K17" s="295"/>
      <c r="L17" s="94"/>
    </row>
    <row r="18" spans="2:12" ht="12.75" customHeight="1" x14ac:dyDescent="0.45">
      <c r="B18" s="90"/>
      <c r="C18" s="91"/>
      <c r="D18" s="469"/>
      <c r="E18" s="469"/>
      <c r="F18" s="469"/>
      <c r="G18" s="469"/>
      <c r="H18" s="469"/>
      <c r="I18" s="469"/>
      <c r="J18" s="469"/>
      <c r="K18" s="295"/>
      <c r="L18" s="94"/>
    </row>
    <row r="19" spans="2:12" ht="12.75" customHeight="1" x14ac:dyDescent="0.45">
      <c r="B19" s="90"/>
      <c r="C19" s="91"/>
      <c r="D19" s="469"/>
      <c r="E19" s="469"/>
      <c r="F19" s="469"/>
      <c r="G19" s="469"/>
      <c r="H19" s="469"/>
      <c r="I19" s="469"/>
      <c r="J19" s="469"/>
      <c r="K19" s="295"/>
      <c r="L19" s="94"/>
    </row>
    <row r="20" spans="2:12" ht="23.25" customHeight="1" x14ac:dyDescent="0.45">
      <c r="B20" s="90"/>
      <c r="C20" s="91"/>
      <c r="D20" s="470">
        <f>Assumptions.1!I6</f>
        <v>0</v>
      </c>
      <c r="E20" s="470"/>
      <c r="F20" s="470"/>
      <c r="G20" s="470"/>
      <c r="H20" s="470"/>
      <c r="I20" s="470"/>
      <c r="J20" s="470"/>
      <c r="K20" s="293"/>
      <c r="L20" s="92"/>
    </row>
    <row r="21" spans="2:12" x14ac:dyDescent="0.45">
      <c r="B21" s="90"/>
      <c r="C21" s="91"/>
      <c r="D21" s="470"/>
      <c r="E21" s="470"/>
      <c r="F21" s="470"/>
      <c r="G21" s="470"/>
      <c r="H21" s="470"/>
      <c r="I21" s="470"/>
      <c r="J21" s="470"/>
      <c r="K21" s="293"/>
      <c r="L21" s="92"/>
    </row>
    <row r="22" spans="2:12" x14ac:dyDescent="0.45">
      <c r="B22" s="90"/>
      <c r="C22" s="91"/>
      <c r="D22" s="470"/>
      <c r="E22" s="470"/>
      <c r="F22" s="470"/>
      <c r="G22" s="470"/>
      <c r="H22" s="470"/>
      <c r="I22" s="470"/>
      <c r="J22" s="470"/>
      <c r="K22" s="293"/>
      <c r="L22" s="92"/>
    </row>
    <row r="23" spans="2:12" x14ac:dyDescent="0.45">
      <c r="B23" s="90"/>
      <c r="C23" s="91"/>
      <c r="E23" s="468"/>
      <c r="F23" s="468"/>
      <c r="G23" s="84"/>
      <c r="H23" s="84"/>
      <c r="I23" s="84"/>
      <c r="J23" s="84"/>
      <c r="K23" s="292"/>
      <c r="L23" s="92"/>
    </row>
    <row r="24" spans="2:12" ht="48" customHeight="1" x14ac:dyDescent="0.45">
      <c r="B24" s="90"/>
      <c r="C24" s="91"/>
      <c r="D24" s="466" t="s">
        <v>126</v>
      </c>
      <c r="E24" s="466"/>
      <c r="F24" s="466"/>
      <c r="G24" s="466"/>
      <c r="H24" s="467">
        <f>Assumptions.1!I12</f>
        <v>0</v>
      </c>
      <c r="I24" s="467"/>
      <c r="J24" s="467"/>
      <c r="K24" s="291"/>
      <c r="L24" s="92"/>
    </row>
    <row r="25" spans="2:12" ht="39" customHeight="1" x14ac:dyDescent="0.45">
      <c r="B25" s="90"/>
      <c r="C25" s="91"/>
      <c r="D25" s="466" t="s">
        <v>390</v>
      </c>
      <c r="E25" s="466"/>
      <c r="F25" s="466"/>
      <c r="G25" s="466"/>
      <c r="H25" s="467">
        <f>Assumptions.1!I64*100000</f>
        <v>0</v>
      </c>
      <c r="I25" s="467"/>
      <c r="J25" s="467"/>
      <c r="K25" s="91"/>
      <c r="L25" s="94"/>
    </row>
    <row r="26" spans="2:12" ht="24" thickBot="1" x14ac:dyDescent="0.5">
      <c r="B26" s="90"/>
      <c r="C26" s="91"/>
      <c r="E26" s="86"/>
      <c r="F26" s="86"/>
      <c r="G26" s="86"/>
      <c r="H26" s="86"/>
      <c r="I26" s="86"/>
      <c r="K26" s="91"/>
      <c r="L26" s="92"/>
    </row>
    <row r="27" spans="2:12" x14ac:dyDescent="0.45">
      <c r="B27" s="90"/>
      <c r="C27" s="91"/>
      <c r="K27" s="91"/>
      <c r="L27" s="92"/>
    </row>
    <row r="28" spans="2:12" x14ac:dyDescent="0.45">
      <c r="B28" s="90"/>
      <c r="C28" s="91"/>
      <c r="D28" s="471" t="s">
        <v>125</v>
      </c>
      <c r="E28" s="471"/>
      <c r="F28" s="471"/>
      <c r="G28" s="471"/>
      <c r="H28" s="471"/>
      <c r="I28" s="471"/>
      <c r="J28" s="471"/>
      <c r="K28" s="294"/>
      <c r="L28" s="92"/>
    </row>
    <row r="29" spans="2:12" x14ac:dyDescent="0.45">
      <c r="B29" s="90"/>
      <c r="C29" s="91"/>
      <c r="E29" s="84"/>
      <c r="F29" s="84"/>
      <c r="G29" s="84"/>
      <c r="H29" s="84"/>
      <c r="I29" s="84"/>
      <c r="J29" s="84"/>
      <c r="K29" s="291"/>
      <c r="L29" s="92"/>
    </row>
    <row r="30" spans="2:12" x14ac:dyDescent="0.45">
      <c r="B30" s="90"/>
      <c r="C30" s="91"/>
      <c r="D30" s="466" t="s">
        <v>238</v>
      </c>
      <c r="E30" s="466"/>
      <c r="F30" s="466"/>
      <c r="G30" s="466"/>
      <c r="H30" s="466"/>
      <c r="I30" s="466"/>
      <c r="J30" s="466"/>
      <c r="K30" s="291"/>
      <c r="L30" s="92"/>
    </row>
    <row r="31" spans="2:12" x14ac:dyDescent="0.45">
      <c r="B31" s="90"/>
      <c r="C31" s="91"/>
      <c r="D31" s="466" t="s">
        <v>271</v>
      </c>
      <c r="E31" s="466"/>
      <c r="F31" s="466"/>
      <c r="G31" s="466"/>
      <c r="H31" s="466"/>
      <c r="I31" s="466"/>
      <c r="J31" s="466"/>
      <c r="K31" s="291"/>
      <c r="L31" s="92"/>
    </row>
    <row r="32" spans="2:12" x14ac:dyDescent="0.45">
      <c r="B32" s="90"/>
      <c r="C32" s="91"/>
      <c r="D32" s="466" t="s">
        <v>239</v>
      </c>
      <c r="E32" s="466"/>
      <c r="F32" s="466"/>
      <c r="G32" s="466"/>
      <c r="H32" s="466"/>
      <c r="I32" s="466"/>
      <c r="J32" s="466"/>
      <c r="K32" s="291"/>
      <c r="L32" s="92"/>
    </row>
    <row r="33" spans="2:12" x14ac:dyDescent="0.45">
      <c r="B33" s="90"/>
      <c r="C33" s="91"/>
      <c r="E33" s="84"/>
      <c r="F33" s="84"/>
      <c r="G33" s="84"/>
      <c r="H33" s="84"/>
      <c r="I33" s="84"/>
      <c r="J33" s="84"/>
      <c r="K33" s="291"/>
      <c r="L33" s="92"/>
    </row>
    <row r="34" spans="2:12" x14ac:dyDescent="0.45">
      <c r="B34" s="90"/>
      <c r="C34" s="91"/>
      <c r="D34" s="91"/>
      <c r="E34" s="91"/>
      <c r="F34" s="91"/>
      <c r="G34" s="91"/>
      <c r="H34" s="91"/>
      <c r="I34" s="91"/>
      <c r="J34" s="91"/>
      <c r="K34" s="91"/>
      <c r="L34" s="92"/>
    </row>
    <row r="35" spans="2:12" x14ac:dyDescent="0.45">
      <c r="B35" s="90"/>
      <c r="C35" s="91"/>
      <c r="D35" s="91"/>
      <c r="E35" s="91"/>
      <c r="F35" s="91"/>
      <c r="G35" s="91"/>
      <c r="H35" s="91"/>
      <c r="I35" s="91"/>
      <c r="J35" s="91"/>
      <c r="K35" s="91"/>
      <c r="L35" s="92"/>
    </row>
    <row r="36" spans="2:12" ht="24" thickBot="1" x14ac:dyDescent="0.5">
      <c r="B36" s="93"/>
      <c r="C36" s="96"/>
      <c r="D36" s="96"/>
      <c r="E36" s="96"/>
      <c r="F36" s="96"/>
      <c r="G36" s="96"/>
      <c r="H36" s="96"/>
      <c r="I36" s="96"/>
      <c r="J36" s="96"/>
      <c r="K36" s="96"/>
      <c r="L36" s="95"/>
    </row>
    <row r="37" spans="2:12" ht="13.5" customHeight="1" x14ac:dyDescent="0.45"/>
  </sheetData>
  <mergeCells count="15">
    <mergeCell ref="D28:J28"/>
    <mergeCell ref="D30:J30"/>
    <mergeCell ref="D31:J31"/>
    <mergeCell ref="D32:J32"/>
    <mergeCell ref="D25:G25"/>
    <mergeCell ref="H25:J25"/>
    <mergeCell ref="D6:J6"/>
    <mergeCell ref="D9:J9"/>
    <mergeCell ref="H24:J24"/>
    <mergeCell ref="E23:F23"/>
    <mergeCell ref="D24:G24"/>
    <mergeCell ref="D16:J19"/>
    <mergeCell ref="D20:J22"/>
    <mergeCell ref="E8:I8"/>
    <mergeCell ref="D12:J12"/>
  </mergeCells>
  <pageMargins left="0.15748031496062992" right="0.15748031496062992" top="0.39370078740157483" bottom="0.22" header="0.31496062992125984" footer="0.17"/>
  <pageSetup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3421-70D1-4164-BDFD-48FD5084B071}">
  <dimension ref="A1:V101"/>
  <sheetViews>
    <sheetView view="pageBreakPreview" zoomScale="60" zoomScaleNormal="55" workbookViewId="0">
      <selection activeCell="A97" sqref="A97"/>
    </sheetView>
  </sheetViews>
  <sheetFormatPr defaultColWidth="21.88671875" defaultRowHeight="25.8" x14ac:dyDescent="0.5"/>
  <cols>
    <col min="1" max="1" width="66.109375" style="2" customWidth="1"/>
    <col min="2" max="2" width="18.6640625" style="2" customWidth="1"/>
    <col min="3" max="3" width="21.44140625" style="2" customWidth="1"/>
    <col min="4" max="6" width="21.88671875" style="2" bestFit="1" customWidth="1"/>
    <col min="7" max="16384" width="21.88671875" style="2"/>
  </cols>
  <sheetData>
    <row r="1" spans="1:15" x14ac:dyDescent="0.5">
      <c r="A1" s="458">
        <f>Assumptions.1!I3</f>
        <v>0</v>
      </c>
      <c r="B1" s="458"/>
      <c r="C1" s="458"/>
      <c r="D1" s="458"/>
      <c r="E1" s="458"/>
      <c r="F1" s="458"/>
      <c r="G1" s="458"/>
      <c r="H1" s="458"/>
      <c r="I1" s="458"/>
    </row>
    <row r="2" spans="1:15" x14ac:dyDescent="0.5">
      <c r="A2" s="458">
        <f>Assumptions.1!I5</f>
        <v>0</v>
      </c>
      <c r="B2" s="458"/>
      <c r="C2" s="458"/>
      <c r="D2" s="458"/>
      <c r="E2" s="458"/>
      <c r="F2" s="458"/>
      <c r="G2" s="458"/>
      <c r="H2" s="458"/>
      <c r="I2" s="458"/>
    </row>
    <row r="3" spans="1:15" ht="29.25" customHeight="1" x14ac:dyDescent="0.7">
      <c r="A3" s="458">
        <f>Assumptions.1!I6</f>
        <v>0</v>
      </c>
      <c r="B3" s="458"/>
      <c r="C3" s="458"/>
      <c r="D3" s="458"/>
      <c r="E3" s="458"/>
      <c r="F3" s="458"/>
      <c r="G3" s="458"/>
      <c r="H3" s="458"/>
      <c r="I3" s="458"/>
      <c r="M3" s="457"/>
      <c r="N3" s="457"/>
      <c r="O3" s="457"/>
    </row>
    <row r="4" spans="1:15" ht="57" customHeight="1" x14ac:dyDescent="0.5">
      <c r="A4" s="462" t="s">
        <v>7</v>
      </c>
      <c r="B4" s="462"/>
      <c r="C4" s="462"/>
      <c r="D4" s="462"/>
      <c r="E4" s="462"/>
      <c r="F4" s="462"/>
      <c r="G4" s="462"/>
      <c r="H4" s="462"/>
      <c r="I4" s="462"/>
    </row>
    <row r="5" spans="1:15" ht="54.75" customHeight="1" x14ac:dyDescent="0.5">
      <c r="A5" s="459" t="s">
        <v>0</v>
      </c>
      <c r="B5" s="453" t="s">
        <v>37</v>
      </c>
      <c r="C5" s="307" t="str">
        <f>Assumptions.1!J18</f>
        <v>Provisional / Audited</v>
      </c>
      <c r="D5" s="105" t="str">
        <f>Assumptions.1!J19</f>
        <v>Estimated</v>
      </c>
      <c r="E5" s="105" t="str">
        <f>Assumptions.1!J20</f>
        <v>Projected</v>
      </c>
      <c r="F5" s="105" t="str">
        <f>Assumptions.1!J21</f>
        <v>Projected</v>
      </c>
      <c r="G5" s="105" t="str">
        <f>Assumptions.1!J23</f>
        <v>Projected</v>
      </c>
      <c r="H5" s="105" t="str">
        <f>Assumptions.1!J24</f>
        <v>Projected</v>
      </c>
      <c r="I5" s="105" t="str">
        <f>Assumptions.1!J24</f>
        <v>Projected</v>
      </c>
    </row>
    <row r="6" spans="1:15" ht="37.5" customHeight="1" x14ac:dyDescent="0.5">
      <c r="A6" s="463"/>
      <c r="B6" s="465"/>
      <c r="C6" s="166">
        <f>Assumptions.1!I18</f>
        <v>0</v>
      </c>
      <c r="D6" s="166" t="str">
        <f>'Assumptions 1'!F18</f>
        <v>2025-26</v>
      </c>
      <c r="E6" s="166">
        <f>Assumptions.1!I20</f>
        <v>0</v>
      </c>
      <c r="F6" s="166">
        <f>Assumptions.1!I21</f>
        <v>0</v>
      </c>
      <c r="G6" s="166" t="s">
        <v>194</v>
      </c>
      <c r="H6" s="166" t="s">
        <v>320</v>
      </c>
      <c r="I6" s="166">
        <f>Assumptions.1!I24</f>
        <v>0</v>
      </c>
    </row>
    <row r="7" spans="1:15" s="3" customFormat="1" ht="41.25" customHeight="1" thickBot="1" x14ac:dyDescent="0.55000000000000004">
      <c r="A7" s="464"/>
      <c r="B7" s="454"/>
      <c r="C7" s="167"/>
      <c r="D7" s="167"/>
      <c r="E7" s="167"/>
      <c r="F7" s="167"/>
      <c r="G7" s="167"/>
      <c r="H7" s="167"/>
      <c r="I7" s="167"/>
    </row>
    <row r="8" spans="1:15" s="3" customFormat="1" ht="26.4" thickTop="1" x14ac:dyDescent="0.5">
      <c r="E8" s="4"/>
    </row>
    <row r="9" spans="1:15" s="3" customFormat="1" ht="30.6" x14ac:dyDescent="0.55000000000000004">
      <c r="A9" s="5" t="s">
        <v>422</v>
      </c>
      <c r="D9" s="172"/>
      <c r="E9" s="172"/>
      <c r="F9" s="172"/>
      <c r="G9" s="172"/>
    </row>
    <row r="10" spans="1:15" s="3" customFormat="1" x14ac:dyDescent="0.5">
      <c r="A10" s="5"/>
      <c r="D10" s="4"/>
      <c r="E10" s="4"/>
    </row>
    <row r="11" spans="1:15" s="3" customFormat="1" ht="33" customHeight="1" x14ac:dyDescent="0.5">
      <c r="A11" s="2" t="s">
        <v>423</v>
      </c>
      <c r="B11" s="2"/>
      <c r="C11" s="6">
        <f>'Working for PL &amp; BS'!C10</f>
        <v>0</v>
      </c>
      <c r="D11" s="6" t="e">
        <f>ROUND('Final workings'!C9,-4)</f>
        <v>#DIV/0!</v>
      </c>
      <c r="E11" s="6" t="e">
        <f>ROUND('Final workings'!D9,-4)</f>
        <v>#DIV/0!</v>
      </c>
      <c r="F11" s="6" t="e">
        <f>ROUND('Final workings'!E9,-4)</f>
        <v>#DIV/0!</v>
      </c>
      <c r="G11" s="6" t="e">
        <f>ROUND('Final workings'!F9,-4)</f>
        <v>#DIV/0!</v>
      </c>
      <c r="H11" s="6" t="e">
        <f>ROUND('Final workings'!G9,-4)</f>
        <v>#DIV/0!</v>
      </c>
      <c r="I11" s="6" t="e">
        <f>ROUND('Final workings'!H9,-4)</f>
        <v>#DIV/0!</v>
      </c>
    </row>
    <row r="12" spans="1:15" s="3" customFormat="1" ht="33" customHeight="1" x14ac:dyDescent="0.5">
      <c r="A12" s="2"/>
      <c r="B12" s="2"/>
      <c r="C12" s="6"/>
      <c r="D12" s="6"/>
      <c r="E12" s="6"/>
      <c r="F12" s="6"/>
      <c r="G12" s="6"/>
      <c r="H12" s="6"/>
      <c r="I12" s="6"/>
    </row>
    <row r="13" spans="1:15" ht="38.25" customHeight="1" x14ac:dyDescent="0.5">
      <c r="C13" s="7">
        <f t="shared" ref="C13:I13" si="0">SUM(C11:C12)</f>
        <v>0</v>
      </c>
      <c r="D13" s="7" t="e">
        <f t="shared" si="0"/>
        <v>#DIV/0!</v>
      </c>
      <c r="E13" s="3" t="e">
        <f t="shared" si="0"/>
        <v>#DIV/0!</v>
      </c>
      <c r="F13" s="3" t="e">
        <f t="shared" si="0"/>
        <v>#DIV/0!</v>
      </c>
      <c r="G13" s="3" t="e">
        <f t="shared" si="0"/>
        <v>#DIV/0!</v>
      </c>
      <c r="H13" s="3" t="e">
        <f t="shared" si="0"/>
        <v>#DIV/0!</v>
      </c>
      <c r="I13" s="3" t="e">
        <f t="shared" si="0"/>
        <v>#DIV/0!</v>
      </c>
    </row>
    <row r="15" spans="1:15" x14ac:dyDescent="0.5">
      <c r="A15" s="5" t="s">
        <v>6</v>
      </c>
    </row>
    <row r="16" spans="1:15" x14ac:dyDescent="0.5">
      <c r="A16" s="5"/>
    </row>
    <row r="17" spans="1:22" ht="35.25" customHeight="1" x14ac:dyDescent="0.5">
      <c r="A17" s="2" t="s">
        <v>1</v>
      </c>
      <c r="B17" s="1"/>
      <c r="C17" s="53">
        <f>'Working for PL &amp; BS'!C16</f>
        <v>0</v>
      </c>
      <c r="D17" s="53">
        <f t="shared" ref="D17:I17" si="1">C19</f>
        <v>0</v>
      </c>
      <c r="E17" s="53">
        <f t="shared" si="1"/>
        <v>0</v>
      </c>
      <c r="F17" s="53">
        <f t="shared" si="1"/>
        <v>0</v>
      </c>
      <c r="G17" s="53">
        <f t="shared" si="1"/>
        <v>0</v>
      </c>
      <c r="H17" s="53">
        <f t="shared" si="1"/>
        <v>0</v>
      </c>
      <c r="I17" s="53">
        <f t="shared" si="1"/>
        <v>0</v>
      </c>
    </row>
    <row r="18" spans="1:22" ht="37.5" customHeight="1" x14ac:dyDescent="0.5">
      <c r="A18" s="2" t="s">
        <v>127</v>
      </c>
      <c r="B18" s="1"/>
      <c r="C18" s="53">
        <f>'Working for PL &amp; BS'!C17</f>
        <v>0</v>
      </c>
      <c r="D18" s="51" t="e">
        <f>ROUND('Final workings'!C10,-4)</f>
        <v>#DIV/0!</v>
      </c>
      <c r="E18" s="51" t="e">
        <f>ROUND('Final workings'!D10,-4)</f>
        <v>#DIV/0!</v>
      </c>
      <c r="F18" s="51" t="e">
        <f>ROUND('Final workings'!E10,-4)</f>
        <v>#DIV/0!</v>
      </c>
      <c r="G18" s="51" t="e">
        <f>ROUND('Final workings'!F10,-4)</f>
        <v>#DIV/0!</v>
      </c>
      <c r="H18" s="51" t="e">
        <f>ROUND('Final workings'!G10,-4)</f>
        <v>#DIV/0!</v>
      </c>
      <c r="I18" s="51" t="e">
        <f>ROUND('Final workings'!H10,-4)</f>
        <v>#DIV/0!</v>
      </c>
      <c r="L18"/>
      <c r="T18" s="6"/>
    </row>
    <row r="19" spans="1:22" ht="36" customHeight="1" x14ac:dyDescent="0.5">
      <c r="A19" s="2" t="s">
        <v>420</v>
      </c>
      <c r="B19" s="1"/>
      <c r="C19" s="53">
        <f>'Working for PL &amp; BS'!C18</f>
        <v>0</v>
      </c>
      <c r="D19" s="53">
        <f>ROUND('Final workings'!C11,-3)</f>
        <v>0</v>
      </c>
      <c r="E19" s="53">
        <f>ROUND('Final workings'!D11,-3)</f>
        <v>0</v>
      </c>
      <c r="F19" s="53">
        <f>ROUND('Final workings'!E11,-3)</f>
        <v>0</v>
      </c>
      <c r="G19" s="53">
        <f>ROUND('Final workings'!F11,-3)</f>
        <v>0</v>
      </c>
      <c r="H19" s="53">
        <f>ROUND('Final workings'!G11,-3)</f>
        <v>0</v>
      </c>
      <c r="I19" s="53">
        <f>ROUND('Final workings'!H11,-3)</f>
        <v>0</v>
      </c>
    </row>
    <row r="20" spans="1:22" ht="39.75" customHeight="1" x14ac:dyDescent="0.5">
      <c r="A20" s="3" t="s">
        <v>78</v>
      </c>
      <c r="C20" s="3">
        <f t="shared" ref="C20:I20" si="2">C17+C18-C19</f>
        <v>0</v>
      </c>
      <c r="D20" s="7" t="e">
        <f t="shared" si="2"/>
        <v>#DIV/0!</v>
      </c>
      <c r="E20" s="7" t="e">
        <f t="shared" si="2"/>
        <v>#DIV/0!</v>
      </c>
      <c r="F20" s="7" t="e">
        <f t="shared" si="2"/>
        <v>#DIV/0!</v>
      </c>
      <c r="G20" s="7" t="e">
        <f t="shared" si="2"/>
        <v>#DIV/0!</v>
      </c>
      <c r="H20" s="7" t="e">
        <f t="shared" si="2"/>
        <v>#DIV/0!</v>
      </c>
      <c r="I20" s="7" t="e">
        <f t="shared" si="2"/>
        <v>#DIV/0!</v>
      </c>
    </row>
    <row r="21" spans="1:22" ht="46.5" customHeight="1" x14ac:dyDescent="0.5">
      <c r="A21" s="5"/>
      <c r="C21" s="3"/>
      <c r="D21" s="6"/>
    </row>
    <row r="22" spans="1:22" s="3" customFormat="1" x14ac:dyDescent="0.5">
      <c r="A22" s="5" t="s">
        <v>227</v>
      </c>
      <c r="C22" s="7">
        <f t="shared" ref="C22:I22" si="3">C13-C20</f>
        <v>0</v>
      </c>
      <c r="D22" s="7" t="e">
        <f t="shared" si="3"/>
        <v>#DIV/0!</v>
      </c>
      <c r="E22" s="7" t="e">
        <f t="shared" si="3"/>
        <v>#DIV/0!</v>
      </c>
      <c r="F22" s="7" t="e">
        <f t="shared" si="3"/>
        <v>#DIV/0!</v>
      </c>
      <c r="G22" s="7" t="e">
        <f t="shared" si="3"/>
        <v>#DIV/0!</v>
      </c>
      <c r="H22" s="7" t="e">
        <f t="shared" si="3"/>
        <v>#DIV/0!</v>
      </c>
      <c r="I22" s="7" t="e">
        <f t="shared" si="3"/>
        <v>#DIV/0!</v>
      </c>
      <c r="J22" s="98"/>
      <c r="K22" s="98"/>
      <c r="L22" s="98"/>
    </row>
    <row r="23" spans="1:22" s="3" customFormat="1" ht="40.5" customHeight="1" x14ac:dyDescent="0.5">
      <c r="A23" s="5"/>
      <c r="C23" s="164"/>
      <c r="D23" s="164"/>
      <c r="E23" s="164"/>
      <c r="F23" s="164"/>
      <c r="G23" s="164"/>
      <c r="H23" s="164"/>
      <c r="I23" s="164"/>
    </row>
    <row r="24" spans="1:22" s="3" customFormat="1" ht="40.5" customHeight="1" x14ac:dyDescent="0.5">
      <c r="A24" s="2" t="s">
        <v>228</v>
      </c>
      <c r="B24" s="2"/>
      <c r="C24" s="7">
        <f>'Working for PL &amp; BS'!C23</f>
        <v>0</v>
      </c>
      <c r="D24" s="7">
        <f>ROUND('Final workings'!C12,-3)</f>
        <v>0</v>
      </c>
      <c r="E24" s="7">
        <f>ROUND('Final workings'!D12,-3)</f>
        <v>0</v>
      </c>
      <c r="F24" s="7">
        <f>ROUND('Final workings'!E12,-3)</f>
        <v>0</v>
      </c>
      <c r="G24" s="7">
        <f>ROUND('Final workings'!F12,-3)</f>
        <v>0</v>
      </c>
      <c r="H24" s="7">
        <f>ROUND('Final workings'!G12,-3)</f>
        <v>0</v>
      </c>
      <c r="I24" s="7">
        <f>ROUND('Final workings'!H12,-3)</f>
        <v>0</v>
      </c>
    </row>
    <row r="25" spans="1:22" s="3" customFormat="1" ht="40.5" customHeight="1" x14ac:dyDescent="0.5">
      <c r="A25" s="2"/>
      <c r="C25" s="7"/>
      <c r="D25" s="7"/>
      <c r="E25" s="7"/>
      <c r="F25" s="7"/>
      <c r="G25" s="7"/>
      <c r="H25" s="7"/>
      <c r="I25" s="7"/>
      <c r="V25"/>
    </row>
    <row r="26" spans="1:22" ht="43.5" customHeight="1" x14ac:dyDescent="0.5">
      <c r="A26" s="2" t="s">
        <v>272</v>
      </c>
      <c r="B26" s="11" t="s">
        <v>36</v>
      </c>
      <c r="C26" s="6">
        <f t="shared" ref="C26:I26" si="4">C90</f>
        <v>0</v>
      </c>
      <c r="D26" s="6" t="e">
        <f t="shared" si="4"/>
        <v>#DIV/0!</v>
      </c>
      <c r="E26" s="6" t="e">
        <f t="shared" si="4"/>
        <v>#DIV/0!</v>
      </c>
      <c r="F26" s="6" t="e">
        <f t="shared" si="4"/>
        <v>#DIV/0!</v>
      </c>
      <c r="G26" s="6" t="e">
        <f t="shared" si="4"/>
        <v>#DIV/0!</v>
      </c>
      <c r="H26" s="6" t="e">
        <f t="shared" si="4"/>
        <v>#DIV/0!</v>
      </c>
      <c r="I26" s="6" t="e">
        <f t="shared" si="4"/>
        <v>#DIV/0!</v>
      </c>
      <c r="J26" s="102"/>
      <c r="K26" s="102"/>
      <c r="L26" s="102"/>
    </row>
    <row r="27" spans="1:22" ht="43.5" customHeight="1" x14ac:dyDescent="0.5">
      <c r="B27" s="11"/>
      <c r="J27" s="99"/>
      <c r="K27" s="99"/>
      <c r="L27" s="99"/>
    </row>
    <row r="28" spans="1:22" x14ac:dyDescent="0.5">
      <c r="A28" s="5" t="s">
        <v>230</v>
      </c>
      <c r="B28" s="11"/>
      <c r="C28" s="15">
        <f t="shared" ref="C28:I28" si="5">C22+C24-C26</f>
        <v>0</v>
      </c>
      <c r="D28" s="15" t="e">
        <f t="shared" si="5"/>
        <v>#DIV/0!</v>
      </c>
      <c r="E28" s="15" t="e">
        <f t="shared" si="5"/>
        <v>#DIV/0!</v>
      </c>
      <c r="F28" s="15" t="e">
        <f t="shared" si="5"/>
        <v>#DIV/0!</v>
      </c>
      <c r="G28" s="15" t="e">
        <f t="shared" si="5"/>
        <v>#DIV/0!</v>
      </c>
      <c r="H28" s="15" t="e">
        <f t="shared" si="5"/>
        <v>#DIV/0!</v>
      </c>
      <c r="I28" s="15" t="e">
        <f t="shared" si="5"/>
        <v>#DIV/0!</v>
      </c>
      <c r="J28" s="99"/>
      <c r="K28" s="99"/>
      <c r="L28" s="99"/>
    </row>
    <row r="29" spans="1:22" ht="31.5" customHeight="1" x14ac:dyDescent="0.5">
      <c r="A29" s="3"/>
      <c r="B29" s="11"/>
      <c r="H29" s="102"/>
      <c r="I29" s="102"/>
      <c r="J29" s="102"/>
      <c r="K29" s="102"/>
      <c r="L29" s="102"/>
    </row>
    <row r="30" spans="1:22" x14ac:dyDescent="0.5">
      <c r="A30" s="2" t="s">
        <v>231</v>
      </c>
      <c r="B30" s="11"/>
      <c r="C30" s="6">
        <f>'Working for PL &amp; BS'!C29</f>
        <v>0</v>
      </c>
      <c r="D30" s="6">
        <f>'Working for PL &amp; BS'!D29</f>
        <v>0</v>
      </c>
      <c r="E30" s="6">
        <f>'Working for PL &amp; BS'!E29</f>
        <v>0</v>
      </c>
      <c r="F30" s="6">
        <f>'Working for PL &amp; BS'!F29</f>
        <v>0</v>
      </c>
      <c r="G30" s="6">
        <f>'Working for PL &amp; BS'!G29</f>
        <v>0</v>
      </c>
      <c r="H30" s="6">
        <f>'Working for PL &amp; BS'!H29</f>
        <v>0</v>
      </c>
      <c r="I30" s="6">
        <f>'Working for PL &amp; BS'!I29</f>
        <v>0</v>
      </c>
      <c r="J30" s="99"/>
      <c r="K30" s="99"/>
      <c r="L30" s="99"/>
    </row>
    <row r="31" spans="1:22" ht="43.5" customHeight="1" x14ac:dyDescent="0.5">
      <c r="B31" s="11"/>
      <c r="C31" s="6"/>
      <c r="D31" s="6"/>
      <c r="E31" s="6"/>
      <c r="F31" s="6"/>
      <c r="G31" s="6"/>
      <c r="H31" s="6"/>
      <c r="I31" s="6"/>
      <c r="J31" s="99"/>
      <c r="K31" s="99"/>
      <c r="L31" s="99"/>
    </row>
    <row r="32" spans="1:22" s="16" customFormat="1" x14ac:dyDescent="0.5">
      <c r="A32" s="5" t="s">
        <v>232</v>
      </c>
      <c r="C32" s="15">
        <f t="shared" ref="C32:I32" si="6">C28-C30</f>
        <v>0</v>
      </c>
      <c r="D32" s="15" t="e">
        <f t="shared" si="6"/>
        <v>#DIV/0!</v>
      </c>
      <c r="E32" s="15" t="e">
        <f t="shared" si="6"/>
        <v>#DIV/0!</v>
      </c>
      <c r="F32" s="15" t="e">
        <f t="shared" si="6"/>
        <v>#DIV/0!</v>
      </c>
      <c r="G32" s="15" t="e">
        <f t="shared" si="6"/>
        <v>#DIV/0!</v>
      </c>
      <c r="H32" s="15" t="e">
        <f t="shared" si="6"/>
        <v>#DIV/0!</v>
      </c>
      <c r="I32" s="15" t="e">
        <f t="shared" si="6"/>
        <v>#DIV/0!</v>
      </c>
      <c r="J32" s="100"/>
      <c r="K32" s="100"/>
      <c r="L32" s="100"/>
    </row>
    <row r="33" spans="1:18" ht="31.5" customHeight="1" x14ac:dyDescent="0.5">
      <c r="A33" s="3"/>
      <c r="D33" s="6"/>
      <c r="E33" s="6"/>
      <c r="F33" s="6"/>
      <c r="G33" s="6"/>
      <c r="H33" s="6"/>
      <c r="I33" s="6"/>
      <c r="J33" s="99"/>
      <c r="K33" s="99"/>
      <c r="L33" s="99"/>
    </row>
    <row r="34" spans="1:18" x14ac:dyDescent="0.5">
      <c r="A34" s="2" t="s">
        <v>233</v>
      </c>
      <c r="B34" s="11" t="s">
        <v>40</v>
      </c>
      <c r="C34" s="6">
        <f t="shared" ref="C34:I34" si="7">C99</f>
        <v>0</v>
      </c>
      <c r="D34" s="6" t="e">
        <f t="shared" si="7"/>
        <v>#DIV/0!</v>
      </c>
      <c r="E34" s="6" t="e">
        <f t="shared" si="7"/>
        <v>#DIV/0!</v>
      </c>
      <c r="F34" s="6" t="e">
        <f t="shared" si="7"/>
        <v>#DIV/0!</v>
      </c>
      <c r="G34" s="6" t="e">
        <f t="shared" si="7"/>
        <v>#DIV/0!</v>
      </c>
      <c r="H34" s="6" t="e">
        <f t="shared" si="7"/>
        <v>#DIV/0!</v>
      </c>
      <c r="I34" s="6" t="e">
        <f t="shared" si="7"/>
        <v>#DIV/0!</v>
      </c>
      <c r="J34" s="99"/>
      <c r="K34" s="99"/>
      <c r="L34" s="99"/>
    </row>
    <row r="35" spans="1:18" x14ac:dyDescent="0.5">
      <c r="J35" s="99"/>
      <c r="K35" s="99"/>
      <c r="L35" s="99"/>
    </row>
    <row r="36" spans="1:18" s="3" customFormat="1" x14ac:dyDescent="0.5">
      <c r="A36" s="8" t="s">
        <v>234</v>
      </c>
      <c r="B36" s="9"/>
      <c r="C36" s="14">
        <f t="shared" ref="C36:I36" si="8">C32-C34</f>
        <v>0</v>
      </c>
      <c r="D36" s="14" t="e">
        <f t="shared" si="8"/>
        <v>#DIV/0!</v>
      </c>
      <c r="E36" s="14" t="e">
        <f t="shared" si="8"/>
        <v>#DIV/0!</v>
      </c>
      <c r="F36" s="14" t="e">
        <f t="shared" si="8"/>
        <v>#DIV/0!</v>
      </c>
      <c r="G36" s="14" t="e">
        <f t="shared" si="8"/>
        <v>#DIV/0!</v>
      </c>
      <c r="H36" s="14" t="e">
        <f t="shared" si="8"/>
        <v>#DIV/0!</v>
      </c>
      <c r="I36" s="14" t="e">
        <f t="shared" si="8"/>
        <v>#DIV/0!</v>
      </c>
      <c r="J36" s="101"/>
      <c r="K36" s="101"/>
      <c r="L36" s="101"/>
    </row>
    <row r="37" spans="1:18" s="3" customFormat="1" ht="35.25" customHeight="1" x14ac:dyDescent="0.5">
      <c r="A37" s="8"/>
      <c r="B37" s="9"/>
    </row>
    <row r="38" spans="1:18" ht="26.4" thickBot="1" x14ac:dyDescent="0.55000000000000004">
      <c r="A38" s="12"/>
      <c r="B38" s="12"/>
      <c r="C38" s="12"/>
      <c r="D38" s="12"/>
      <c r="E38" s="12"/>
      <c r="F38" s="12"/>
      <c r="G38" s="12"/>
      <c r="H38" s="12"/>
      <c r="I38" s="12"/>
    </row>
    <row r="39" spans="1:18" x14ac:dyDescent="0.5">
      <c r="C39" s="151"/>
      <c r="D39" s="151"/>
      <c r="E39" s="151"/>
      <c r="F39" s="151"/>
    </row>
    <row r="40" spans="1:18" ht="35.25" customHeight="1" x14ac:dyDescent="0.5">
      <c r="A40" s="458">
        <f>A1</f>
        <v>0</v>
      </c>
      <c r="B40" s="458"/>
      <c r="C40" s="458"/>
      <c r="D40" s="458"/>
      <c r="E40" s="458"/>
      <c r="F40" s="458"/>
      <c r="G40" s="458"/>
      <c r="H40" s="458"/>
      <c r="I40" s="458"/>
    </row>
    <row r="41" spans="1:18" ht="39" customHeight="1" x14ac:dyDescent="0.5">
      <c r="A41" s="458">
        <f>A2</f>
        <v>0</v>
      </c>
      <c r="B41" s="458"/>
      <c r="C41" s="458"/>
      <c r="D41" s="458"/>
      <c r="E41" s="458"/>
      <c r="F41" s="458"/>
      <c r="G41" s="458"/>
      <c r="H41" s="458"/>
      <c r="I41" s="458"/>
    </row>
    <row r="42" spans="1:18" ht="44.25" customHeight="1" x14ac:dyDescent="0.5">
      <c r="A42" s="458">
        <f>A3</f>
        <v>0</v>
      </c>
      <c r="B42" s="458"/>
      <c r="C42" s="458"/>
      <c r="D42" s="458"/>
      <c r="E42" s="458"/>
      <c r="F42" s="458"/>
      <c r="G42" s="458"/>
      <c r="H42" s="458"/>
      <c r="I42" s="458"/>
    </row>
    <row r="43" spans="1:18" ht="27" customHeight="1" x14ac:dyDescent="0.7">
      <c r="A43" s="1"/>
      <c r="B43" s="1"/>
      <c r="C43" s="1"/>
      <c r="D43" s="1"/>
      <c r="E43" s="1"/>
      <c r="F43" s="1"/>
      <c r="N43" s="127"/>
    </row>
    <row r="44" spans="1:18" ht="48.75" customHeight="1" x14ac:dyDescent="0.5">
      <c r="A44" s="462" t="s">
        <v>10</v>
      </c>
      <c r="B44" s="462"/>
      <c r="C44" s="462"/>
      <c r="D44" s="462"/>
      <c r="E44" s="462"/>
      <c r="F44" s="462"/>
      <c r="G44" s="462"/>
      <c r="H44" s="462"/>
      <c r="I44" s="462"/>
    </row>
    <row r="45" spans="1:18" ht="69.75" customHeight="1" x14ac:dyDescent="0.5">
      <c r="A45" s="459" t="s">
        <v>0</v>
      </c>
      <c r="B45" s="453" t="s">
        <v>37</v>
      </c>
      <c r="C45" s="307" t="str">
        <f t="shared" ref="C45:F46" si="9">C5</f>
        <v>Provisional / Audited</v>
      </c>
      <c r="D45" s="105" t="str">
        <f t="shared" si="9"/>
        <v>Estimated</v>
      </c>
      <c r="E45" s="105" t="str">
        <f t="shared" si="9"/>
        <v>Projected</v>
      </c>
      <c r="F45" s="105" t="str">
        <f t="shared" si="9"/>
        <v>Projected</v>
      </c>
      <c r="G45" s="105" t="str">
        <f>G5</f>
        <v>Projected</v>
      </c>
      <c r="H45" s="105" t="str">
        <f>Assumptions.1!J24</f>
        <v>Projected</v>
      </c>
      <c r="I45" s="105" t="str">
        <f>Assumptions.1!J24</f>
        <v>Projected</v>
      </c>
    </row>
    <row r="46" spans="1:18" ht="30.75" customHeight="1" x14ac:dyDescent="0.5">
      <c r="A46" s="463"/>
      <c r="B46" s="465"/>
      <c r="C46" s="166">
        <f t="shared" si="9"/>
        <v>0</v>
      </c>
      <c r="D46" s="166" t="str">
        <f t="shared" si="9"/>
        <v>2025-26</v>
      </c>
      <c r="E46" s="166">
        <f t="shared" si="9"/>
        <v>0</v>
      </c>
      <c r="F46" s="166">
        <f t="shared" si="9"/>
        <v>0</v>
      </c>
      <c r="G46" s="166" t="str">
        <f>G6</f>
        <v>2028-29</v>
      </c>
      <c r="H46" s="166">
        <f>Assumptions.1!I24</f>
        <v>0</v>
      </c>
      <c r="I46" s="166">
        <f>Assumptions.1!I24</f>
        <v>0</v>
      </c>
    </row>
    <row r="47" spans="1:18" ht="40.5" customHeight="1" thickBot="1" x14ac:dyDescent="0.55000000000000004">
      <c r="A47" s="464"/>
      <c r="B47" s="454"/>
      <c r="C47" s="167"/>
      <c r="D47" s="167"/>
      <c r="E47" s="167"/>
      <c r="F47" s="167"/>
      <c r="G47" s="167"/>
      <c r="H47" s="167"/>
      <c r="I47" s="167"/>
      <c r="R47"/>
    </row>
    <row r="48" spans="1:18" ht="33.75" customHeight="1" thickTop="1" x14ac:dyDescent="0.5">
      <c r="A48" s="47" t="s">
        <v>8</v>
      </c>
    </row>
    <row r="49" spans="1:10" ht="30.6" x14ac:dyDescent="0.55000000000000004">
      <c r="D49" s="172"/>
      <c r="E49" s="172"/>
      <c r="F49" s="172"/>
      <c r="G49" s="172"/>
      <c r="H49" s="172"/>
      <c r="I49" s="172"/>
    </row>
    <row r="50" spans="1:10" ht="42.75" customHeight="1" x14ac:dyDescent="0.5">
      <c r="A50" s="2" t="s">
        <v>424</v>
      </c>
      <c r="C50" s="6">
        <f t="shared" ref="C50:I50" si="10">C60-SUM(C52:C59)</f>
        <v>0</v>
      </c>
      <c r="D50" s="6" t="e">
        <f t="shared" si="10"/>
        <v>#DIV/0!</v>
      </c>
      <c r="E50" s="6" t="e">
        <f t="shared" si="10"/>
        <v>#DIV/0!</v>
      </c>
      <c r="F50" s="6" t="e">
        <f t="shared" si="10"/>
        <v>#DIV/0!</v>
      </c>
      <c r="G50" s="6" t="e">
        <f t="shared" si="10"/>
        <v>#DIV/0!</v>
      </c>
      <c r="H50" s="6" t="e">
        <f t="shared" si="10"/>
        <v>#DIV/0!</v>
      </c>
      <c r="I50" s="6" t="e">
        <f t="shared" si="10"/>
        <v>#DIV/0!</v>
      </c>
    </row>
    <row r="51" spans="1:10" ht="42.75" customHeight="1" x14ac:dyDescent="0.5">
      <c r="A51" s="69" t="s">
        <v>110</v>
      </c>
      <c r="B51" s="10"/>
      <c r="J51"/>
    </row>
    <row r="52" spans="1:10" ht="42.75" customHeight="1" x14ac:dyDescent="0.5">
      <c r="A52" s="3" t="s">
        <v>108</v>
      </c>
      <c r="B52" s="10"/>
    </row>
    <row r="53" spans="1:10" ht="39" customHeight="1" x14ac:dyDescent="0.5">
      <c r="A53" s="2" t="s">
        <v>379</v>
      </c>
      <c r="C53" s="51">
        <f>'Final workings'!B23</f>
        <v>0</v>
      </c>
      <c r="D53" s="51">
        <f>ROUND('Final workings'!C23,-4)</f>
        <v>0</v>
      </c>
      <c r="E53" s="51">
        <f>ROUND('Final workings'!D23,-4)</f>
        <v>0</v>
      </c>
      <c r="F53" s="51">
        <f>ROUND('Final workings'!E23,-4)</f>
        <v>0</v>
      </c>
      <c r="G53" s="51">
        <f>ROUND('Final workings'!F23,-4)</f>
        <v>0</v>
      </c>
      <c r="H53" s="51">
        <f>ROUND('Final workings'!G23,-4)</f>
        <v>0</v>
      </c>
      <c r="I53" s="51">
        <f>ROUND('Final workings'!H23,-4)</f>
        <v>0</v>
      </c>
    </row>
    <row r="54" spans="1:10" ht="39" customHeight="1" x14ac:dyDescent="0.5">
      <c r="A54" s="2" t="str">
        <f>'Final workings'!A24</f>
        <v>New Term Loan</v>
      </c>
      <c r="C54" s="51">
        <f>'Final workings'!B24</f>
        <v>0</v>
      </c>
      <c r="D54" s="51" t="e">
        <f>'Final workings'!C24</f>
        <v>#DIV/0!</v>
      </c>
      <c r="E54" s="51" t="e">
        <f>'Final workings'!D24</f>
        <v>#DIV/0!</v>
      </c>
      <c r="F54" s="51" t="e">
        <f>'Final workings'!E24</f>
        <v>#DIV/0!</v>
      </c>
      <c r="G54" s="51" t="e">
        <f>'Final workings'!F24</f>
        <v>#DIV/0!</v>
      </c>
      <c r="H54" s="51" t="e">
        <f>'Final workings'!G24</f>
        <v>#DIV/0!</v>
      </c>
      <c r="I54" s="51" t="e">
        <f>'Final workings'!H24</f>
        <v>#DIV/0!</v>
      </c>
    </row>
    <row r="55" spans="1:10" ht="42.75" customHeight="1" x14ac:dyDescent="0.5">
      <c r="B55" s="10"/>
      <c r="C55" s="51"/>
      <c r="D55" s="51"/>
      <c r="E55" s="51"/>
      <c r="F55" s="51"/>
      <c r="G55" s="51"/>
      <c r="H55" s="51"/>
      <c r="I55" s="51"/>
    </row>
    <row r="56" spans="1:10" ht="42.75" customHeight="1" x14ac:dyDescent="0.5">
      <c r="A56" s="3" t="s">
        <v>115</v>
      </c>
      <c r="B56" s="1"/>
    </row>
    <row r="57" spans="1:10" ht="42.75" customHeight="1" x14ac:dyDescent="0.5">
      <c r="A57" s="2" t="s">
        <v>171</v>
      </c>
      <c r="B57" s="10"/>
      <c r="C57" s="51">
        <f>Assumptions.1!I42</f>
        <v>0</v>
      </c>
      <c r="D57" s="51">
        <f>Assumptions.1!I12</f>
        <v>0</v>
      </c>
      <c r="E57" s="51">
        <f>Assumptions.1!I12</f>
        <v>0</v>
      </c>
      <c r="F57" s="51">
        <f>Assumptions.1!I12</f>
        <v>0</v>
      </c>
      <c r="G57" s="51">
        <f>Assumptions.1!I12</f>
        <v>0</v>
      </c>
      <c r="H57" s="51">
        <f>Assumptions.1!I12</f>
        <v>0</v>
      </c>
      <c r="I57" s="51">
        <f>Assumptions.1!I12</f>
        <v>0</v>
      </c>
    </row>
    <row r="58" spans="1:10" ht="51" customHeight="1" x14ac:dyDescent="0.5">
      <c r="A58" s="2" t="s">
        <v>273</v>
      </c>
      <c r="C58" s="6">
        <f>'Final workings'!B27</f>
        <v>0</v>
      </c>
      <c r="D58" s="6">
        <f>'Final workings'!C27</f>
        <v>10000000</v>
      </c>
      <c r="E58" s="6">
        <f>'Final workings'!D27</f>
        <v>10000000</v>
      </c>
      <c r="F58" s="6">
        <f>'Final workings'!E27</f>
        <v>10000000</v>
      </c>
      <c r="G58" s="6">
        <f>'Final workings'!F27</f>
        <v>10000000</v>
      </c>
      <c r="H58" s="6">
        <f>'Final workings'!G27</f>
        <v>10000000</v>
      </c>
      <c r="I58" s="6">
        <f>'Final workings'!H27</f>
        <v>10000000</v>
      </c>
    </row>
    <row r="59" spans="1:10" ht="45" customHeight="1" x14ac:dyDescent="0.5">
      <c r="A59" s="2" t="str">
        <f>'Working for PL &amp; BS'!A58</f>
        <v>Short Term Loan Outstanding</v>
      </c>
      <c r="B59" s="10"/>
      <c r="C59" s="6">
        <f>'Final workings'!B25</f>
        <v>0</v>
      </c>
      <c r="D59" s="6" t="e">
        <f>'Final workings'!C25</f>
        <v>#DIV/0!</v>
      </c>
      <c r="E59" s="6" t="e">
        <f>'Final workings'!D25</f>
        <v>#DIV/0!</v>
      </c>
      <c r="F59" s="6" t="e">
        <f>'Final workings'!E25</f>
        <v>#DIV/0!</v>
      </c>
      <c r="G59" s="6" t="e">
        <f>'Final workings'!F25</f>
        <v>#DIV/0!</v>
      </c>
      <c r="H59" s="6" t="e">
        <f>'Final workings'!G25</f>
        <v>#DIV/0!</v>
      </c>
      <c r="I59" s="6" t="e">
        <f>'Final workings'!H25</f>
        <v>#DIV/0!</v>
      </c>
    </row>
    <row r="60" spans="1:10" ht="47.25" customHeight="1" thickBot="1" x14ac:dyDescent="0.55000000000000004">
      <c r="C60" s="13">
        <f t="shared" ref="C60:I60" si="11">C74</f>
        <v>0</v>
      </c>
      <c r="D60" s="13" t="e">
        <f t="shared" si="11"/>
        <v>#DIV/0!</v>
      </c>
      <c r="E60" s="13" t="e">
        <f t="shared" si="11"/>
        <v>#DIV/0!</v>
      </c>
      <c r="F60" s="13" t="e">
        <f t="shared" si="11"/>
        <v>#DIV/0!</v>
      </c>
      <c r="G60" s="13" t="e">
        <f t="shared" si="11"/>
        <v>#DIV/0!</v>
      </c>
      <c r="H60" s="13" t="e">
        <f t="shared" si="11"/>
        <v>#DIV/0!</v>
      </c>
      <c r="I60" s="13" t="e">
        <f t="shared" si="11"/>
        <v>#DIV/0!</v>
      </c>
    </row>
    <row r="61" spans="1:10" ht="47.25" customHeight="1" thickTop="1" x14ac:dyDescent="0.5">
      <c r="C61" s="7"/>
      <c r="D61" s="7"/>
      <c r="E61" s="7"/>
      <c r="F61" s="7"/>
    </row>
    <row r="62" spans="1:10" ht="36.75" customHeight="1" x14ac:dyDescent="0.5">
      <c r="A62" s="47" t="s">
        <v>9</v>
      </c>
    </row>
    <row r="63" spans="1:10" ht="36.75" customHeight="1" x14ac:dyDescent="0.5">
      <c r="A63" s="5"/>
    </row>
    <row r="64" spans="1:10" ht="36.75" customHeight="1" x14ac:dyDescent="0.5">
      <c r="A64" s="3" t="s">
        <v>111</v>
      </c>
      <c r="C64" s="6">
        <f>Assumptions.1!I44</f>
        <v>0</v>
      </c>
      <c r="D64" s="6">
        <f>'Working for PL &amp; BS'!D65</f>
        <v>0</v>
      </c>
      <c r="E64" s="6">
        <f>'Working for PL &amp; BS'!E65</f>
        <v>0</v>
      </c>
      <c r="F64" s="6">
        <f>'Working for PL &amp; BS'!F65</f>
        <v>0</v>
      </c>
      <c r="G64" s="6">
        <f>'Working for PL &amp; BS'!G65</f>
        <v>0</v>
      </c>
      <c r="H64" s="6">
        <f>'Working for PL &amp; BS'!H65</f>
        <v>0</v>
      </c>
      <c r="I64" s="6">
        <f>'Working for PL &amp; BS'!I65</f>
        <v>0</v>
      </c>
    </row>
    <row r="65" spans="1:14" ht="31.5" customHeight="1" x14ac:dyDescent="0.5">
      <c r="C65" s="6"/>
      <c r="D65" s="6"/>
      <c r="E65" s="6"/>
      <c r="F65" s="6"/>
      <c r="G65" s="6"/>
      <c r="H65" s="6"/>
      <c r="I65" s="6"/>
    </row>
    <row r="66" spans="1:14" ht="31.5" customHeight="1" x14ac:dyDescent="0.5">
      <c r="A66" s="3" t="s">
        <v>168</v>
      </c>
      <c r="C66" s="6">
        <f>'Working for PL &amp; BS'!C67</f>
        <v>0</v>
      </c>
      <c r="D66" s="6">
        <f>ROUND('Final workings'!C28,-3)</f>
        <v>0</v>
      </c>
      <c r="E66" s="6">
        <f>ROUND('Final workings'!D28,-3)</f>
        <v>0</v>
      </c>
      <c r="F66" s="6">
        <f>ROUND('Final workings'!E28,-3)</f>
        <v>0</v>
      </c>
      <c r="G66" s="6">
        <f>ROUND('Final workings'!F28,-3)</f>
        <v>0</v>
      </c>
      <c r="H66" s="6">
        <f>ROUND('Final workings'!G28,-3)</f>
        <v>0</v>
      </c>
      <c r="I66" s="6">
        <f>ROUND('Final workings'!H28,-3)</f>
        <v>0</v>
      </c>
    </row>
    <row r="67" spans="1:14" ht="31.5" customHeight="1" x14ac:dyDescent="0.5">
      <c r="C67" s="6"/>
      <c r="D67" s="6"/>
      <c r="E67" s="6"/>
      <c r="F67" s="6"/>
      <c r="G67" s="6"/>
      <c r="H67" s="6"/>
      <c r="I67" s="6"/>
    </row>
    <row r="68" spans="1:14" ht="42.75" customHeight="1" x14ac:dyDescent="0.5">
      <c r="A68" s="3" t="s">
        <v>112</v>
      </c>
      <c r="B68" s="10"/>
      <c r="C68" s="6"/>
      <c r="D68" s="6"/>
      <c r="E68" s="6"/>
      <c r="F68" s="6"/>
      <c r="G68" s="6"/>
      <c r="H68" s="6"/>
      <c r="I68" s="6"/>
    </row>
    <row r="69" spans="1:14" ht="42.75" customHeight="1" x14ac:dyDescent="0.5">
      <c r="A69" s="2" t="s">
        <v>169</v>
      </c>
      <c r="C69" s="6">
        <f>'Final workings'!B29</f>
        <v>0</v>
      </c>
      <c r="D69" s="6">
        <f>ROUND('Final workings'!C29,-3)</f>
        <v>2000000</v>
      </c>
      <c r="E69" s="6">
        <f>ROUND('Final workings'!D29,-3)</f>
        <v>1700000</v>
      </c>
      <c r="F69" s="6">
        <f>ROUND('Final workings'!E29,-3)</f>
        <v>1500000</v>
      </c>
      <c r="G69" s="6">
        <f>ROUND('Final workings'!F29,-3)</f>
        <v>1500000</v>
      </c>
      <c r="H69" s="6">
        <f>ROUND('Final workings'!G29,-3)</f>
        <v>1500000</v>
      </c>
      <c r="I69" s="6">
        <f>ROUND('Final workings'!H29,-3)</f>
        <v>1500000</v>
      </c>
    </row>
    <row r="70" spans="1:14" ht="42.75" customHeight="1" x14ac:dyDescent="0.5">
      <c r="A70" s="2" t="str">
        <f>A19</f>
        <v>Closing Stock / WIP</v>
      </c>
      <c r="B70" s="10"/>
      <c r="C70" s="6">
        <f>'Final workings'!B11</f>
        <v>0</v>
      </c>
      <c r="D70" s="6">
        <f t="shared" ref="D70:I70" si="12">D19</f>
        <v>0</v>
      </c>
      <c r="E70" s="6">
        <f t="shared" si="12"/>
        <v>0</v>
      </c>
      <c r="F70" s="6">
        <f t="shared" si="12"/>
        <v>0</v>
      </c>
      <c r="G70" s="6">
        <f t="shared" si="12"/>
        <v>0</v>
      </c>
      <c r="H70" s="6">
        <f t="shared" si="12"/>
        <v>0</v>
      </c>
      <c r="I70" s="6">
        <f t="shared" si="12"/>
        <v>0</v>
      </c>
    </row>
    <row r="71" spans="1:14" ht="44.25" customHeight="1" x14ac:dyDescent="0.5">
      <c r="A71" s="2" t="s">
        <v>429</v>
      </c>
      <c r="C71" s="6">
        <f>'Final workings'!B30</f>
        <v>0</v>
      </c>
      <c r="D71" s="6" t="e">
        <f>ROUND('Final workings'!C30,-3)</f>
        <v>#DIV/0!</v>
      </c>
      <c r="E71" s="6" t="e">
        <f>ROUND('Final workings'!D30,-3)</f>
        <v>#DIV/0!</v>
      </c>
      <c r="F71" s="6" t="e">
        <f>ROUND('Final workings'!E30,-3)</f>
        <v>#DIV/0!</v>
      </c>
      <c r="G71" s="6" t="e">
        <f>ROUND('Final workings'!F30,-3)</f>
        <v>#DIV/0!</v>
      </c>
      <c r="H71" s="6" t="e">
        <f>ROUND('Final workings'!G30,-3)</f>
        <v>#DIV/0!</v>
      </c>
      <c r="I71" s="6" t="e">
        <f>ROUND('Final workings'!H30,-3)</f>
        <v>#DIV/0!</v>
      </c>
    </row>
    <row r="72" spans="1:14" ht="39" customHeight="1" x14ac:dyDescent="0.5">
      <c r="A72" s="2" t="s">
        <v>72</v>
      </c>
      <c r="C72" s="6">
        <f>'Final workings'!B31</f>
        <v>0</v>
      </c>
      <c r="D72" s="6" t="e">
        <f>ROUND('Final workings'!C31,-3)</f>
        <v>#DIV/0!</v>
      </c>
      <c r="E72" s="6" t="e">
        <f>ROUND('Final workings'!D31,-3)</f>
        <v>#DIV/0!</v>
      </c>
      <c r="F72" s="6" t="e">
        <f>ROUND('Final workings'!E31,-3)</f>
        <v>#DIV/0!</v>
      </c>
      <c r="G72" s="6" t="e">
        <f>ROUND('Final workings'!F31,-3)</f>
        <v>#DIV/0!</v>
      </c>
      <c r="H72" s="6" t="e">
        <f>ROUND('Final workings'!G31,-3)</f>
        <v>#DIV/0!</v>
      </c>
      <c r="I72" s="6" t="e">
        <f>ROUND('Final workings'!H31,-3)</f>
        <v>#DIV/0!</v>
      </c>
    </row>
    <row r="73" spans="1:14" ht="39" customHeight="1" x14ac:dyDescent="0.5"/>
    <row r="74" spans="1:14" ht="53.25" customHeight="1" thickBot="1" x14ac:dyDescent="0.55000000000000004">
      <c r="C74" s="13">
        <f t="shared" ref="C74:I74" si="13">SUM(C64:C73)</f>
        <v>0</v>
      </c>
      <c r="D74" s="13" t="e">
        <f t="shared" si="13"/>
        <v>#DIV/0!</v>
      </c>
      <c r="E74" s="13" t="e">
        <f t="shared" si="13"/>
        <v>#DIV/0!</v>
      </c>
      <c r="F74" s="13" t="e">
        <f t="shared" si="13"/>
        <v>#DIV/0!</v>
      </c>
      <c r="G74" s="13" t="e">
        <f t="shared" si="13"/>
        <v>#DIV/0!</v>
      </c>
      <c r="H74" s="13" t="e">
        <f t="shared" si="13"/>
        <v>#DIV/0!</v>
      </c>
      <c r="I74" s="13" t="e">
        <f t="shared" si="13"/>
        <v>#DIV/0!</v>
      </c>
    </row>
    <row r="75" spans="1:14" ht="30.75" customHeight="1" thickTop="1" x14ac:dyDescent="0.5">
      <c r="C75" s="7">
        <f t="shared" ref="C75:I75" si="14">C60-C74</f>
        <v>0</v>
      </c>
      <c r="D75" s="7" t="e">
        <f t="shared" si="14"/>
        <v>#DIV/0!</v>
      </c>
      <c r="E75" s="7" t="e">
        <f t="shared" si="14"/>
        <v>#DIV/0!</v>
      </c>
      <c r="F75" s="7" t="e">
        <f t="shared" si="14"/>
        <v>#DIV/0!</v>
      </c>
      <c r="G75" s="7" t="e">
        <f t="shared" si="14"/>
        <v>#DIV/0!</v>
      </c>
      <c r="H75" s="7" t="e">
        <f t="shared" si="14"/>
        <v>#DIV/0!</v>
      </c>
      <c r="I75" s="7" t="e">
        <f t="shared" si="14"/>
        <v>#DIV/0!</v>
      </c>
    </row>
    <row r="76" spans="1:14" ht="30.75" customHeight="1" thickBot="1" x14ac:dyDescent="0.55000000000000004">
      <c r="A76" s="12"/>
      <c r="B76" s="12"/>
      <c r="C76" s="173"/>
      <c r="D76" s="173"/>
      <c r="E76" s="173"/>
      <c r="F76" s="173"/>
    </row>
    <row r="77" spans="1:14" ht="36.75" customHeight="1" x14ac:dyDescent="0.55000000000000004">
      <c r="C77" s="85"/>
      <c r="D77" s="85"/>
      <c r="E77" s="85"/>
      <c r="F77" s="85"/>
      <c r="H77" s="170"/>
      <c r="I77" s="170"/>
      <c r="J77" s="170"/>
      <c r="K77" s="170"/>
      <c r="L77" s="170"/>
      <c r="M77" s="170"/>
      <c r="N77" s="171"/>
    </row>
    <row r="78" spans="1:14" ht="30" customHeight="1" x14ac:dyDescent="0.55000000000000004">
      <c r="A78" s="462" t="s">
        <v>38</v>
      </c>
      <c r="B78" s="462"/>
      <c r="C78" s="462"/>
      <c r="D78" s="462"/>
      <c r="E78" s="462"/>
      <c r="F78" s="462"/>
      <c r="G78" s="462"/>
      <c r="H78" s="462"/>
      <c r="I78" s="462"/>
      <c r="J78" s="170"/>
      <c r="K78" s="170"/>
      <c r="L78" s="170"/>
      <c r="M78" s="170"/>
      <c r="N78" s="171"/>
    </row>
    <row r="79" spans="1:14" ht="95.25" customHeight="1" thickBot="1" x14ac:dyDescent="0.55000000000000004">
      <c r="A79" s="174" t="s">
        <v>0</v>
      </c>
      <c r="B79" s="72"/>
      <c r="C79" s="73">
        <f t="shared" ref="C79:I79" si="15">C46</f>
        <v>0</v>
      </c>
      <c r="D79" s="73" t="str">
        <f t="shared" si="15"/>
        <v>2025-26</v>
      </c>
      <c r="E79" s="73">
        <f t="shared" si="15"/>
        <v>0</v>
      </c>
      <c r="F79" s="73">
        <f t="shared" si="15"/>
        <v>0</v>
      </c>
      <c r="G79" s="73" t="str">
        <f t="shared" si="15"/>
        <v>2028-29</v>
      </c>
      <c r="H79" s="73">
        <f t="shared" si="15"/>
        <v>0</v>
      </c>
      <c r="I79" s="73">
        <f t="shared" si="15"/>
        <v>0</v>
      </c>
    </row>
    <row r="80" spans="1:14" ht="26.4" thickTop="1" x14ac:dyDescent="0.5"/>
    <row r="81" spans="1:12" x14ac:dyDescent="0.5">
      <c r="C81" s="6"/>
      <c r="D81" s="6"/>
      <c r="E81" s="6"/>
      <c r="F81" s="6"/>
      <c r="G81" s="6"/>
      <c r="H81" s="6"/>
      <c r="I81" s="6"/>
    </row>
    <row r="82" spans="1:12" x14ac:dyDescent="0.5">
      <c r="A82" s="2" t="s">
        <v>205</v>
      </c>
      <c r="C82" s="6">
        <f>'Working for PL &amp; BS'!C84</f>
        <v>0</v>
      </c>
      <c r="D82" s="6">
        <f>ROUND('Final workings'!C14,-3)</f>
        <v>0</v>
      </c>
      <c r="E82" s="6">
        <f>ROUND('Final workings'!D14,-3)</f>
        <v>0</v>
      </c>
      <c r="F82" s="6">
        <f>ROUND('Final workings'!E14,-3)</f>
        <v>0</v>
      </c>
      <c r="G82" s="6">
        <f>ROUND('Final workings'!F14,-3)</f>
        <v>0</v>
      </c>
      <c r="H82" s="6">
        <f>ROUND('Final workings'!G14,-3)</f>
        <v>0</v>
      </c>
      <c r="I82" s="6">
        <f>ROUND('Final workings'!H14,-3)</f>
        <v>0</v>
      </c>
    </row>
    <row r="83" spans="1:12" ht="35.25" customHeight="1" x14ac:dyDescent="0.5">
      <c r="A83" s="2" t="s">
        <v>82</v>
      </c>
      <c r="C83" s="6">
        <f>'Working for PL &amp; BS'!C85</f>
        <v>0</v>
      </c>
      <c r="D83" s="6" t="e">
        <f>ROUND('Final workings'!C15,-3)</f>
        <v>#DIV/0!</v>
      </c>
      <c r="E83" s="6" t="e">
        <f>ROUND('Final workings'!D15,-3)</f>
        <v>#DIV/0!</v>
      </c>
      <c r="F83" s="6" t="e">
        <f>ROUND('Final workings'!E15,-3)</f>
        <v>#DIV/0!</v>
      </c>
      <c r="G83" s="6" t="e">
        <f>ROUND('Final workings'!F15,-3)</f>
        <v>#DIV/0!</v>
      </c>
      <c r="H83" s="6" t="e">
        <f>ROUND('Final workings'!G15,-3)</f>
        <v>#DIV/0!</v>
      </c>
      <c r="I83" s="6" t="e">
        <f>ROUND('Final workings'!H15,-3)</f>
        <v>#DIV/0!</v>
      </c>
      <c r="J83" s="6"/>
      <c r="K83" s="6"/>
      <c r="L83" s="6"/>
    </row>
    <row r="84" spans="1:12" ht="35.25" customHeight="1" x14ac:dyDescent="0.5">
      <c r="A84" s="2" t="s">
        <v>321</v>
      </c>
      <c r="C84" s="6">
        <f>'Working for PL &amp; BS'!C86</f>
        <v>0</v>
      </c>
      <c r="D84" s="6">
        <f>'Working for PL &amp; BS'!D86</f>
        <v>0</v>
      </c>
      <c r="E84" s="6">
        <f>'Working for PL &amp; BS'!E86</f>
        <v>0</v>
      </c>
      <c r="F84" s="6">
        <f>'Working for PL &amp; BS'!F86</f>
        <v>0</v>
      </c>
      <c r="G84" s="6">
        <f>'Working for PL &amp; BS'!G86</f>
        <v>0</v>
      </c>
      <c r="H84" s="6">
        <f>'Working for PL &amp; BS'!H86</f>
        <v>0</v>
      </c>
      <c r="I84" s="6">
        <f>'Working for PL &amp; BS'!I86</f>
        <v>0</v>
      </c>
      <c r="J84" s="6"/>
      <c r="K84" s="6"/>
      <c r="L84" s="6"/>
    </row>
    <row r="85" spans="1:12" ht="35.25" customHeight="1" x14ac:dyDescent="0.5">
      <c r="A85" s="2" t="str">
        <f>'Working for PL &amp; BS'!A87</f>
        <v>Processing Charges for New Term Loan</v>
      </c>
      <c r="C85" s="6">
        <f>'Working for PL &amp; BS'!C87</f>
        <v>0</v>
      </c>
      <c r="D85" s="6">
        <f>'Working for PL &amp; BS'!D87</f>
        <v>0</v>
      </c>
      <c r="E85" s="6">
        <f>'Working for PL &amp; BS'!E87</f>
        <v>0</v>
      </c>
      <c r="F85" s="6">
        <f>'Working for PL &amp; BS'!F87</f>
        <v>0</v>
      </c>
      <c r="G85" s="6">
        <f>'Working for PL &amp; BS'!G87</f>
        <v>0</v>
      </c>
      <c r="H85" s="6">
        <f>'Working for PL &amp; BS'!H87</f>
        <v>0</v>
      </c>
      <c r="I85" s="6">
        <f>'Working for PL &amp; BS'!I87</f>
        <v>0</v>
      </c>
      <c r="J85" s="6"/>
      <c r="K85" s="6"/>
      <c r="L85" s="6"/>
    </row>
    <row r="86" spans="1:12" ht="41.25" customHeight="1" x14ac:dyDescent="0.5">
      <c r="A86" s="2" t="s">
        <v>326</v>
      </c>
      <c r="C86" s="6">
        <f>'Working for PL &amp; BS'!C88</f>
        <v>0</v>
      </c>
      <c r="D86" s="6" t="e">
        <f>ROUND('Final workings'!C16,-4)</f>
        <v>#DIV/0!</v>
      </c>
      <c r="E86" s="6" t="e">
        <f>ROUND('Final workings'!D16,-4)</f>
        <v>#DIV/0!</v>
      </c>
      <c r="F86" s="6" t="e">
        <f>ROUND('Final workings'!E16,-4)</f>
        <v>#DIV/0!</v>
      </c>
      <c r="G86" s="6" t="e">
        <f>ROUND('Final workings'!F16,-4)</f>
        <v>#DIV/0!</v>
      </c>
      <c r="H86" s="6" t="e">
        <f>ROUND('Final workings'!G16,-4)</f>
        <v>#DIV/0!</v>
      </c>
      <c r="I86" s="6" t="e">
        <f>ROUND('Final workings'!H16,-4)</f>
        <v>#DIV/0!</v>
      </c>
      <c r="J86" s="103"/>
      <c r="K86" s="103"/>
    </row>
    <row r="87" spans="1:12" ht="27.75" customHeight="1" x14ac:dyDescent="0.5">
      <c r="C87" s="6"/>
      <c r="D87" s="6"/>
      <c r="E87" s="6"/>
      <c r="F87" s="6"/>
      <c r="G87" s="6"/>
      <c r="H87" s="6"/>
      <c r="I87" s="6"/>
    </row>
    <row r="88" spans="1:12" ht="27.75" customHeight="1" x14ac:dyDescent="0.5">
      <c r="C88" s="6"/>
      <c r="D88" s="6"/>
      <c r="E88" s="6"/>
      <c r="F88" s="6"/>
      <c r="G88" s="6"/>
      <c r="H88" s="6"/>
      <c r="I88" s="6"/>
    </row>
    <row r="89" spans="1:12" x14ac:dyDescent="0.5">
      <c r="C89" s="6"/>
      <c r="D89" s="6"/>
      <c r="E89" s="6"/>
      <c r="F89" s="6"/>
      <c r="G89" s="6"/>
      <c r="H89" s="6"/>
      <c r="I89" s="6"/>
    </row>
    <row r="90" spans="1:12" ht="50.25" customHeight="1" x14ac:dyDescent="0.5">
      <c r="C90" s="54">
        <f t="shared" ref="C90:I90" si="16">SUM(C80:C89)</f>
        <v>0</v>
      </c>
      <c r="D90" s="54" t="e">
        <f t="shared" si="16"/>
        <v>#DIV/0!</v>
      </c>
      <c r="E90" s="54" t="e">
        <f t="shared" si="16"/>
        <v>#DIV/0!</v>
      </c>
      <c r="F90" s="54" t="e">
        <f t="shared" si="16"/>
        <v>#DIV/0!</v>
      </c>
      <c r="G90" s="54" t="e">
        <f t="shared" si="16"/>
        <v>#DIV/0!</v>
      </c>
      <c r="H90" s="54" t="e">
        <f t="shared" si="16"/>
        <v>#DIV/0!</v>
      </c>
      <c r="I90" s="54" t="e">
        <f t="shared" si="16"/>
        <v>#DIV/0!</v>
      </c>
    </row>
    <row r="91" spans="1:12" ht="24.75" customHeight="1" x14ac:dyDescent="0.5">
      <c r="C91" s="85"/>
      <c r="D91" s="85"/>
      <c r="E91" s="85"/>
      <c r="F91" s="85"/>
      <c r="I91" s="6"/>
    </row>
    <row r="92" spans="1:12" ht="40.5" customHeight="1" x14ac:dyDescent="0.5">
      <c r="A92" s="462" t="s">
        <v>39</v>
      </c>
      <c r="B92" s="462"/>
      <c r="C92" s="462"/>
      <c r="D92" s="462"/>
      <c r="E92" s="462"/>
      <c r="F92" s="462"/>
      <c r="G92" s="462"/>
      <c r="H92" s="462"/>
      <c r="I92" s="462"/>
    </row>
    <row r="93" spans="1:12" ht="98.25" customHeight="1" thickBot="1" x14ac:dyDescent="0.55000000000000004">
      <c r="A93" s="174" t="s">
        <v>0</v>
      </c>
      <c r="B93" s="72"/>
      <c r="C93" s="73">
        <f t="shared" ref="C93:I93" si="17">C79</f>
        <v>0</v>
      </c>
      <c r="D93" s="73" t="str">
        <f t="shared" si="17"/>
        <v>2025-26</v>
      </c>
      <c r="E93" s="73">
        <f t="shared" si="17"/>
        <v>0</v>
      </c>
      <c r="F93" s="73">
        <f t="shared" si="17"/>
        <v>0</v>
      </c>
      <c r="G93" s="73" t="str">
        <f t="shared" si="17"/>
        <v>2028-29</v>
      </c>
      <c r="H93" s="73">
        <f t="shared" si="17"/>
        <v>0</v>
      </c>
      <c r="I93" s="73">
        <f t="shared" si="17"/>
        <v>0</v>
      </c>
    </row>
    <row r="94" spans="1:12" ht="32.25" customHeight="1" thickTop="1" x14ac:dyDescent="0.5">
      <c r="C94" s="4"/>
      <c r="D94" s="4"/>
      <c r="E94" s="4"/>
      <c r="F94" s="4"/>
      <c r="G94" s="4"/>
      <c r="H94" s="4"/>
      <c r="I94" s="4"/>
    </row>
    <row r="95" spans="1:12" ht="33" customHeight="1" x14ac:dyDescent="0.5">
      <c r="A95" s="2" t="s">
        <v>323</v>
      </c>
      <c r="C95" s="51">
        <f>'Working for PL &amp; BS'!C98</f>
        <v>0</v>
      </c>
      <c r="D95" s="51" t="e">
        <f>ROUND('Final workings'!C17,-3)</f>
        <v>#DIV/0!</v>
      </c>
      <c r="E95" s="51">
        <f>ROUND('Final workings'!D17,-3)</f>
        <v>0</v>
      </c>
      <c r="F95" s="51">
        <f>ROUND('Final workings'!E17,-3)</f>
        <v>0</v>
      </c>
      <c r="G95" s="51">
        <f>ROUND('Final workings'!F17,-3)</f>
        <v>0</v>
      </c>
      <c r="H95" s="51">
        <f>ROUND('Final workings'!G17,-3)</f>
        <v>0</v>
      </c>
      <c r="I95" s="51">
        <f>ROUND('Final workings'!H17,-3)</f>
        <v>0</v>
      </c>
    </row>
    <row r="96" spans="1:12" ht="33" customHeight="1" x14ac:dyDescent="0.5">
      <c r="A96" s="2" t="s">
        <v>430</v>
      </c>
      <c r="C96" s="51">
        <f>'Working for PL &amp; BS'!C99</f>
        <v>0</v>
      </c>
      <c r="D96" s="51" t="e">
        <f>ROUND('Final workings'!C18,-3)</f>
        <v>#DIV/0!</v>
      </c>
      <c r="E96" s="51" t="e">
        <f>ROUND('Final workings'!D18,-3)</f>
        <v>#DIV/0!</v>
      </c>
      <c r="F96" s="51" t="e">
        <f>ROUND('Final workings'!E18,-3)</f>
        <v>#DIV/0!</v>
      </c>
      <c r="G96" s="51" t="e">
        <f>ROUND('Final workings'!F18,-3)</f>
        <v>#DIV/0!</v>
      </c>
      <c r="H96" s="51" t="e">
        <f>ROUND('Final workings'!G18,-3)</f>
        <v>#DIV/0!</v>
      </c>
      <c r="I96" s="51" t="e">
        <f>ROUND('Final workings'!H18,-3)</f>
        <v>#DIV/0!</v>
      </c>
    </row>
    <row r="97" spans="1:9" ht="33" customHeight="1" x14ac:dyDescent="0.5">
      <c r="A97" s="2" t="s">
        <v>322</v>
      </c>
      <c r="C97" s="51">
        <v>0</v>
      </c>
      <c r="D97" s="51" t="e">
        <f>ROUND('Final workings'!C19,-3)</f>
        <v>#DIV/0!</v>
      </c>
      <c r="E97" s="51" t="e">
        <f>ROUND('Final workings'!D19,-3)</f>
        <v>#DIV/0!</v>
      </c>
      <c r="F97" s="51" t="e">
        <f>ROUND('Final workings'!E19,-3)</f>
        <v>#DIV/0!</v>
      </c>
      <c r="G97" s="51" t="e">
        <f>ROUND('Final workings'!F19,-3)</f>
        <v>#DIV/0!</v>
      </c>
      <c r="H97" s="51" t="e">
        <f>ROUND('Final workings'!G19,-3)</f>
        <v>#DIV/0!</v>
      </c>
      <c r="I97" s="51" t="e">
        <f>ROUND('Final workings'!H19,-3)</f>
        <v>#DIV/0!</v>
      </c>
    </row>
    <row r="98" spans="1:9" ht="34.5" customHeight="1" x14ac:dyDescent="0.5">
      <c r="C98" s="51"/>
      <c r="D98" s="55"/>
      <c r="E98" s="55"/>
      <c r="F98" s="55"/>
      <c r="G98" s="55"/>
      <c r="H98" s="55"/>
      <c r="I98" s="55"/>
    </row>
    <row r="99" spans="1:9" ht="46.5" customHeight="1" x14ac:dyDescent="0.5">
      <c r="C99" s="54">
        <f t="shared" ref="C99:I99" si="18">SUM(C94:C98)</f>
        <v>0</v>
      </c>
      <c r="D99" s="54" t="e">
        <f t="shared" si="18"/>
        <v>#DIV/0!</v>
      </c>
      <c r="E99" s="54" t="e">
        <f t="shared" si="18"/>
        <v>#DIV/0!</v>
      </c>
      <c r="F99" s="54" t="e">
        <f t="shared" si="18"/>
        <v>#DIV/0!</v>
      </c>
      <c r="G99" s="54" t="e">
        <f t="shared" si="18"/>
        <v>#DIV/0!</v>
      </c>
      <c r="H99" s="54" t="e">
        <f t="shared" si="18"/>
        <v>#DIV/0!</v>
      </c>
      <c r="I99" s="54" t="e">
        <f t="shared" si="18"/>
        <v>#DIV/0!</v>
      </c>
    </row>
    <row r="100" spans="1:9" ht="25.5" customHeight="1" x14ac:dyDescent="0.5">
      <c r="C100" s="3"/>
      <c r="D100" s="3"/>
      <c r="E100" s="3"/>
    </row>
    <row r="101" spans="1:9" ht="25.5" customHeight="1" x14ac:dyDescent="0.5">
      <c r="C101" s="85"/>
      <c r="D101" s="85"/>
      <c r="E101" s="85"/>
      <c r="F101" s="85"/>
    </row>
  </sheetData>
  <mergeCells count="15">
    <mergeCell ref="A1:I1"/>
    <mergeCell ref="A2:I2"/>
    <mergeCell ref="A3:I3"/>
    <mergeCell ref="A4:I4"/>
    <mergeCell ref="A45:A47"/>
    <mergeCell ref="M3:O3"/>
    <mergeCell ref="A5:A7"/>
    <mergeCell ref="B5:B7"/>
    <mergeCell ref="A92:I92"/>
    <mergeCell ref="A78:I78"/>
    <mergeCell ref="B45:B47"/>
    <mergeCell ref="A44:I44"/>
    <mergeCell ref="A42:I42"/>
    <mergeCell ref="A41:I41"/>
    <mergeCell ref="A40:I40"/>
  </mergeCells>
  <pageMargins left="0.15748031496062992" right="0.15748031496062992" top="0.39370078740157483" bottom="0.74803149606299213" header="0.31496062992125984" footer="0.31496062992125984"/>
  <pageSetup scale="43" orientation="portrait" r:id="rId1"/>
  <rowBreaks count="2" manualBreakCount="2">
    <brk id="39" max="11" man="1"/>
    <brk id="76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A20F-0E4A-4AAC-840B-DAF3789F0945}">
  <dimension ref="A1:J126"/>
  <sheetViews>
    <sheetView view="pageBreakPreview" topLeftCell="A22" zoomScale="70" zoomScaleNormal="100" zoomScaleSheetLayoutView="70" workbookViewId="0">
      <selection activeCell="T54" sqref="T54"/>
    </sheetView>
  </sheetViews>
  <sheetFormatPr defaultColWidth="9.109375" defaultRowHeight="14.4" x14ac:dyDescent="0.35"/>
  <cols>
    <col min="1" max="1" width="27.5546875" style="18" customWidth="1"/>
    <col min="2" max="2" width="11.44140625" style="18" customWidth="1"/>
    <col min="3" max="5" width="12.44140625" style="18" bestFit="1" customWidth="1"/>
    <col min="6" max="6" width="11.5546875" style="18" bestFit="1" customWidth="1"/>
    <col min="7" max="7" width="11" style="18" customWidth="1"/>
    <col min="8" max="8" width="11.88671875" style="18" customWidth="1"/>
    <col min="9" max="9" width="11.44140625" style="18" customWidth="1"/>
    <col min="10" max="16384" width="9.109375" style="18"/>
  </cols>
  <sheetData>
    <row r="1" spans="1:9" ht="15" x14ac:dyDescent="0.35">
      <c r="A1" s="476">
        <f>Assumptions.1!I3</f>
        <v>0</v>
      </c>
      <c r="B1" s="476"/>
      <c r="C1" s="476"/>
      <c r="D1" s="476"/>
      <c r="E1" s="476"/>
      <c r="F1" s="476"/>
      <c r="G1" s="476"/>
      <c r="H1" s="476"/>
      <c r="I1" s="476"/>
    </row>
    <row r="2" spans="1:9" ht="15" x14ac:dyDescent="0.35">
      <c r="A2" s="476">
        <f>Assumptions.1!I5</f>
        <v>0</v>
      </c>
      <c r="B2" s="476"/>
      <c r="C2" s="476"/>
      <c r="D2" s="476"/>
      <c r="E2" s="476"/>
      <c r="F2" s="476"/>
      <c r="G2" s="476"/>
      <c r="H2" s="476"/>
      <c r="I2" s="476"/>
    </row>
    <row r="3" spans="1:9" ht="15" x14ac:dyDescent="0.35">
      <c r="A3" s="476">
        <f>Assumptions.1!I6</f>
        <v>0</v>
      </c>
      <c r="B3" s="476"/>
      <c r="C3" s="476"/>
      <c r="D3" s="476"/>
      <c r="E3" s="476"/>
      <c r="F3" s="476"/>
      <c r="G3" s="476"/>
      <c r="H3" s="476"/>
      <c r="I3" s="476"/>
    </row>
    <row r="5" spans="1:9" x14ac:dyDescent="0.35">
      <c r="A5" s="477" t="s">
        <v>20</v>
      </c>
      <c r="B5" s="477"/>
      <c r="C5" s="477"/>
      <c r="D5" s="477"/>
      <c r="E5" s="477"/>
      <c r="F5" s="477"/>
      <c r="G5" s="477"/>
      <c r="H5" s="477"/>
      <c r="I5" s="477"/>
    </row>
    <row r="6" spans="1:9" x14ac:dyDescent="0.35">
      <c r="A6" s="17"/>
      <c r="B6" s="17"/>
      <c r="C6" s="17"/>
      <c r="D6" s="17"/>
      <c r="E6" s="17"/>
      <c r="F6" s="17"/>
    </row>
    <row r="7" spans="1:9" x14ac:dyDescent="0.35">
      <c r="A7" s="175" t="s">
        <v>335</v>
      </c>
    </row>
    <row r="8" spans="1:9" x14ac:dyDescent="0.35">
      <c r="B8" s="474" t="s">
        <v>336</v>
      </c>
      <c r="C8" s="474"/>
      <c r="D8" s="474"/>
      <c r="E8" s="474"/>
      <c r="F8" s="474"/>
      <c r="G8" s="474"/>
      <c r="H8" s="474"/>
      <c r="I8" s="474"/>
    </row>
    <row r="9" spans="1:9" ht="37.5" customHeight="1" thickBot="1" x14ac:dyDescent="0.4">
      <c r="A9" s="74" t="s">
        <v>24</v>
      </c>
      <c r="B9" s="253"/>
      <c r="C9" s="253"/>
      <c r="D9" s="76">
        <f>Assumptions.1!I19</f>
        <v>0</v>
      </c>
      <c r="E9" s="76">
        <f>Assumptions.1!I20</f>
        <v>0</v>
      </c>
      <c r="F9" s="76">
        <f>Assumptions.1!I21</f>
        <v>0</v>
      </c>
      <c r="G9" s="76">
        <f>Assumptions.1!I22</f>
        <v>0</v>
      </c>
      <c r="H9" s="76">
        <f>Assumptions.1!I23</f>
        <v>0</v>
      </c>
      <c r="I9" s="76">
        <f>Assumptions.1!I24</f>
        <v>0</v>
      </c>
    </row>
    <row r="11" spans="1:9" x14ac:dyDescent="0.35">
      <c r="A11" s="18" t="s">
        <v>337</v>
      </c>
      <c r="B11" s="250"/>
      <c r="C11" s="250"/>
      <c r="D11" s="250" t="e">
        <f t="shared" ref="D11:I11" si="0">D16/D23</f>
        <v>#DIV/0!</v>
      </c>
      <c r="E11" s="250" t="e">
        <f t="shared" si="0"/>
        <v>#DIV/0!</v>
      </c>
      <c r="F11" s="250" t="e">
        <f t="shared" si="0"/>
        <v>#DIV/0!</v>
      </c>
      <c r="G11" s="250" t="e">
        <f t="shared" si="0"/>
        <v>#DIV/0!</v>
      </c>
      <c r="H11" s="250" t="e">
        <f t="shared" si="0"/>
        <v>#DIV/0!</v>
      </c>
      <c r="I11" s="250" t="e">
        <f t="shared" si="0"/>
        <v>#DIV/0!</v>
      </c>
    </row>
    <row r="13" spans="1:9" x14ac:dyDescent="0.35">
      <c r="A13" s="18" t="s">
        <v>338</v>
      </c>
    </row>
    <row r="14" spans="1:9" x14ac:dyDescent="0.35">
      <c r="A14" s="18" t="s">
        <v>339</v>
      </c>
      <c r="B14" s="250"/>
      <c r="C14" s="250"/>
      <c r="D14" s="250"/>
      <c r="E14" s="250"/>
      <c r="F14" s="250"/>
      <c r="G14" s="250"/>
      <c r="H14" s="250"/>
      <c r="I14" s="250"/>
    </row>
    <row r="15" spans="1:9" x14ac:dyDescent="0.35">
      <c r="B15" s="250"/>
      <c r="C15" s="250"/>
      <c r="D15" s="250"/>
      <c r="E15" s="250"/>
      <c r="F15" s="250"/>
      <c r="G15" s="250"/>
      <c r="H15" s="250"/>
      <c r="I15" s="250"/>
    </row>
    <row r="16" spans="1:9" ht="28.8" x14ac:dyDescent="0.35">
      <c r="A16" s="251" t="s">
        <v>340</v>
      </c>
      <c r="B16" s="29"/>
      <c r="C16" s="29"/>
      <c r="D16" s="29" t="e">
        <f>PLBS!D28</f>
        <v>#DIV/0!</v>
      </c>
      <c r="E16" s="29" t="e">
        <f>PLBS!E28</f>
        <v>#DIV/0!</v>
      </c>
      <c r="F16" s="29" t="e">
        <f>PLBS!F28</f>
        <v>#DIV/0!</v>
      </c>
      <c r="G16" s="29" t="e">
        <f>PLBS!G28</f>
        <v>#DIV/0!</v>
      </c>
      <c r="H16" s="29" t="e">
        <f>PLBS!H28</f>
        <v>#DIV/0!</v>
      </c>
      <c r="I16" s="29" t="e">
        <f>PLBS!I28</f>
        <v>#DIV/0!</v>
      </c>
    </row>
    <row r="17" spans="1:9" x14ac:dyDescent="0.35">
      <c r="B17" s="250"/>
      <c r="C17" s="250"/>
      <c r="D17" s="250"/>
      <c r="E17" s="250"/>
      <c r="F17" s="250"/>
      <c r="G17" s="250"/>
      <c r="H17" s="250"/>
      <c r="I17" s="250"/>
    </row>
    <row r="18" spans="1:9" x14ac:dyDescent="0.35">
      <c r="A18" s="28" t="s">
        <v>341</v>
      </c>
      <c r="B18" s="250"/>
      <c r="C18" s="250"/>
      <c r="D18" s="250"/>
      <c r="E18" s="250"/>
      <c r="F18" s="250"/>
      <c r="G18" s="250"/>
      <c r="H18" s="250"/>
      <c r="I18" s="250"/>
    </row>
    <row r="19" spans="1:9" x14ac:dyDescent="0.35">
      <c r="B19" s="250"/>
    </row>
    <row r="20" spans="1:9" x14ac:dyDescent="0.35">
      <c r="A20" s="18" t="s">
        <v>342</v>
      </c>
      <c r="B20" s="34"/>
      <c r="C20" s="34"/>
      <c r="D20" s="34" t="e">
        <f>PLBS!D99</f>
        <v>#DIV/0!</v>
      </c>
      <c r="E20" s="34" t="e">
        <f>PLBS!E99</f>
        <v>#DIV/0!</v>
      </c>
      <c r="F20" s="34" t="e">
        <f>PLBS!F99</f>
        <v>#DIV/0!</v>
      </c>
      <c r="G20" s="34" t="e">
        <f>PLBS!G99</f>
        <v>#DIV/0!</v>
      </c>
      <c r="H20" s="34" t="e">
        <f>PLBS!H99</f>
        <v>#DIV/0!</v>
      </c>
      <c r="I20" s="34" t="e">
        <f>PLBS!I99</f>
        <v>#DIV/0!</v>
      </c>
    </row>
    <row r="21" spans="1:9" x14ac:dyDescent="0.35">
      <c r="A21" s="18" t="s">
        <v>343</v>
      </c>
      <c r="B21" s="34"/>
      <c r="C21" s="34"/>
      <c r="D21" s="34" t="e">
        <f>'Repayment sch'!B21+PLBS!C53-PLBS!D53</f>
        <v>#DIV/0!</v>
      </c>
      <c r="E21" s="34" t="e">
        <f>'Repayment sch'!C21+PLBS!D53-PLBS!E53</f>
        <v>#DIV/0!</v>
      </c>
      <c r="F21" s="34" t="e">
        <f>'Repayment sch'!D21+PLBS!E53-PLBS!F53</f>
        <v>#DIV/0!</v>
      </c>
      <c r="G21" s="34" t="e">
        <f>'Repayment sch'!E21+PLBS!F53-PLBS!G53</f>
        <v>#DIV/0!</v>
      </c>
      <c r="H21" s="34" t="e">
        <f>'Repayment sch'!F21+PLBS!G53-PLBS!H53</f>
        <v>#DIV/0!</v>
      </c>
      <c r="I21" s="34" t="e">
        <f>'Repayment sch'!G21+PLBS!H53-PLBS!I53</f>
        <v>#DIV/0!</v>
      </c>
    </row>
    <row r="22" spans="1:9" ht="15" thickBot="1" x14ac:dyDescent="0.4">
      <c r="B22" s="252"/>
      <c r="C22" s="252"/>
      <c r="D22" s="252"/>
      <c r="E22" s="252"/>
      <c r="F22" s="252"/>
      <c r="G22" s="252"/>
      <c r="H22" s="252"/>
      <c r="I22" s="252"/>
    </row>
    <row r="23" spans="1:9" x14ac:dyDescent="0.35">
      <c r="B23" s="29"/>
      <c r="C23" s="29"/>
      <c r="D23" s="29" t="e">
        <f t="shared" ref="D23:I23" si="1">D20+D21</f>
        <v>#DIV/0!</v>
      </c>
      <c r="E23" s="29" t="e">
        <f t="shared" si="1"/>
        <v>#DIV/0!</v>
      </c>
      <c r="F23" s="29" t="e">
        <f t="shared" si="1"/>
        <v>#DIV/0!</v>
      </c>
      <c r="G23" s="29" t="e">
        <f t="shared" si="1"/>
        <v>#DIV/0!</v>
      </c>
      <c r="H23" s="29" t="e">
        <f t="shared" si="1"/>
        <v>#DIV/0!</v>
      </c>
      <c r="I23" s="29" t="e">
        <f t="shared" si="1"/>
        <v>#DIV/0!</v>
      </c>
    </row>
    <row r="25" spans="1:9" ht="15" thickBot="1" x14ac:dyDescent="0.4">
      <c r="A25" s="254" t="s">
        <v>344</v>
      </c>
      <c r="B25" s="22"/>
      <c r="C25" s="22"/>
      <c r="D25" s="22"/>
      <c r="E25" s="22"/>
      <c r="F25" s="22"/>
      <c r="G25" s="22"/>
      <c r="H25" s="22"/>
      <c r="I25" s="22"/>
    </row>
    <row r="26" spans="1:9" x14ac:dyDescent="0.35">
      <c r="A26" s="17"/>
      <c r="B26" s="17"/>
      <c r="C26" s="17"/>
      <c r="D26" s="17"/>
      <c r="E26" s="17"/>
      <c r="F26" s="17"/>
    </row>
    <row r="27" spans="1:9" x14ac:dyDescent="0.35">
      <c r="A27" s="175" t="s">
        <v>397</v>
      </c>
      <c r="B27" s="17"/>
      <c r="C27" s="17"/>
      <c r="D27" s="17"/>
      <c r="E27" s="17"/>
    </row>
    <row r="28" spans="1:9" x14ac:dyDescent="0.35">
      <c r="A28" s="38"/>
      <c r="H28" s="484" t="s">
        <v>396</v>
      </c>
      <c r="I28" s="484"/>
    </row>
    <row r="29" spans="1:9" ht="48" customHeight="1" thickBot="1" x14ac:dyDescent="0.4">
      <c r="A29" s="77" t="s">
        <v>23</v>
      </c>
      <c r="B29" s="75"/>
      <c r="C29" s="76">
        <f t="shared" ref="C29:I29" si="2">C91</f>
        <v>0</v>
      </c>
      <c r="D29" s="76">
        <f t="shared" si="2"/>
        <v>0</v>
      </c>
      <c r="E29" s="76">
        <f t="shared" si="2"/>
        <v>0</v>
      </c>
      <c r="F29" s="76">
        <f t="shared" si="2"/>
        <v>0</v>
      </c>
      <c r="G29" s="76">
        <f t="shared" si="2"/>
        <v>0</v>
      </c>
      <c r="H29" s="76">
        <f t="shared" si="2"/>
        <v>0</v>
      </c>
      <c r="I29" s="76">
        <f t="shared" si="2"/>
        <v>0</v>
      </c>
    </row>
    <row r="30" spans="1:9" ht="16.2" x14ac:dyDescent="0.35">
      <c r="E30" s="36"/>
    </row>
    <row r="31" spans="1:9" x14ac:dyDescent="0.35">
      <c r="A31" s="18" t="s">
        <v>26</v>
      </c>
      <c r="C31" s="27" t="e">
        <f t="shared" ref="C31:I31" si="3">C33/C34</f>
        <v>#DIV/0!</v>
      </c>
      <c r="D31" s="27" t="e">
        <f t="shared" si="3"/>
        <v>#DIV/0!</v>
      </c>
      <c r="E31" s="27" t="e">
        <f t="shared" si="3"/>
        <v>#DIV/0!</v>
      </c>
      <c r="F31" s="27" t="e">
        <f t="shared" si="3"/>
        <v>#DIV/0!</v>
      </c>
      <c r="G31" s="27" t="e">
        <f t="shared" si="3"/>
        <v>#DIV/0!</v>
      </c>
      <c r="H31" s="27" t="e">
        <f t="shared" si="3"/>
        <v>#DIV/0!</v>
      </c>
      <c r="I31" s="27" t="e">
        <f t="shared" si="3"/>
        <v>#DIV/0!</v>
      </c>
    </row>
    <row r="32" spans="1:9" x14ac:dyDescent="0.35">
      <c r="C32" s="27"/>
      <c r="D32" s="27"/>
      <c r="E32" s="27"/>
    </row>
    <row r="33" spans="1:9" x14ac:dyDescent="0.35">
      <c r="A33" s="18" t="s">
        <v>27</v>
      </c>
      <c r="C33" s="34">
        <f>SUM(PLBS!C69:C72)</f>
        <v>0</v>
      </c>
      <c r="D33" s="34" t="e">
        <f>SUM(PLBS!D69:D72)</f>
        <v>#DIV/0!</v>
      </c>
      <c r="E33" s="34" t="e">
        <f>SUM(PLBS!E69:E72)</f>
        <v>#DIV/0!</v>
      </c>
      <c r="F33" s="34" t="e">
        <f>SUM(PLBS!F69:F72)</f>
        <v>#DIV/0!</v>
      </c>
      <c r="G33" s="34" t="e">
        <f>SUM(PLBS!G69:G72)</f>
        <v>#DIV/0!</v>
      </c>
      <c r="H33" s="34" t="e">
        <f>SUM(PLBS!H69:H72)</f>
        <v>#DIV/0!</v>
      </c>
      <c r="I33" s="34" t="e">
        <f>SUM(PLBS!I69:I72)</f>
        <v>#DIV/0!</v>
      </c>
    </row>
    <row r="34" spans="1:9" x14ac:dyDescent="0.35">
      <c r="A34" s="18" t="s">
        <v>3</v>
      </c>
      <c r="C34" s="34">
        <f>SUM(PLBS!C57:C59)</f>
        <v>0</v>
      </c>
      <c r="D34" s="34" t="e">
        <f>SUM(PLBS!D57:D59)</f>
        <v>#DIV/0!</v>
      </c>
      <c r="E34" s="34" t="e">
        <f>SUM(PLBS!E57:E59)</f>
        <v>#DIV/0!</v>
      </c>
      <c r="F34" s="34" t="e">
        <f>SUM(PLBS!F57:F59)</f>
        <v>#DIV/0!</v>
      </c>
      <c r="G34" s="34" t="e">
        <f>SUM(PLBS!G57:G59)</f>
        <v>#DIV/0!</v>
      </c>
      <c r="H34" s="34" t="e">
        <f>SUM(PLBS!H57:H59)</f>
        <v>#DIV/0!</v>
      </c>
      <c r="I34" s="34" t="e">
        <f>SUM(PLBS!I57:I59)</f>
        <v>#DIV/0!</v>
      </c>
    </row>
    <row r="35" spans="1:9" x14ac:dyDescent="0.35">
      <c r="C35" s="34"/>
      <c r="D35" s="34"/>
      <c r="E35" s="34"/>
    </row>
    <row r="36" spans="1:9" ht="16.8" thickBot="1" x14ac:dyDescent="0.4">
      <c r="A36" s="22" t="s">
        <v>66</v>
      </c>
      <c r="B36" s="22"/>
      <c r="C36" s="22"/>
      <c r="D36" s="22"/>
      <c r="E36" s="37"/>
      <c r="F36" s="22"/>
      <c r="G36" s="22"/>
      <c r="H36" s="22"/>
      <c r="I36" s="22"/>
    </row>
    <row r="37" spans="1:9" x14ac:dyDescent="0.35">
      <c r="A37" s="17"/>
      <c r="B37" s="17"/>
      <c r="C37" s="17"/>
      <c r="D37" s="17"/>
      <c r="E37" s="17"/>
      <c r="F37" s="17"/>
    </row>
    <row r="38" spans="1:9" x14ac:dyDescent="0.35">
      <c r="A38" s="175" t="s">
        <v>345</v>
      </c>
    </row>
    <row r="39" spans="1:9" x14ac:dyDescent="0.35">
      <c r="A39" s="38"/>
    </row>
    <row r="40" spans="1:9" ht="48" customHeight="1" thickBot="1" x14ac:dyDescent="0.4">
      <c r="A40" s="77" t="s">
        <v>23</v>
      </c>
      <c r="B40" s="75"/>
      <c r="C40" s="76">
        <f t="shared" ref="C40:I40" si="4">C100</f>
        <v>0</v>
      </c>
      <c r="D40" s="76">
        <f t="shared" si="4"/>
        <v>0</v>
      </c>
      <c r="E40" s="76">
        <f t="shared" si="4"/>
        <v>0</v>
      </c>
      <c r="F40" s="76">
        <f t="shared" si="4"/>
        <v>0</v>
      </c>
      <c r="G40" s="76">
        <f t="shared" si="4"/>
        <v>0</v>
      </c>
      <c r="H40" s="76">
        <f t="shared" si="4"/>
        <v>0</v>
      </c>
      <c r="I40" s="76">
        <f t="shared" si="4"/>
        <v>0</v>
      </c>
    </row>
    <row r="42" spans="1:9" x14ac:dyDescent="0.35">
      <c r="A42" s="18" t="s">
        <v>21</v>
      </c>
      <c r="C42" s="27" t="e">
        <f>PLBS!C22/PLBS!C11*100</f>
        <v>#DIV/0!</v>
      </c>
      <c r="D42" s="27" t="e">
        <f>PLBS!D22/PLBS!D11*100</f>
        <v>#DIV/0!</v>
      </c>
      <c r="E42" s="27" t="e">
        <f>PLBS!E22/PLBS!E11*100</f>
        <v>#DIV/0!</v>
      </c>
      <c r="F42" s="27" t="e">
        <f>PLBS!F22/PLBS!F11*100</f>
        <v>#DIV/0!</v>
      </c>
      <c r="G42" s="27" t="e">
        <f>PLBS!G22/PLBS!G11*100</f>
        <v>#DIV/0!</v>
      </c>
      <c r="H42" s="27" t="e">
        <f>PLBS!H22/PLBS!H11*100</f>
        <v>#DIV/0!</v>
      </c>
      <c r="I42" s="27" t="e">
        <f>PLBS!I22/PLBS!I11*100</f>
        <v>#DIV/0!</v>
      </c>
    </row>
    <row r="43" spans="1:9" x14ac:dyDescent="0.35">
      <c r="C43" s="27"/>
      <c r="D43" s="27"/>
      <c r="E43" s="27"/>
    </row>
    <row r="44" spans="1:9" ht="15" thickBot="1" x14ac:dyDescent="0.4">
      <c r="A44" s="35" t="s">
        <v>64</v>
      </c>
      <c r="B44" s="22"/>
      <c r="C44" s="22"/>
      <c r="D44" s="22"/>
      <c r="E44" s="22"/>
      <c r="F44" s="22"/>
      <c r="G44" s="22"/>
      <c r="H44" s="22"/>
      <c r="I44" s="22"/>
    </row>
    <row r="45" spans="1:9" ht="16.2" x14ac:dyDescent="0.35">
      <c r="E45" s="36"/>
    </row>
    <row r="46" spans="1:9" ht="16.2" x14ac:dyDescent="0.35">
      <c r="A46" s="175" t="s">
        <v>346</v>
      </c>
      <c r="E46" s="36"/>
    </row>
    <row r="47" spans="1:9" ht="16.2" x14ac:dyDescent="0.35">
      <c r="A47" s="38"/>
      <c r="E47" s="36"/>
    </row>
    <row r="48" spans="1:9" ht="48.75" customHeight="1" thickBot="1" x14ac:dyDescent="0.4">
      <c r="A48" s="77" t="s">
        <v>23</v>
      </c>
      <c r="B48" s="75"/>
      <c r="C48" s="76">
        <f t="shared" ref="C48:I48" si="5">C40</f>
        <v>0</v>
      </c>
      <c r="D48" s="76">
        <f t="shared" si="5"/>
        <v>0</v>
      </c>
      <c r="E48" s="76">
        <f t="shared" si="5"/>
        <v>0</v>
      </c>
      <c r="F48" s="76">
        <f t="shared" si="5"/>
        <v>0</v>
      </c>
      <c r="G48" s="76">
        <f t="shared" si="5"/>
        <v>0</v>
      </c>
      <c r="H48" s="76">
        <f t="shared" si="5"/>
        <v>0</v>
      </c>
      <c r="I48" s="76">
        <f t="shared" si="5"/>
        <v>0</v>
      </c>
    </row>
    <row r="49" spans="1:9" ht="16.2" x14ac:dyDescent="0.35">
      <c r="E49" s="36"/>
    </row>
    <row r="50" spans="1:9" x14ac:dyDescent="0.35">
      <c r="A50" s="18" t="s">
        <v>22</v>
      </c>
      <c r="C50" s="27" t="e">
        <f>PLBS!C36/PLBS!C11*100</f>
        <v>#DIV/0!</v>
      </c>
      <c r="D50" s="27" t="e">
        <f>PLBS!D36/PLBS!D11*100</f>
        <v>#DIV/0!</v>
      </c>
      <c r="E50" s="27" t="e">
        <f>PLBS!E36/PLBS!E11*100</f>
        <v>#DIV/0!</v>
      </c>
      <c r="F50" s="27" t="e">
        <f>PLBS!F36/PLBS!F11*100</f>
        <v>#DIV/0!</v>
      </c>
      <c r="G50" s="27" t="e">
        <f>PLBS!G36/PLBS!G11*100</f>
        <v>#DIV/0!</v>
      </c>
      <c r="H50" s="27" t="e">
        <f>PLBS!H36/PLBS!H11*100</f>
        <v>#DIV/0!</v>
      </c>
      <c r="I50" s="27" t="e">
        <f>PLBS!I36/PLBS!I11*100</f>
        <v>#DIV/0!</v>
      </c>
    </row>
    <row r="51" spans="1:9" x14ac:dyDescent="0.35">
      <c r="C51" s="27"/>
      <c r="D51" s="27"/>
      <c r="E51" s="27"/>
    </row>
    <row r="52" spans="1:9" ht="16.8" thickBot="1" x14ac:dyDescent="0.4">
      <c r="A52" s="35" t="s">
        <v>65</v>
      </c>
      <c r="B52" s="22"/>
      <c r="C52" s="22"/>
      <c r="D52" s="22"/>
      <c r="E52" s="37"/>
      <c r="F52" s="22"/>
      <c r="G52" s="22"/>
      <c r="H52" s="22"/>
      <c r="I52" s="22"/>
    </row>
    <row r="53" spans="1:9" x14ac:dyDescent="0.35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6.2" x14ac:dyDescent="0.35">
      <c r="A54" s="175" t="s">
        <v>398</v>
      </c>
      <c r="E54" s="36"/>
    </row>
    <row r="55" spans="1:9" ht="16.2" x14ac:dyDescent="0.35">
      <c r="A55" s="38"/>
      <c r="E55" s="36"/>
    </row>
    <row r="56" spans="1:9" ht="45.75" customHeight="1" thickBot="1" x14ac:dyDescent="0.4">
      <c r="A56" s="77" t="s">
        <v>23</v>
      </c>
      <c r="B56" s="75"/>
      <c r="C56" s="76">
        <f t="shared" ref="C56:I56" si="6">C29</f>
        <v>0</v>
      </c>
      <c r="D56" s="76">
        <f t="shared" si="6"/>
        <v>0</v>
      </c>
      <c r="E56" s="76">
        <f t="shared" si="6"/>
        <v>0</v>
      </c>
      <c r="F56" s="76">
        <f t="shared" si="6"/>
        <v>0</v>
      </c>
      <c r="G56" s="76">
        <f t="shared" si="6"/>
        <v>0</v>
      </c>
      <c r="H56" s="76">
        <f t="shared" si="6"/>
        <v>0</v>
      </c>
      <c r="I56" s="76">
        <f t="shared" si="6"/>
        <v>0</v>
      </c>
    </row>
    <row r="57" spans="1:9" ht="16.2" x14ac:dyDescent="0.35">
      <c r="E57" s="36"/>
    </row>
    <row r="58" spans="1:9" x14ac:dyDescent="0.35">
      <c r="A58" s="18" t="s">
        <v>79</v>
      </c>
      <c r="C58" s="27" t="e">
        <f>SUM(PLBS!C52:C59)/PLBS!C50</f>
        <v>#DIV/0!</v>
      </c>
      <c r="D58" s="27" t="e">
        <f>SUM(PLBS!D52:D59)/PLBS!D50</f>
        <v>#DIV/0!</v>
      </c>
      <c r="E58" s="27" t="e">
        <f>SUM(PLBS!E52:E59)/PLBS!E50</f>
        <v>#DIV/0!</v>
      </c>
      <c r="F58" s="27" t="e">
        <f>SUM(PLBS!F52:F59)/PLBS!F50</f>
        <v>#DIV/0!</v>
      </c>
      <c r="G58" s="27" t="e">
        <f>SUM(PLBS!G52:G59)/PLBS!G50</f>
        <v>#DIV/0!</v>
      </c>
      <c r="H58" s="27" t="e">
        <f>SUM(PLBS!H52:H59)/PLBS!H50</f>
        <v>#DIV/0!</v>
      </c>
      <c r="I58" s="27" t="e">
        <f>SUM(PLBS!I52:I59)/PLBS!I50</f>
        <v>#DIV/0!</v>
      </c>
    </row>
    <row r="59" spans="1:9" x14ac:dyDescent="0.35">
      <c r="C59" s="27"/>
      <c r="D59" s="27"/>
      <c r="E59" s="27"/>
    </row>
    <row r="60" spans="1:9" ht="16.8" thickBot="1" x14ac:dyDescent="0.4">
      <c r="A60" s="22" t="s">
        <v>67</v>
      </c>
      <c r="B60" s="22"/>
      <c r="C60" s="22"/>
      <c r="D60" s="22"/>
      <c r="E60" s="37"/>
      <c r="F60" s="22"/>
      <c r="G60" s="22"/>
      <c r="H60" s="22"/>
      <c r="I60" s="22"/>
    </row>
    <row r="63" spans="1:9" x14ac:dyDescent="0.35">
      <c r="A63" s="17"/>
      <c r="B63" s="17"/>
      <c r="C63" s="17"/>
      <c r="D63" s="17"/>
      <c r="E63" s="17"/>
    </row>
    <row r="64" spans="1:9" x14ac:dyDescent="0.35">
      <c r="A64" s="176" t="s">
        <v>347</v>
      </c>
      <c r="B64" s="17"/>
      <c r="C64" s="17"/>
      <c r="D64" s="17"/>
      <c r="E64" s="17"/>
      <c r="F64" s="17"/>
    </row>
    <row r="65" spans="1:9" x14ac:dyDescent="0.35">
      <c r="A65" s="48"/>
    </row>
    <row r="66" spans="1:9" ht="48" customHeight="1" thickBot="1" x14ac:dyDescent="0.4">
      <c r="A66" s="77" t="s">
        <v>23</v>
      </c>
      <c r="B66" s="79"/>
      <c r="C66" s="76">
        <f t="shared" ref="C66:I66" si="7">C111</f>
        <v>0</v>
      </c>
      <c r="D66" s="76">
        <f t="shared" si="7"/>
        <v>0</v>
      </c>
      <c r="E66" s="76">
        <f t="shared" si="7"/>
        <v>0</v>
      </c>
      <c r="F66" s="76">
        <f t="shared" si="7"/>
        <v>0</v>
      </c>
      <c r="G66" s="76">
        <f t="shared" si="7"/>
        <v>0</v>
      </c>
      <c r="H66" s="76">
        <f t="shared" si="7"/>
        <v>0</v>
      </c>
      <c r="I66" s="76">
        <f t="shared" si="7"/>
        <v>0</v>
      </c>
    </row>
    <row r="67" spans="1:9" ht="15" x14ac:dyDescent="0.35">
      <c r="A67" s="25"/>
      <c r="C67" s="26"/>
      <c r="D67" s="26"/>
      <c r="E67" s="26"/>
    </row>
    <row r="68" spans="1:9" x14ac:dyDescent="0.35">
      <c r="A68" s="50" t="s">
        <v>11</v>
      </c>
      <c r="C68" s="18">
        <f>PLBS!C20</f>
        <v>0</v>
      </c>
      <c r="D68" s="18" t="e">
        <f>PLBS!D20</f>
        <v>#DIV/0!</v>
      </c>
      <c r="E68" s="18" t="e">
        <f>PLBS!E20</f>
        <v>#DIV/0!</v>
      </c>
      <c r="F68" s="18" t="e">
        <f>PLBS!F20</f>
        <v>#DIV/0!</v>
      </c>
      <c r="G68" s="18" t="e">
        <f>PLBS!G20</f>
        <v>#DIV/0!</v>
      </c>
      <c r="H68" s="18" t="e">
        <f>PLBS!H20</f>
        <v>#DIV/0!</v>
      </c>
      <c r="I68" s="18" t="e">
        <f>PLBS!I20</f>
        <v>#DIV/0!</v>
      </c>
    </row>
    <row r="69" spans="1:9" x14ac:dyDescent="0.35">
      <c r="A69" s="18" t="s">
        <v>12</v>
      </c>
      <c r="C69" s="18">
        <f>(PLBS!C17+PLBS!C19)/2</f>
        <v>0</v>
      </c>
      <c r="D69" s="18">
        <f>(PLBS!D17+PLBS!D19)/2</f>
        <v>0</v>
      </c>
      <c r="E69" s="18">
        <f>(PLBS!E17+PLBS!E19)/2</f>
        <v>0</v>
      </c>
      <c r="F69" s="18">
        <f>(PLBS!F17+PLBS!F19)/2</f>
        <v>0</v>
      </c>
      <c r="G69" s="18">
        <f>(PLBS!G17+PLBS!G19)/2</f>
        <v>0</v>
      </c>
      <c r="H69" s="18">
        <f>(PLBS!H17+PLBS!H19)/2</f>
        <v>0</v>
      </c>
      <c r="I69" s="18">
        <f>(PLBS!I17+PLBS!I19)/2</f>
        <v>0</v>
      </c>
    </row>
    <row r="70" spans="1:9" x14ac:dyDescent="0.35">
      <c r="A70" s="18" t="s">
        <v>31</v>
      </c>
      <c r="C70" s="27" t="e">
        <f t="shared" ref="C70:I70" si="8">C68/C69</f>
        <v>#DIV/0!</v>
      </c>
      <c r="D70" s="27" t="e">
        <f t="shared" si="8"/>
        <v>#DIV/0!</v>
      </c>
      <c r="E70" s="27" t="e">
        <f t="shared" si="8"/>
        <v>#DIV/0!</v>
      </c>
      <c r="F70" s="27" t="e">
        <f t="shared" si="8"/>
        <v>#DIV/0!</v>
      </c>
      <c r="G70" s="27" t="e">
        <f t="shared" si="8"/>
        <v>#DIV/0!</v>
      </c>
      <c r="H70" s="27" t="e">
        <f t="shared" si="8"/>
        <v>#DIV/0!</v>
      </c>
      <c r="I70" s="27" t="e">
        <f t="shared" si="8"/>
        <v>#DIV/0!</v>
      </c>
    </row>
    <row r="71" spans="1:9" ht="6.75" customHeight="1" x14ac:dyDescent="0.35"/>
    <row r="72" spans="1:9" ht="14.25" customHeight="1" x14ac:dyDescent="0.35">
      <c r="A72" s="18" t="s">
        <v>63</v>
      </c>
    </row>
    <row r="73" spans="1:9" x14ac:dyDescent="0.35">
      <c r="A73" s="18" t="s">
        <v>16</v>
      </c>
    </row>
    <row r="74" spans="1:9" ht="15" thickBot="1" x14ac:dyDescent="0.4">
      <c r="A74" s="478" t="s">
        <v>13</v>
      </c>
      <c r="B74" s="478"/>
      <c r="C74" s="478"/>
      <c r="D74" s="478"/>
      <c r="E74" s="478"/>
      <c r="F74" s="22"/>
      <c r="G74" s="22"/>
      <c r="H74" s="22"/>
      <c r="I74" s="22"/>
    </row>
    <row r="75" spans="1:9" x14ac:dyDescent="0.35">
      <c r="A75" s="176" t="s">
        <v>348</v>
      </c>
    </row>
    <row r="76" spans="1:9" ht="45.75" customHeight="1" thickBot="1" x14ac:dyDescent="0.4">
      <c r="A76" s="77" t="s">
        <v>23</v>
      </c>
      <c r="B76" s="75"/>
      <c r="C76" s="76">
        <f t="shared" ref="C76:I76" si="9">C66</f>
        <v>0</v>
      </c>
      <c r="D76" s="76">
        <f t="shared" si="9"/>
        <v>0</v>
      </c>
      <c r="E76" s="76">
        <f t="shared" si="9"/>
        <v>0</v>
      </c>
      <c r="F76" s="76">
        <f t="shared" si="9"/>
        <v>0</v>
      </c>
      <c r="G76" s="76">
        <f t="shared" si="9"/>
        <v>0</v>
      </c>
      <c r="H76" s="76">
        <f t="shared" si="9"/>
        <v>0</v>
      </c>
      <c r="I76" s="76">
        <f t="shared" si="9"/>
        <v>0</v>
      </c>
    </row>
    <row r="77" spans="1:9" ht="14.25" customHeight="1" x14ac:dyDescent="0.35">
      <c r="A77" s="25"/>
      <c r="B77" s="28"/>
      <c r="C77" s="26"/>
      <c r="D77" s="26"/>
      <c r="E77" s="26"/>
    </row>
    <row r="78" spans="1:9" x14ac:dyDescent="0.35">
      <c r="A78" s="18" t="s">
        <v>18</v>
      </c>
      <c r="C78" s="27" t="e">
        <f>PLBS!C11/PLBS!C71</f>
        <v>#DIV/0!</v>
      </c>
      <c r="D78" s="27" t="e">
        <f>PLBS!D11/PLBS!D71</f>
        <v>#DIV/0!</v>
      </c>
      <c r="E78" s="27" t="e">
        <f>PLBS!E11/PLBS!E71</f>
        <v>#DIV/0!</v>
      </c>
      <c r="F78" s="27" t="e">
        <f>PLBS!F11/PLBS!F71</f>
        <v>#DIV/0!</v>
      </c>
      <c r="G78" s="27" t="e">
        <f>PLBS!G11/PLBS!G71</f>
        <v>#DIV/0!</v>
      </c>
      <c r="H78" s="27" t="e">
        <f>PLBS!H11/PLBS!H71</f>
        <v>#DIV/0!</v>
      </c>
      <c r="I78" s="27" t="e">
        <f>PLBS!I11/PLBS!I71</f>
        <v>#DIV/0!</v>
      </c>
    </row>
    <row r="79" spans="1:9" x14ac:dyDescent="0.35">
      <c r="A79" s="481" t="s">
        <v>19</v>
      </c>
      <c r="B79" s="481"/>
    </row>
    <row r="81" spans="1:9" x14ac:dyDescent="0.35">
      <c r="A81" s="479" t="s">
        <v>70</v>
      </c>
      <c r="B81" s="480"/>
      <c r="C81" s="480"/>
      <c r="D81" s="480"/>
      <c r="E81" s="480"/>
      <c r="F81" s="480"/>
    </row>
    <row r="82" spans="1:9" x14ac:dyDescent="0.35">
      <c r="A82" s="18" t="s">
        <v>17</v>
      </c>
    </row>
    <row r="84" spans="1:9" ht="24.75" customHeight="1" x14ac:dyDescent="0.35">
      <c r="A84" s="49" t="s">
        <v>71</v>
      </c>
      <c r="B84" s="28"/>
      <c r="C84" s="29" t="e">
        <f>B87/C78</f>
        <v>#DIV/0!</v>
      </c>
      <c r="D84" s="29" t="e">
        <f>B87/D78</f>
        <v>#DIV/0!</v>
      </c>
      <c r="E84" s="29" t="e">
        <f>B87/E78</f>
        <v>#DIV/0!</v>
      </c>
      <c r="F84" s="29" t="e">
        <f>B87/F78</f>
        <v>#DIV/0!</v>
      </c>
      <c r="G84" s="29" t="e">
        <f>B87/G78</f>
        <v>#DIV/0!</v>
      </c>
      <c r="H84" s="29" t="e">
        <f>B87/H78</f>
        <v>#DIV/0!</v>
      </c>
      <c r="I84" s="29" t="e">
        <f>B87/I78</f>
        <v>#DIV/0!</v>
      </c>
    </row>
    <row r="85" spans="1:9" x14ac:dyDescent="0.35">
      <c r="A85" s="479" t="s">
        <v>15</v>
      </c>
      <c r="B85" s="480"/>
    </row>
    <row r="87" spans="1:9" ht="15" thickBot="1" x14ac:dyDescent="0.4">
      <c r="A87" s="30" t="s">
        <v>14</v>
      </c>
      <c r="B87" s="31">
        <v>365</v>
      </c>
      <c r="C87" s="22"/>
      <c r="D87" s="22"/>
      <c r="E87" s="22"/>
      <c r="F87" s="22"/>
      <c r="G87" s="22"/>
      <c r="H87" s="22"/>
      <c r="I87" s="22"/>
    </row>
    <row r="88" spans="1:9" x14ac:dyDescent="0.35">
      <c r="A88" s="32"/>
      <c r="B88" s="33"/>
    </row>
    <row r="89" spans="1:9" x14ac:dyDescent="0.35">
      <c r="A89" s="482" t="s">
        <v>113</v>
      </c>
      <c r="B89" s="482"/>
      <c r="C89" s="17"/>
      <c r="D89" s="17"/>
      <c r="E89" s="17"/>
    </row>
    <row r="90" spans="1:9" x14ac:dyDescent="0.35">
      <c r="A90" s="17"/>
      <c r="B90" s="17"/>
      <c r="C90" s="17"/>
      <c r="D90" s="17"/>
      <c r="E90" s="17"/>
    </row>
    <row r="91" spans="1:9" ht="48.75" customHeight="1" thickBot="1" x14ac:dyDescent="0.4">
      <c r="A91" s="74" t="s">
        <v>23</v>
      </c>
      <c r="B91" s="74"/>
      <c r="C91" s="74">
        <f t="shared" ref="C91:I91" si="10">C76</f>
        <v>0</v>
      </c>
      <c r="D91" s="74">
        <f t="shared" si="10"/>
        <v>0</v>
      </c>
      <c r="E91" s="74">
        <f t="shared" si="10"/>
        <v>0</v>
      </c>
      <c r="F91" s="74">
        <f t="shared" si="10"/>
        <v>0</v>
      </c>
      <c r="G91" s="74">
        <f t="shared" si="10"/>
        <v>0</v>
      </c>
      <c r="H91" s="74">
        <f t="shared" si="10"/>
        <v>0</v>
      </c>
      <c r="I91" s="74">
        <f t="shared" si="10"/>
        <v>0</v>
      </c>
    </row>
    <row r="92" spans="1:9" ht="16.5" customHeight="1" x14ac:dyDescent="0.35">
      <c r="A92" s="17"/>
      <c r="B92" s="17"/>
      <c r="C92" s="17"/>
      <c r="D92" s="17"/>
      <c r="E92" s="17"/>
    </row>
    <row r="93" spans="1:9" x14ac:dyDescent="0.35">
      <c r="A93" s="483" t="s">
        <v>30</v>
      </c>
      <c r="B93" s="17"/>
      <c r="C93" s="119" t="e">
        <f>PLBS!C11/(PLBS!C50+PLBS!C53)</f>
        <v>#DIV/0!</v>
      </c>
      <c r="D93" s="119" t="e">
        <f>PLBS!D11/(PLBS!D50+PLBS!D53)</f>
        <v>#DIV/0!</v>
      </c>
      <c r="E93" s="119" t="e">
        <f>PLBS!E11/(PLBS!E50+PLBS!E53)</f>
        <v>#DIV/0!</v>
      </c>
      <c r="F93" s="119" t="e">
        <f>PLBS!F11/(PLBS!F50+PLBS!F53)</f>
        <v>#DIV/0!</v>
      </c>
      <c r="G93" s="119" t="e">
        <f>PLBS!G11/(PLBS!G50+PLBS!G53)</f>
        <v>#DIV/0!</v>
      </c>
      <c r="H93" s="119" t="e">
        <f>PLBS!H11/(PLBS!H50+PLBS!H53)</f>
        <v>#DIV/0!</v>
      </c>
      <c r="I93" s="119" t="e">
        <f>PLBS!I11/(PLBS!I50+PLBS!I53)</f>
        <v>#DIV/0!</v>
      </c>
    </row>
    <row r="94" spans="1:9" x14ac:dyDescent="0.35">
      <c r="A94" s="483"/>
      <c r="B94" s="17"/>
      <c r="C94" s="17"/>
      <c r="D94" s="17"/>
      <c r="E94" s="17"/>
    </row>
    <row r="95" spans="1:9" x14ac:dyDescent="0.35">
      <c r="A95" s="19"/>
      <c r="B95" s="17"/>
      <c r="C95" s="17"/>
      <c r="D95" s="17"/>
      <c r="E95" s="17"/>
    </row>
    <row r="96" spans="1:9" ht="15" thickBot="1" x14ac:dyDescent="0.4">
      <c r="A96" s="478" t="s">
        <v>61</v>
      </c>
      <c r="B96" s="478"/>
      <c r="C96" s="478"/>
      <c r="D96" s="21"/>
      <c r="E96" s="21"/>
      <c r="F96" s="22"/>
      <c r="G96" s="22"/>
      <c r="H96" s="22"/>
      <c r="I96" s="22"/>
    </row>
    <row r="97" spans="1:10" x14ac:dyDescent="0.35">
      <c r="D97" s="17"/>
      <c r="E97" s="17"/>
    </row>
    <row r="98" spans="1:10" ht="15.75" customHeight="1" x14ac:dyDescent="0.35">
      <c r="A98" s="175" t="s">
        <v>399</v>
      </c>
    </row>
    <row r="99" spans="1:10" ht="15.75" customHeight="1" x14ac:dyDescent="0.35">
      <c r="E99" s="475" t="s">
        <v>29</v>
      </c>
      <c r="F99" s="475"/>
      <c r="G99" s="475"/>
      <c r="H99" s="475"/>
      <c r="I99" s="475"/>
      <c r="J99" s="28"/>
    </row>
    <row r="100" spans="1:10" ht="51" customHeight="1" thickBot="1" x14ac:dyDescent="0.4">
      <c r="A100" s="74" t="s">
        <v>24</v>
      </c>
      <c r="B100" s="75"/>
      <c r="C100" s="76">
        <f>'Working for PL &amp; BS'!C6</f>
        <v>0</v>
      </c>
      <c r="D100" s="76">
        <f>'Working for PL &amp; BS'!D6</f>
        <v>0</v>
      </c>
      <c r="E100" s="76">
        <f>'Working for PL &amp; BS'!E6</f>
        <v>0</v>
      </c>
      <c r="F100" s="76">
        <f>'Working for PL &amp; BS'!F6</f>
        <v>0</v>
      </c>
      <c r="G100" s="76">
        <f>'Working for PL &amp; BS'!G6</f>
        <v>0</v>
      </c>
      <c r="H100" s="76">
        <f>'Working for PL &amp; BS'!H6</f>
        <v>0</v>
      </c>
      <c r="I100" s="76">
        <f>'Working for PL &amp; BS'!I6</f>
        <v>0</v>
      </c>
    </row>
    <row r="102" spans="1:10" x14ac:dyDescent="0.35">
      <c r="A102" s="18" t="s">
        <v>35</v>
      </c>
      <c r="C102" s="27" t="e">
        <f t="shared" ref="C102:I102" si="11">C104/C105</f>
        <v>#DIV/0!</v>
      </c>
      <c r="D102" s="27" t="e">
        <f t="shared" si="11"/>
        <v>#DIV/0!</v>
      </c>
      <c r="E102" s="27" t="e">
        <f t="shared" si="11"/>
        <v>#DIV/0!</v>
      </c>
      <c r="F102" s="27" t="e">
        <f t="shared" si="11"/>
        <v>#DIV/0!</v>
      </c>
      <c r="G102" s="27" t="e">
        <f t="shared" si="11"/>
        <v>#DIV/0!</v>
      </c>
      <c r="H102" s="27" t="e">
        <f t="shared" si="11"/>
        <v>#DIV/0!</v>
      </c>
      <c r="I102" s="27" t="e">
        <f t="shared" si="11"/>
        <v>#DIV/0!</v>
      </c>
    </row>
    <row r="103" spans="1:10" x14ac:dyDescent="0.35">
      <c r="C103" s="27"/>
      <c r="D103" s="27"/>
      <c r="E103" s="27"/>
      <c r="F103" s="27"/>
      <c r="G103" s="27"/>
      <c r="H103" s="27"/>
      <c r="I103" s="27"/>
    </row>
    <row r="104" spans="1:10" x14ac:dyDescent="0.35">
      <c r="A104" s="18" t="s">
        <v>34</v>
      </c>
      <c r="C104" s="34">
        <f>PLBS!C32</f>
        <v>0</v>
      </c>
      <c r="D104" s="34" t="e">
        <f>PLBS!D32</f>
        <v>#DIV/0!</v>
      </c>
      <c r="E104" s="34" t="e">
        <f>PLBS!E32</f>
        <v>#DIV/0!</v>
      </c>
      <c r="F104" s="34" t="e">
        <f>PLBS!F32</f>
        <v>#DIV/0!</v>
      </c>
      <c r="G104" s="34" t="e">
        <f>PLBS!G32</f>
        <v>#DIV/0!</v>
      </c>
      <c r="H104" s="34" t="e">
        <f>PLBS!H32</f>
        <v>#DIV/0!</v>
      </c>
      <c r="I104" s="34" t="e">
        <f>PLBS!I32</f>
        <v>#DIV/0!</v>
      </c>
    </row>
    <row r="105" spans="1:10" x14ac:dyDescent="0.35">
      <c r="A105" s="18" t="s">
        <v>5</v>
      </c>
      <c r="C105" s="34">
        <f>PLBS!C99</f>
        <v>0</v>
      </c>
      <c r="D105" s="34" t="e">
        <f>PLBS!D99</f>
        <v>#DIV/0!</v>
      </c>
      <c r="E105" s="34" t="e">
        <f>PLBS!E99</f>
        <v>#DIV/0!</v>
      </c>
      <c r="F105" s="34" t="e">
        <f>PLBS!F99</f>
        <v>#DIV/0!</v>
      </c>
      <c r="G105" s="34" t="e">
        <f>PLBS!G99</f>
        <v>#DIV/0!</v>
      </c>
      <c r="H105" s="34" t="e">
        <f>PLBS!H99</f>
        <v>#DIV/0!</v>
      </c>
      <c r="I105" s="34" t="e">
        <f>PLBS!I99</f>
        <v>#DIV/0!</v>
      </c>
    </row>
    <row r="106" spans="1:10" x14ac:dyDescent="0.35">
      <c r="C106" s="27"/>
      <c r="D106" s="27"/>
      <c r="E106" s="27"/>
    </row>
    <row r="107" spans="1:10" ht="15" thickBot="1" x14ac:dyDescent="0.4">
      <c r="A107" s="22" t="s">
        <v>69</v>
      </c>
      <c r="B107" s="22"/>
      <c r="C107" s="22"/>
      <c r="D107" s="22"/>
      <c r="E107" s="22"/>
      <c r="F107" s="22"/>
      <c r="G107" s="22"/>
      <c r="H107" s="22"/>
      <c r="I107" s="22"/>
    </row>
    <row r="108" spans="1:10" ht="16.2" x14ac:dyDescent="0.35">
      <c r="E108" s="36"/>
    </row>
    <row r="109" spans="1:10" x14ac:dyDescent="0.35">
      <c r="A109" s="472" t="s">
        <v>400</v>
      </c>
      <c r="B109" s="472"/>
      <c r="C109" s="472"/>
      <c r="D109" s="17"/>
      <c r="E109" s="17"/>
    </row>
    <row r="110" spans="1:10" x14ac:dyDescent="0.35">
      <c r="A110" s="17"/>
      <c r="B110" s="17"/>
      <c r="C110" s="17"/>
      <c r="D110" s="17"/>
      <c r="E110" s="17"/>
    </row>
    <row r="111" spans="1:10" ht="50.25" customHeight="1" thickBot="1" x14ac:dyDescent="0.4">
      <c r="A111" s="74" t="s">
        <v>23</v>
      </c>
      <c r="B111" s="78"/>
      <c r="C111" s="74">
        <f t="shared" ref="C111:I111" si="12">C48</f>
        <v>0</v>
      </c>
      <c r="D111" s="74">
        <f t="shared" si="12"/>
        <v>0</v>
      </c>
      <c r="E111" s="74">
        <f t="shared" si="12"/>
        <v>0</v>
      </c>
      <c r="F111" s="74">
        <f t="shared" si="12"/>
        <v>0</v>
      </c>
      <c r="G111" s="74">
        <f t="shared" si="12"/>
        <v>0</v>
      </c>
      <c r="H111" s="74">
        <f t="shared" si="12"/>
        <v>0</v>
      </c>
      <c r="I111" s="74">
        <f t="shared" si="12"/>
        <v>0</v>
      </c>
    </row>
    <row r="112" spans="1:10" x14ac:dyDescent="0.35">
      <c r="A112" s="17"/>
      <c r="B112" s="17"/>
      <c r="C112" s="17"/>
      <c r="D112" s="17"/>
      <c r="E112" s="17"/>
    </row>
    <row r="113" spans="1:9" x14ac:dyDescent="0.35">
      <c r="A113" s="18" t="s">
        <v>28</v>
      </c>
      <c r="B113" s="17"/>
      <c r="C113" s="52">
        <f t="shared" ref="C113:I113" si="13">C33-C34</f>
        <v>0</v>
      </c>
      <c r="D113" s="52" t="e">
        <f t="shared" si="13"/>
        <v>#DIV/0!</v>
      </c>
      <c r="E113" s="52" t="e">
        <f t="shared" si="13"/>
        <v>#DIV/0!</v>
      </c>
      <c r="F113" s="52" t="e">
        <f t="shared" si="13"/>
        <v>#DIV/0!</v>
      </c>
      <c r="G113" s="52" t="e">
        <f t="shared" si="13"/>
        <v>#DIV/0!</v>
      </c>
      <c r="H113" s="52" t="e">
        <f t="shared" si="13"/>
        <v>#DIV/0!</v>
      </c>
      <c r="I113" s="52" t="e">
        <f t="shared" si="13"/>
        <v>#DIV/0!</v>
      </c>
    </row>
    <row r="114" spans="1:9" x14ac:dyDescent="0.35">
      <c r="B114" s="17"/>
      <c r="C114" s="23"/>
      <c r="D114" s="23"/>
      <c r="E114" s="23"/>
    </row>
    <row r="115" spans="1:9" x14ac:dyDescent="0.35">
      <c r="A115" s="24" t="s">
        <v>25</v>
      </c>
      <c r="B115" s="17"/>
      <c r="C115" s="20" t="e">
        <f>'Working for PL &amp; BS'!C10/RATIO!C113</f>
        <v>#DIV/0!</v>
      </c>
      <c r="D115" s="20" t="e">
        <f>'Working for PL &amp; BS'!D10/RATIO!D113</f>
        <v>#DIV/0!</v>
      </c>
      <c r="E115" s="20" t="e">
        <f>'Working for PL &amp; BS'!E10/RATIO!E113</f>
        <v>#DIV/0!</v>
      </c>
      <c r="F115" s="20" t="e">
        <f>'Working for PL &amp; BS'!F10/RATIO!F113</f>
        <v>#DIV/0!</v>
      </c>
      <c r="G115" s="20" t="e">
        <f>'Working for PL &amp; BS'!G10/RATIO!G113</f>
        <v>#DIV/0!</v>
      </c>
      <c r="H115" s="20" t="e">
        <f>'Working for PL &amp; BS'!H10/RATIO!H113</f>
        <v>#DIV/0!</v>
      </c>
      <c r="I115" s="20" t="e">
        <f>'Working for PL &amp; BS'!I10/RATIO!I113</f>
        <v>#DIV/0!</v>
      </c>
    </row>
    <row r="116" spans="1:9" x14ac:dyDescent="0.35">
      <c r="A116" s="17"/>
      <c r="B116" s="17"/>
      <c r="C116" s="17"/>
      <c r="D116" s="17"/>
      <c r="E116" s="17"/>
    </row>
    <row r="117" spans="1:9" ht="15" thickBot="1" x14ac:dyDescent="0.4">
      <c r="A117" s="473" t="s">
        <v>62</v>
      </c>
      <c r="B117" s="473"/>
      <c r="C117" s="473"/>
      <c r="D117" s="21"/>
      <c r="E117" s="21"/>
      <c r="F117" s="22"/>
      <c r="G117" s="22"/>
      <c r="H117" s="22"/>
      <c r="I117" s="22"/>
    </row>
    <row r="118" spans="1:9" ht="16.2" x14ac:dyDescent="0.35">
      <c r="E118" s="36"/>
    </row>
    <row r="119" spans="1:9" x14ac:dyDescent="0.35">
      <c r="A119" s="175" t="s">
        <v>114</v>
      </c>
    </row>
    <row r="121" spans="1:9" ht="51" customHeight="1" thickBot="1" x14ac:dyDescent="0.4">
      <c r="A121" s="74" t="s">
        <v>23</v>
      </c>
      <c r="B121" s="75"/>
      <c r="C121" s="76">
        <f t="shared" ref="C121:I121" si="14">C56</f>
        <v>0</v>
      </c>
      <c r="D121" s="76">
        <f t="shared" si="14"/>
        <v>0</v>
      </c>
      <c r="E121" s="76">
        <f t="shared" si="14"/>
        <v>0</v>
      </c>
      <c r="F121" s="76">
        <f t="shared" si="14"/>
        <v>0</v>
      </c>
      <c r="G121" s="76">
        <f t="shared" si="14"/>
        <v>0</v>
      </c>
      <c r="H121" s="76">
        <f t="shared" si="14"/>
        <v>0</v>
      </c>
      <c r="I121" s="76">
        <f t="shared" si="14"/>
        <v>0</v>
      </c>
    </row>
    <row r="123" spans="1:9" x14ac:dyDescent="0.35">
      <c r="A123" s="18" t="s">
        <v>32</v>
      </c>
      <c r="C123" s="27" t="e">
        <f>PLBS!C36/(PLBS!C50+PLBS!C53)</f>
        <v>#DIV/0!</v>
      </c>
      <c r="D123" s="27" t="e">
        <f>PLBS!D36/(PLBS!D50+PLBS!D53)</f>
        <v>#DIV/0!</v>
      </c>
      <c r="E123" s="27" t="e">
        <f>PLBS!E36/(PLBS!E50+PLBS!E53)</f>
        <v>#DIV/0!</v>
      </c>
      <c r="F123" s="27" t="e">
        <f>PLBS!F36/(PLBS!F50+PLBS!F53)</f>
        <v>#DIV/0!</v>
      </c>
      <c r="G123" s="27" t="e">
        <f>PLBS!G36/(PLBS!G50+PLBS!G53)</f>
        <v>#DIV/0!</v>
      </c>
      <c r="H123" s="27" t="e">
        <f>PLBS!H36/(PLBS!H50+PLBS!H53)</f>
        <v>#DIV/0!</v>
      </c>
      <c r="I123" s="27" t="e">
        <f>PLBS!I36/(PLBS!I50+PLBS!I53)</f>
        <v>#DIV/0!</v>
      </c>
    </row>
    <row r="125" spans="1:9" ht="15" thickBot="1" x14ac:dyDescent="0.4">
      <c r="A125" s="22" t="s">
        <v>68</v>
      </c>
      <c r="B125" s="22"/>
      <c r="C125" s="22"/>
      <c r="D125" s="22"/>
      <c r="E125" s="22"/>
      <c r="F125" s="22"/>
      <c r="G125" s="22"/>
      <c r="H125" s="22"/>
      <c r="I125" s="22"/>
    </row>
    <row r="126" spans="1:9" ht="16.2" x14ac:dyDescent="0.35">
      <c r="E126" s="36"/>
    </row>
  </sheetData>
  <mergeCells count="16">
    <mergeCell ref="A109:C109"/>
    <mergeCell ref="A117:C117"/>
    <mergeCell ref="B8:I8"/>
    <mergeCell ref="E99:I99"/>
    <mergeCell ref="A1:I1"/>
    <mergeCell ref="A2:I2"/>
    <mergeCell ref="A3:I3"/>
    <mergeCell ref="A5:I5"/>
    <mergeCell ref="A74:E74"/>
    <mergeCell ref="A81:F81"/>
    <mergeCell ref="A79:B79"/>
    <mergeCell ref="A89:B89"/>
    <mergeCell ref="A85:B85"/>
    <mergeCell ref="A96:C96"/>
    <mergeCell ref="A93:A94"/>
    <mergeCell ref="H28:I28"/>
  </mergeCells>
  <phoneticPr fontId="2" type="noConversion"/>
  <pageMargins left="0.15748031496062992" right="0.23622047244094491" top="0.62992125984251968" bottom="0.31496062992125984" header="0.51181102362204722" footer="0.19685039370078741"/>
  <pageSetup scale="86" orientation="portrait" r:id="rId1"/>
  <headerFooter alignWithMargins="0"/>
  <rowBreaks count="2" manualBreakCount="2">
    <brk id="45" max="8" man="1"/>
    <brk id="87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5A61-0801-4835-9C9A-E167559ED9D0}">
  <dimension ref="A1:F43"/>
  <sheetViews>
    <sheetView view="pageBreakPreview" zoomScale="73" zoomScaleNormal="100" zoomScaleSheetLayoutView="73" workbookViewId="0">
      <selection activeCell="B32" sqref="B32:G32"/>
    </sheetView>
  </sheetViews>
  <sheetFormatPr defaultColWidth="9.109375" defaultRowHeight="14.4" x14ac:dyDescent="0.3"/>
  <cols>
    <col min="1" max="1" width="49.6640625" style="39" customWidth="1"/>
    <col min="2" max="2" width="13.33203125" style="39" customWidth="1"/>
    <col min="3" max="3" width="11.88671875" style="39" customWidth="1"/>
    <col min="4" max="4" width="12" style="39" customWidth="1"/>
    <col min="5" max="5" width="11.6640625" style="39" customWidth="1"/>
    <col min="6" max="6" width="11.33203125" style="39" customWidth="1"/>
    <col min="7" max="16384" width="9.109375" style="39"/>
  </cols>
  <sheetData>
    <row r="1" spans="1:6" x14ac:dyDescent="0.3">
      <c r="A1" s="476">
        <f>'Working for PL &amp; BS'!A1:F1</f>
        <v>0</v>
      </c>
      <c r="B1" s="476"/>
      <c r="C1" s="476"/>
      <c r="D1" s="476"/>
      <c r="E1" s="476"/>
      <c r="F1" s="476"/>
    </row>
    <row r="2" spans="1:6" x14ac:dyDescent="0.3">
      <c r="A2" s="476">
        <f>'Working for PL &amp; BS'!A2:F2</f>
        <v>0</v>
      </c>
      <c r="B2" s="476"/>
      <c r="C2" s="476"/>
      <c r="D2" s="476"/>
      <c r="E2" s="476"/>
      <c r="F2" s="476"/>
    </row>
    <row r="3" spans="1:6" x14ac:dyDescent="0.3">
      <c r="A3" s="476" t="str">
        <f>'Working for PL &amp; BS'!A3:F3</f>
        <v>STEP 2 : BACK GROUND CALCULATION . NOT TO BE VISIBLE TO CUSTOMER</v>
      </c>
      <c r="B3" s="476"/>
      <c r="C3" s="476"/>
      <c r="D3" s="476"/>
      <c r="E3" s="476"/>
      <c r="F3" s="476"/>
    </row>
    <row r="5" spans="1:6" x14ac:dyDescent="0.3">
      <c r="A5" s="485" t="s">
        <v>51</v>
      </c>
      <c r="B5" s="485"/>
      <c r="C5" s="485"/>
      <c r="D5" s="485"/>
      <c r="E5" s="485"/>
      <c r="F5" s="485"/>
    </row>
    <row r="6" spans="1:6" x14ac:dyDescent="0.3">
      <c r="B6" s="40"/>
      <c r="C6" s="40"/>
      <c r="D6" s="40"/>
    </row>
    <row r="7" spans="1:6" s="43" customFormat="1" ht="57.75" customHeight="1" thickBot="1" x14ac:dyDescent="0.35">
      <c r="A7" s="80" t="s">
        <v>23</v>
      </c>
      <c r="B7" s="81" t="e">
        <f>'Working for PL &amp; BS'!#REF!</f>
        <v>#REF!</v>
      </c>
      <c r="C7" s="81" t="e">
        <f>'Working for PL &amp; BS'!#REF!</f>
        <v>#REF!</v>
      </c>
      <c r="D7" s="81" t="e">
        <f>'Working for PL &amp; BS'!#REF!</f>
        <v>#REF!</v>
      </c>
      <c r="E7" s="81" t="e">
        <f>'Working for PL &amp; BS'!#REF!</f>
        <v>#REF!</v>
      </c>
      <c r="F7" s="81" t="e">
        <f>'Working for PL &amp; BS'!#REF!</f>
        <v>#REF!</v>
      </c>
    </row>
    <row r="8" spans="1:6" s="43" customFormat="1" ht="18.75" customHeight="1" thickTop="1" x14ac:dyDescent="0.3">
      <c r="B8" s="46"/>
      <c r="C8" s="46"/>
      <c r="D8" s="46"/>
    </row>
    <row r="9" spans="1:6" x14ac:dyDescent="0.3">
      <c r="A9" s="41" t="s">
        <v>52</v>
      </c>
      <c r="B9" s="40"/>
      <c r="C9" s="40"/>
      <c r="D9" s="40"/>
    </row>
    <row r="10" spans="1:6" x14ac:dyDescent="0.3">
      <c r="A10" s="41"/>
      <c r="B10" s="40"/>
      <c r="C10" s="40"/>
      <c r="D10" s="40"/>
    </row>
    <row r="11" spans="1:6" x14ac:dyDescent="0.3">
      <c r="B11" s="67"/>
      <c r="C11" s="67"/>
      <c r="D11" s="67"/>
    </row>
    <row r="12" spans="1:6" x14ac:dyDescent="0.3">
      <c r="A12" s="39" t="s">
        <v>101</v>
      </c>
      <c r="B12" s="45"/>
      <c r="C12" s="45"/>
      <c r="D12" s="45"/>
    </row>
    <row r="13" spans="1:6" x14ac:dyDescent="0.3">
      <c r="B13" s="45">
        <f>'Working for PL &amp; BS'!C31</f>
        <v>0</v>
      </c>
      <c r="C13" s="45" t="e">
        <f>'Working for PL &amp; BS'!#REF!</f>
        <v>#REF!</v>
      </c>
      <c r="D13" s="45" t="e">
        <f>'Working for PL &amp; BS'!D31</f>
        <v>#DIV/0!</v>
      </c>
      <c r="E13" s="45" t="e">
        <f>'Working for PL &amp; BS'!E31</f>
        <v>#DIV/0!</v>
      </c>
      <c r="F13" s="45" t="e">
        <f>'Working for PL &amp; BS'!F31</f>
        <v>#DIV/0!</v>
      </c>
    </row>
    <row r="14" spans="1:6" x14ac:dyDescent="0.3">
      <c r="A14" s="39" t="s">
        <v>33</v>
      </c>
      <c r="B14" s="45">
        <f>'Working for PL &amp; BS'!C29</f>
        <v>0</v>
      </c>
      <c r="C14" s="45" t="e">
        <f>'Working for PL &amp; BS'!#REF!</f>
        <v>#REF!</v>
      </c>
      <c r="D14" s="45">
        <f>'Working for PL &amp; BS'!D29</f>
        <v>0</v>
      </c>
      <c r="E14" s="45">
        <f>'Working for PL &amp; BS'!E29</f>
        <v>0</v>
      </c>
      <c r="F14" s="45">
        <f>'Working for PL &amp; BS'!F29</f>
        <v>0</v>
      </c>
    </row>
    <row r="15" spans="1:6" x14ac:dyDescent="0.3">
      <c r="A15" s="39" t="s">
        <v>73</v>
      </c>
      <c r="B15" s="45">
        <v>0</v>
      </c>
      <c r="C15" s="45">
        <v>0</v>
      </c>
      <c r="D15" s="45">
        <v>0</v>
      </c>
    </row>
    <row r="16" spans="1:6" x14ac:dyDescent="0.3">
      <c r="A16" s="39" t="s">
        <v>99</v>
      </c>
      <c r="B16" s="45">
        <v>0</v>
      </c>
      <c r="C16" s="45" t="e">
        <f>'Working for PL &amp; BS'!#REF!+'Working for PL &amp; BS'!#REF!-'Working for PL &amp; BS'!C52-'Working for PL &amp; BS'!C117</f>
        <v>#REF!</v>
      </c>
      <c r="D16" s="45">
        <v>0</v>
      </c>
    </row>
    <row r="17" spans="1:6" x14ac:dyDescent="0.3">
      <c r="A17" s="39" t="s">
        <v>76</v>
      </c>
      <c r="B17" s="45">
        <v>0</v>
      </c>
      <c r="C17" s="45" t="e">
        <f>'Working for PL &amp; BS'!#REF!+'Working for PL &amp; BS'!#REF!-'Working for PL &amp; BS'!C58-'Working for PL &amp; BS'!C57</f>
        <v>#REF!</v>
      </c>
      <c r="D17" s="45" t="e">
        <f>'Working for PL &amp; BS'!D57+'Working for PL &amp; BS'!D58-'Working for PL &amp; BS'!#REF!-'Working for PL &amp; BS'!#REF!</f>
        <v>#DIV/0!</v>
      </c>
      <c r="E17" s="45" t="e">
        <f>'Working for PL &amp; BS'!E57+'Working for PL &amp; BS'!E58-'Working for PL &amp; BS'!D58-'Working for PL &amp; BS'!D57</f>
        <v>#DIV/0!</v>
      </c>
      <c r="F17" s="45" t="e">
        <f>'Working for PL &amp; BS'!F57+'Working for PL &amp; BS'!F58-'Working for PL &amp; BS'!E58-'Working for PL &amp; BS'!E57</f>
        <v>#DIV/0!</v>
      </c>
    </row>
    <row r="18" spans="1:6" x14ac:dyDescent="0.3">
      <c r="A18" s="39" t="s">
        <v>102</v>
      </c>
      <c r="B18" s="45">
        <v>0</v>
      </c>
      <c r="C18" s="45">
        <v>0</v>
      </c>
      <c r="D18" s="45" t="e">
        <f>'Working for PL &amp; BS'!D56-'Working for PL &amp; BS'!#REF!</f>
        <v>#DIV/0!</v>
      </c>
      <c r="E18" s="45" t="e">
        <f>'Working for PL &amp; BS'!E56-'Working for PL &amp; BS'!D56</f>
        <v>#DIV/0!</v>
      </c>
      <c r="F18" s="45" t="e">
        <f>'Working for PL &amp; BS'!F56-'Working for PL &amp; BS'!E56</f>
        <v>#DIV/0!</v>
      </c>
    </row>
    <row r="19" spans="1:6" x14ac:dyDescent="0.3">
      <c r="A19" s="39" t="s">
        <v>97</v>
      </c>
      <c r="B19" s="45"/>
      <c r="C19" s="45" t="e">
        <f>'Working for PL &amp; BS'!C67-'Working for PL &amp; BS'!#REF!</f>
        <v>#REF!</v>
      </c>
      <c r="D19" s="45">
        <v>0</v>
      </c>
      <c r="E19" s="45">
        <f>'Working for PL &amp; BS'!D67-'Working for PL &amp; BS'!E67</f>
        <v>0</v>
      </c>
      <c r="F19" s="45">
        <f>'Working for PL &amp; BS'!E67-'Working for PL &amp; BS'!F67</f>
        <v>0</v>
      </c>
    </row>
    <row r="20" spans="1:6" x14ac:dyDescent="0.3">
      <c r="B20" s="45"/>
      <c r="C20" s="45"/>
      <c r="D20" s="45"/>
    </row>
    <row r="21" spans="1:6" x14ac:dyDescent="0.3">
      <c r="A21" s="43" t="s">
        <v>106</v>
      </c>
      <c r="B21" s="68">
        <f>SUM(B11:B19)</f>
        <v>0</v>
      </c>
      <c r="C21" s="68" t="e">
        <f>SUM(C11:C19)</f>
        <v>#REF!</v>
      </c>
      <c r="D21" s="68" t="e">
        <f>SUM(D11:D19)</f>
        <v>#DIV/0!</v>
      </c>
      <c r="E21" s="68" t="e">
        <f>SUM(E11:E19)</f>
        <v>#DIV/0!</v>
      </c>
      <c r="F21" s="68" t="e">
        <f>SUM(F11:F19)</f>
        <v>#DIV/0!</v>
      </c>
    </row>
    <row r="22" spans="1:6" x14ac:dyDescent="0.3">
      <c r="B22" s="45"/>
      <c r="C22" s="45"/>
      <c r="D22" s="45"/>
    </row>
    <row r="23" spans="1:6" x14ac:dyDescent="0.3">
      <c r="A23" s="41" t="s">
        <v>53</v>
      </c>
      <c r="B23" s="45"/>
      <c r="C23" s="45"/>
      <c r="D23" s="45"/>
    </row>
    <row r="24" spans="1:6" x14ac:dyDescent="0.3">
      <c r="B24" s="45"/>
      <c r="C24" s="45"/>
      <c r="D24" s="45"/>
    </row>
    <row r="25" spans="1:6" x14ac:dyDescent="0.3">
      <c r="A25" s="39" t="s">
        <v>105</v>
      </c>
      <c r="B25" s="45">
        <v>0</v>
      </c>
      <c r="C25" s="45">
        <v>0</v>
      </c>
      <c r="D25" s="45" t="e">
        <f>'Working for PL &amp; BS'!#REF!+'Working for PL &amp; BS'!#REF!-'Working for PL &amp; BS'!D117-'Working for PL &amp; BS'!D52</f>
        <v>#REF!</v>
      </c>
      <c r="E25" s="45" t="e">
        <f>'Working for PL &amp; BS'!D117+'Working for PL &amp; BS'!D52-'Working for PL &amp; BS'!E117-'Working for PL &amp; BS'!E52</f>
        <v>#DIV/0!</v>
      </c>
      <c r="F25" s="45" t="e">
        <f>'Working for PL &amp; BS'!E117+'Working for PL &amp; BS'!E52-'Working for PL &amp; BS'!F117-'Working for PL &amp; BS'!F52</f>
        <v>#DIV/0!</v>
      </c>
    </row>
    <row r="26" spans="1:6" x14ac:dyDescent="0.3">
      <c r="A26" s="39" t="s">
        <v>104</v>
      </c>
      <c r="B26" s="45">
        <f>'Working for PL &amp; BS'!C33</f>
        <v>0</v>
      </c>
      <c r="C26" s="45" t="e">
        <f>'Working for PL &amp; BS'!#REF!</f>
        <v>#REF!</v>
      </c>
      <c r="D26" s="45" t="e">
        <f>'Working for PL &amp; BS'!D33</f>
        <v>#DIV/0!</v>
      </c>
      <c r="E26" s="45" t="e">
        <f>'Working for PL &amp; BS'!E33</f>
        <v>#DIV/0!</v>
      </c>
      <c r="F26" s="45" t="e">
        <f>'Working for PL &amp; BS'!F33</f>
        <v>#DIV/0!</v>
      </c>
    </row>
    <row r="27" spans="1:6" x14ac:dyDescent="0.3">
      <c r="A27" s="42" t="s">
        <v>74</v>
      </c>
      <c r="B27" s="45">
        <v>0</v>
      </c>
      <c r="C27" s="45" t="e">
        <f>'Working for PL &amp; BS'!#REF!-'Working for PL &amp; BS'!C72</f>
        <v>#REF!</v>
      </c>
      <c r="D27" s="45" t="e">
        <f>'Working for PL &amp; BS'!D72-'Working for PL &amp; BS'!#REF!</f>
        <v>#DIV/0!</v>
      </c>
      <c r="E27" s="45" t="e">
        <f>'Working for PL &amp; BS'!E72-'Working for PL &amp; BS'!D72</f>
        <v>#DIV/0!</v>
      </c>
      <c r="F27" s="45" t="e">
        <f>'Working for PL &amp; BS'!F72-'Working for PL &amp; BS'!E72</f>
        <v>#DIV/0!</v>
      </c>
    </row>
    <row r="28" spans="1:6" x14ac:dyDescent="0.3">
      <c r="A28" s="42" t="s">
        <v>75</v>
      </c>
      <c r="B28" s="45">
        <v>0</v>
      </c>
      <c r="C28" s="45" t="e">
        <f>'Working for PL &amp; BS'!#REF!-'Working for PL &amp; BS'!C71</f>
        <v>#REF!</v>
      </c>
      <c r="D28" s="45" t="e">
        <f>'Working for PL &amp; BS'!D71-'Working for PL &amp; BS'!#REF!</f>
        <v>#REF!</v>
      </c>
      <c r="E28" s="45">
        <f>'Working for PL &amp; BS'!E71-'Working for PL &amp; BS'!D71</f>
        <v>0</v>
      </c>
      <c r="F28" s="45">
        <f>'Working for PL &amp; BS'!F71-'Working for PL &amp; BS'!E71</f>
        <v>0</v>
      </c>
    </row>
    <row r="29" spans="1:6" x14ac:dyDescent="0.3">
      <c r="A29" s="42" t="s">
        <v>103</v>
      </c>
      <c r="B29" s="45">
        <v>0</v>
      </c>
      <c r="C29" s="45">
        <v>0</v>
      </c>
      <c r="D29" s="45" t="e">
        <f>'Working for PL &amp; BS'!D67-'Working for PL &amp; BS'!#REF!</f>
        <v>#REF!</v>
      </c>
      <c r="E29" s="45">
        <v>0</v>
      </c>
      <c r="F29" s="45">
        <v>0</v>
      </c>
    </row>
    <row r="30" spans="1:6" x14ac:dyDescent="0.3">
      <c r="A30" s="42" t="s">
        <v>77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</row>
    <row r="31" spans="1:6" x14ac:dyDescent="0.3">
      <c r="A31" s="39" t="s">
        <v>96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</row>
    <row r="32" spans="1:6" x14ac:dyDescent="0.3">
      <c r="A32" s="39" t="s">
        <v>95</v>
      </c>
      <c r="B32" s="45"/>
      <c r="C32" s="45"/>
      <c r="D32" s="45"/>
    </row>
    <row r="33" spans="1:6" x14ac:dyDescent="0.3">
      <c r="B33" s="45"/>
      <c r="C33" s="45"/>
      <c r="D33" s="45"/>
    </row>
    <row r="34" spans="1:6" x14ac:dyDescent="0.3">
      <c r="A34" s="43" t="s">
        <v>107</v>
      </c>
      <c r="B34" s="68">
        <v>0</v>
      </c>
      <c r="C34" s="68" t="e">
        <f>SUM(C25:C32)</f>
        <v>#REF!</v>
      </c>
      <c r="D34" s="68" t="e">
        <f>SUM(D25:D32)</f>
        <v>#REF!</v>
      </c>
      <c r="E34" s="68" t="e">
        <f>SUM(E25:E32)</f>
        <v>#DIV/0!</v>
      </c>
      <c r="F34" s="68" t="e">
        <f>SUM(F25:F32)</f>
        <v>#DIV/0!</v>
      </c>
    </row>
    <row r="35" spans="1:6" x14ac:dyDescent="0.3">
      <c r="B35" s="45"/>
      <c r="C35" s="45"/>
      <c r="D35" s="45"/>
    </row>
    <row r="36" spans="1:6" x14ac:dyDescent="0.3">
      <c r="A36" s="39" t="s">
        <v>54</v>
      </c>
      <c r="B36" s="45">
        <f>'Working for PL &amp; BS'!C73</f>
        <v>0</v>
      </c>
      <c r="C36" s="45">
        <f>+B38</f>
        <v>445186</v>
      </c>
      <c r="D36" s="45" t="e">
        <f>+C38</f>
        <v>#REF!</v>
      </c>
      <c r="E36" s="45" t="e">
        <f>+D38</f>
        <v>#DIV/0!</v>
      </c>
      <c r="F36" s="45" t="e">
        <f>+E38</f>
        <v>#DIV/0!</v>
      </c>
    </row>
    <row r="37" spans="1:6" x14ac:dyDescent="0.3">
      <c r="A37" s="70" t="s">
        <v>55</v>
      </c>
      <c r="B37" s="71">
        <f>+B21-B34</f>
        <v>0</v>
      </c>
      <c r="C37" s="71" t="e">
        <f>+C21-C34</f>
        <v>#REF!</v>
      </c>
      <c r="D37" s="71" t="e">
        <f>+D21-D34</f>
        <v>#DIV/0!</v>
      </c>
      <c r="E37" s="71" t="e">
        <f>+E21-E34</f>
        <v>#DIV/0!</v>
      </c>
      <c r="F37" s="71" t="e">
        <f>+F21-F34</f>
        <v>#DIV/0!</v>
      </c>
    </row>
    <row r="38" spans="1:6" x14ac:dyDescent="0.3">
      <c r="A38" s="39" t="s">
        <v>56</v>
      </c>
      <c r="B38" s="45">
        <v>445186</v>
      </c>
      <c r="C38" s="45" t="e">
        <f>+C37+C36</f>
        <v>#REF!</v>
      </c>
      <c r="D38" s="45" t="e">
        <f>+D37+D36</f>
        <v>#DIV/0!</v>
      </c>
      <c r="E38" s="45" t="e">
        <f>+E37+E36</f>
        <v>#DIV/0!</v>
      </c>
      <c r="F38" s="45" t="e">
        <f>+F37+F36</f>
        <v>#DIV/0!</v>
      </c>
    </row>
    <row r="39" spans="1:6" ht="15" thickBot="1" x14ac:dyDescent="0.35">
      <c r="A39" s="66"/>
      <c r="B39" s="66"/>
      <c r="C39" s="66"/>
      <c r="D39" s="66"/>
      <c r="E39" s="66"/>
      <c r="F39" s="66"/>
    </row>
    <row r="40" spans="1:6" x14ac:dyDescent="0.3">
      <c r="B40" s="45">
        <f>'Working for PL &amp; BS'!C73</f>
        <v>0</v>
      </c>
      <c r="C40" s="45" t="e">
        <f>'Working for PL &amp; BS'!#REF!</f>
        <v>#REF!</v>
      </c>
      <c r="D40" s="45" t="e">
        <f>'Working for PL &amp; BS'!D73</f>
        <v>#DIV/0!</v>
      </c>
      <c r="E40" s="45" t="e">
        <f>'Working for PL &amp; BS'!E73</f>
        <v>#DIV/0!</v>
      </c>
      <c r="F40" s="45" t="e">
        <f>'Working for PL &amp; BS'!F73</f>
        <v>#DIV/0!</v>
      </c>
    </row>
    <row r="41" spans="1:6" x14ac:dyDescent="0.3">
      <c r="C41" s="45"/>
      <c r="D41" s="45"/>
    </row>
    <row r="42" spans="1:6" x14ac:dyDescent="0.3">
      <c r="B42" s="45"/>
      <c r="C42" s="45"/>
      <c r="D42" s="45"/>
    </row>
    <row r="43" spans="1:6" x14ac:dyDescent="0.3">
      <c r="B43" s="45">
        <f>B38-B40</f>
        <v>445186</v>
      </c>
      <c r="C43" s="45" t="e">
        <f>C38-C40</f>
        <v>#REF!</v>
      </c>
      <c r="D43" s="45" t="e">
        <f>D38-D40</f>
        <v>#DIV/0!</v>
      </c>
      <c r="E43" s="45" t="e">
        <f>E38-E40</f>
        <v>#DIV/0!</v>
      </c>
      <c r="F43" s="45" t="e">
        <f>F38-F40</f>
        <v>#DIV/0!</v>
      </c>
    </row>
  </sheetData>
  <mergeCells count="4">
    <mergeCell ref="A1:F1"/>
    <mergeCell ref="A2:F2"/>
    <mergeCell ref="A3:F3"/>
    <mergeCell ref="A5:F5"/>
  </mergeCells>
  <pageMargins left="0.27" right="0.15748031496062992" top="0.35433070866141736" bottom="0.74803149606299213" header="0.31496062992125984" footer="0.31496062992125984"/>
  <pageSetup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4119-7BD3-4542-88A1-1868C84D20F9}">
  <dimension ref="A1:G54"/>
  <sheetViews>
    <sheetView view="pageBreakPreview" topLeftCell="A19" zoomScale="93" zoomScaleNormal="100" zoomScaleSheetLayoutView="93" workbookViewId="0">
      <selection activeCell="N50" sqref="N50"/>
    </sheetView>
  </sheetViews>
  <sheetFormatPr defaultColWidth="9.109375" defaultRowHeight="14.4" x14ac:dyDescent="0.3"/>
  <cols>
    <col min="1" max="1" width="44.44140625" style="39" customWidth="1"/>
    <col min="2" max="4" width="12.44140625" style="39" bestFit="1" customWidth="1"/>
    <col min="5" max="5" width="12.88671875" style="39" customWidth="1"/>
    <col min="6" max="6" width="12.109375" style="39" customWidth="1"/>
    <col min="7" max="7" width="11.88671875" style="39" customWidth="1"/>
    <col min="8" max="16384" width="9.109375" style="39"/>
  </cols>
  <sheetData>
    <row r="1" spans="1:7" x14ac:dyDescent="0.3">
      <c r="A1" s="476">
        <f>Assumptions.1!I3</f>
        <v>0</v>
      </c>
      <c r="B1" s="476"/>
      <c r="C1" s="476"/>
      <c r="D1" s="476"/>
      <c r="E1" s="476"/>
      <c r="F1" s="476"/>
      <c r="G1" s="476"/>
    </row>
    <row r="2" spans="1:7" x14ac:dyDescent="0.3">
      <c r="A2" s="476">
        <f>Assumptions.1!I5</f>
        <v>0</v>
      </c>
      <c r="B2" s="476"/>
      <c r="C2" s="476"/>
      <c r="D2" s="476"/>
      <c r="E2" s="476"/>
      <c r="F2" s="476"/>
      <c r="G2" s="476"/>
    </row>
    <row r="3" spans="1:7" x14ac:dyDescent="0.3">
      <c r="A3" s="476">
        <f>Assumptions.1!I6</f>
        <v>0</v>
      </c>
      <c r="B3" s="476"/>
      <c r="C3" s="476"/>
      <c r="D3" s="476"/>
      <c r="E3" s="476"/>
      <c r="F3" s="476"/>
      <c r="G3" s="476"/>
    </row>
    <row r="5" spans="1:7" x14ac:dyDescent="0.3">
      <c r="A5" s="485" t="s">
        <v>57</v>
      </c>
      <c r="B5" s="485"/>
      <c r="C5" s="485"/>
      <c r="D5" s="485"/>
      <c r="E5" s="485"/>
      <c r="F5" s="485"/>
      <c r="G5" s="485"/>
    </row>
    <row r="7" spans="1:7" ht="16.2" x14ac:dyDescent="0.35">
      <c r="A7" s="160" t="s">
        <v>240</v>
      </c>
    </row>
    <row r="8" spans="1:7" ht="16.5" customHeight="1" x14ac:dyDescent="0.3">
      <c r="A8" s="152" t="s">
        <v>23</v>
      </c>
      <c r="B8" s="153" t="str">
        <f>'Working for PL &amp; BS'!D5</f>
        <v>Estimated</v>
      </c>
      <c r="C8" s="153" t="str">
        <f>'Working for PL &amp; BS'!E5</f>
        <v>Projected</v>
      </c>
      <c r="D8" s="153" t="str">
        <f>'Working for PL &amp; BS'!F5</f>
        <v>Projected</v>
      </c>
      <c r="E8" s="153" t="str">
        <f>'Working for PL &amp; BS'!G5</f>
        <v>Projected</v>
      </c>
      <c r="F8" s="153" t="str">
        <f>'Working for PL &amp; BS'!H5</f>
        <v>Projected</v>
      </c>
      <c r="G8" s="153" t="str">
        <f>'Working for PL &amp; BS'!I5</f>
        <v>Projected</v>
      </c>
    </row>
    <row r="9" spans="1:7" ht="15" customHeight="1" thickBot="1" x14ac:dyDescent="0.35">
      <c r="A9" s="154"/>
      <c r="B9" s="155">
        <f>'Working for PL &amp; BS'!D6</f>
        <v>0</v>
      </c>
      <c r="C9" s="155">
        <f>'Working for PL &amp; BS'!E6</f>
        <v>0</v>
      </c>
      <c r="D9" s="155">
        <f>'Working for PL &amp; BS'!F6</f>
        <v>0</v>
      </c>
      <c r="E9" s="155">
        <f>'Working for PL &amp; BS'!G6</f>
        <v>0</v>
      </c>
      <c r="F9" s="155">
        <f>'Working for PL &amp; BS'!H6</f>
        <v>0</v>
      </c>
      <c r="G9" s="155">
        <f>'Working for PL &amp; BS'!I6</f>
        <v>0</v>
      </c>
    </row>
    <row r="10" spans="1:7" ht="22.5" customHeight="1" thickTop="1" x14ac:dyDescent="0.3">
      <c r="B10" s="44"/>
      <c r="C10" s="44"/>
      <c r="D10" s="44"/>
      <c r="E10" s="44"/>
      <c r="F10" s="44"/>
      <c r="G10" s="44"/>
    </row>
    <row r="11" spans="1:7" ht="21" customHeight="1" x14ac:dyDescent="0.3">
      <c r="A11" s="39" t="s">
        <v>42</v>
      </c>
      <c r="B11" s="45" t="e">
        <f>SUM(PLBS!D68:D73)</f>
        <v>#DIV/0!</v>
      </c>
      <c r="C11" s="45" t="e">
        <f>SUM(PLBS!E68:E73)</f>
        <v>#DIV/0!</v>
      </c>
      <c r="D11" s="45" t="e">
        <f>SUM(PLBS!F68:F73)</f>
        <v>#DIV/0!</v>
      </c>
      <c r="E11" s="45" t="e">
        <f>SUM(PLBS!G68:G73)</f>
        <v>#DIV/0!</v>
      </c>
      <c r="F11" s="45" t="e">
        <f>SUM(PLBS!H68:H73)</f>
        <v>#DIV/0!</v>
      </c>
      <c r="G11" s="45" t="e">
        <f>SUM(PLBS!I68:I73)</f>
        <v>#DIV/0!</v>
      </c>
    </row>
    <row r="12" spans="1:7" ht="21" customHeight="1" x14ac:dyDescent="0.3">
      <c r="B12" s="45"/>
      <c r="C12" s="45"/>
      <c r="D12" s="45"/>
      <c r="E12" s="45"/>
      <c r="F12" s="45"/>
      <c r="G12" s="45"/>
    </row>
    <row r="13" spans="1:7" ht="19.5" customHeight="1" x14ac:dyDescent="0.3">
      <c r="A13" s="39" t="s">
        <v>43</v>
      </c>
      <c r="B13" s="45" t="e">
        <f>PLBS!D58+PLBS!D59</f>
        <v>#DIV/0!</v>
      </c>
      <c r="C13" s="45" t="e">
        <f>PLBS!E58+PLBS!E59</f>
        <v>#DIV/0!</v>
      </c>
      <c r="D13" s="45" t="e">
        <f>PLBS!F58+PLBS!F59</f>
        <v>#DIV/0!</v>
      </c>
      <c r="E13" s="45" t="e">
        <f>PLBS!G58+PLBS!G59</f>
        <v>#DIV/0!</v>
      </c>
      <c r="F13" s="45" t="e">
        <f>PLBS!H58+PLBS!H59</f>
        <v>#DIV/0!</v>
      </c>
      <c r="G13" s="45" t="e">
        <f>PLBS!I58+PLBS!I59</f>
        <v>#DIV/0!</v>
      </c>
    </row>
    <row r="14" spans="1:7" ht="17.25" customHeight="1" x14ac:dyDescent="0.3">
      <c r="A14" s="39" t="s">
        <v>44</v>
      </c>
    </row>
    <row r="15" spans="1:7" ht="17.25" customHeight="1" x14ac:dyDescent="0.3"/>
    <row r="16" spans="1:7" ht="19.5" customHeight="1" x14ac:dyDescent="0.3">
      <c r="A16" s="39" t="s">
        <v>45</v>
      </c>
      <c r="B16" s="45" t="e">
        <f t="shared" ref="B16:G16" si="0">+B11-B13</f>
        <v>#DIV/0!</v>
      </c>
      <c r="C16" s="45" t="e">
        <f t="shared" si="0"/>
        <v>#DIV/0!</v>
      </c>
      <c r="D16" s="45" t="e">
        <f t="shared" si="0"/>
        <v>#DIV/0!</v>
      </c>
      <c r="E16" s="45" t="e">
        <f t="shared" si="0"/>
        <v>#DIV/0!</v>
      </c>
      <c r="F16" s="45" t="e">
        <f t="shared" si="0"/>
        <v>#DIV/0!</v>
      </c>
      <c r="G16" s="45" t="e">
        <f t="shared" si="0"/>
        <v>#DIV/0!</v>
      </c>
    </row>
    <row r="17" spans="1:7" ht="19.5" customHeight="1" x14ac:dyDescent="0.3">
      <c r="B17" s="45"/>
      <c r="C17" s="45"/>
      <c r="D17" s="45"/>
      <c r="E17" s="45"/>
      <c r="F17" s="45"/>
      <c r="G17" s="45"/>
    </row>
    <row r="18" spans="1:7" ht="19.5" customHeight="1" x14ac:dyDescent="0.3">
      <c r="A18" s="39" t="s">
        <v>58</v>
      </c>
    </row>
    <row r="19" spans="1:7" ht="16.5" customHeight="1" x14ac:dyDescent="0.3">
      <c r="A19" s="39" t="s">
        <v>59</v>
      </c>
      <c r="B19" s="45" t="e">
        <f t="shared" ref="B19:G19" si="1">+B16*0.25</f>
        <v>#DIV/0!</v>
      </c>
      <c r="C19" s="45" t="e">
        <f t="shared" si="1"/>
        <v>#DIV/0!</v>
      </c>
      <c r="D19" s="45" t="e">
        <f t="shared" si="1"/>
        <v>#DIV/0!</v>
      </c>
      <c r="E19" s="45" t="e">
        <f t="shared" si="1"/>
        <v>#DIV/0!</v>
      </c>
      <c r="F19" s="45" t="e">
        <f t="shared" si="1"/>
        <v>#DIV/0!</v>
      </c>
      <c r="G19" s="45" t="e">
        <f t="shared" si="1"/>
        <v>#DIV/0!</v>
      </c>
    </row>
    <row r="20" spans="1:7" ht="18.75" customHeight="1" x14ac:dyDescent="0.3">
      <c r="A20" s="39" t="s">
        <v>60</v>
      </c>
    </row>
    <row r="22" spans="1:7" x14ac:dyDescent="0.3">
      <c r="A22" s="39" t="s">
        <v>46</v>
      </c>
      <c r="B22" s="45" t="e">
        <f>SUM(PLBS!D68:D73)-SUM(PLBS!D56:D59)</f>
        <v>#DIV/0!</v>
      </c>
      <c r="C22" s="45" t="e">
        <f>SUM(PLBS!E68:E73)-SUM(PLBS!E56:E59)</f>
        <v>#DIV/0!</v>
      </c>
      <c r="D22" s="45" t="e">
        <f>SUM(PLBS!F68:F73)-SUM(PLBS!F56:F59)</f>
        <v>#DIV/0!</v>
      </c>
      <c r="E22" s="45" t="e">
        <f>SUM(PLBS!G68:G73)-SUM(PLBS!G56:G59)</f>
        <v>#DIV/0!</v>
      </c>
      <c r="F22" s="45" t="e">
        <f>SUM(PLBS!H68:H73)-SUM(PLBS!H56:H59)</f>
        <v>#DIV/0!</v>
      </c>
      <c r="G22" s="45" t="e">
        <f>SUM(PLBS!I68:I73)-SUM(PLBS!I56:I59)</f>
        <v>#DIV/0!</v>
      </c>
    </row>
    <row r="23" spans="1:7" x14ac:dyDescent="0.3">
      <c r="B23" s="45"/>
      <c r="C23" s="45"/>
      <c r="D23" s="45"/>
      <c r="E23" s="45"/>
      <c r="F23" s="45"/>
      <c r="G23" s="45"/>
    </row>
    <row r="24" spans="1:7" x14ac:dyDescent="0.3">
      <c r="A24" s="39" t="s">
        <v>47</v>
      </c>
      <c r="B24" s="45" t="e">
        <f t="shared" ref="B24:G24" si="2">+B16-B19</f>
        <v>#DIV/0!</v>
      </c>
      <c r="C24" s="45" t="e">
        <f t="shared" si="2"/>
        <v>#DIV/0!</v>
      </c>
      <c r="D24" s="45" t="e">
        <f t="shared" si="2"/>
        <v>#DIV/0!</v>
      </c>
      <c r="E24" s="45" t="e">
        <f t="shared" si="2"/>
        <v>#DIV/0!</v>
      </c>
      <c r="F24" s="45" t="e">
        <f t="shared" si="2"/>
        <v>#DIV/0!</v>
      </c>
      <c r="G24" s="45" t="e">
        <f t="shared" si="2"/>
        <v>#DIV/0!</v>
      </c>
    </row>
    <row r="25" spans="1:7" x14ac:dyDescent="0.3">
      <c r="B25" s="45"/>
      <c r="C25" s="45"/>
      <c r="D25" s="45"/>
      <c r="E25" s="45"/>
      <c r="F25" s="45"/>
      <c r="G25" s="45"/>
    </row>
    <row r="26" spans="1:7" x14ac:dyDescent="0.3">
      <c r="A26" s="39" t="s">
        <v>48</v>
      </c>
      <c r="B26" s="45" t="e">
        <f t="shared" ref="B26:G26" si="3">B16-B22</f>
        <v>#DIV/0!</v>
      </c>
      <c r="C26" s="45" t="e">
        <f t="shared" si="3"/>
        <v>#DIV/0!</v>
      </c>
      <c r="D26" s="45" t="e">
        <f t="shared" si="3"/>
        <v>#DIV/0!</v>
      </c>
      <c r="E26" s="45" t="e">
        <f t="shared" si="3"/>
        <v>#DIV/0!</v>
      </c>
      <c r="F26" s="45" t="e">
        <f t="shared" si="3"/>
        <v>#DIV/0!</v>
      </c>
      <c r="G26" s="45" t="e">
        <f t="shared" si="3"/>
        <v>#DIV/0!</v>
      </c>
    </row>
    <row r="27" spans="1:7" x14ac:dyDescent="0.3">
      <c r="B27" s="45"/>
      <c r="C27" s="45"/>
      <c r="D27" s="45"/>
      <c r="E27" s="45"/>
      <c r="F27" s="45"/>
      <c r="G27" s="45"/>
    </row>
    <row r="28" spans="1:7" x14ac:dyDescent="0.3">
      <c r="A28" s="43" t="s">
        <v>49</v>
      </c>
      <c r="B28" s="82" t="e">
        <f t="shared" ref="B28:G28" si="4">IF(B24&lt;B26,B24,B26)</f>
        <v>#DIV/0!</v>
      </c>
      <c r="C28" s="82" t="e">
        <f t="shared" si="4"/>
        <v>#DIV/0!</v>
      </c>
      <c r="D28" s="82" t="e">
        <f t="shared" si="4"/>
        <v>#DIV/0!</v>
      </c>
      <c r="E28" s="82" t="e">
        <f t="shared" si="4"/>
        <v>#DIV/0!</v>
      </c>
      <c r="F28" s="82" t="e">
        <f t="shared" si="4"/>
        <v>#DIV/0!</v>
      </c>
      <c r="G28" s="82" t="e">
        <f t="shared" si="4"/>
        <v>#DIV/0!</v>
      </c>
    </row>
    <row r="29" spans="1:7" x14ac:dyDescent="0.3">
      <c r="A29" s="43" t="s">
        <v>50</v>
      </c>
      <c r="B29" s="43"/>
      <c r="C29" s="43"/>
      <c r="D29" s="43"/>
      <c r="E29" s="43"/>
      <c r="F29" s="43"/>
      <c r="G29" s="43"/>
    </row>
    <row r="30" spans="1:7" ht="15" thickBot="1" x14ac:dyDescent="0.35">
      <c r="A30" s="66"/>
      <c r="B30" s="66"/>
      <c r="C30" s="66"/>
      <c r="D30" s="66"/>
      <c r="E30" s="66"/>
      <c r="F30" s="66"/>
      <c r="G30" s="66"/>
    </row>
    <row r="32" spans="1:7" ht="16.2" x14ac:dyDescent="0.35">
      <c r="A32" s="160" t="s">
        <v>241</v>
      </c>
    </row>
    <row r="33" spans="1:7" ht="16.5" customHeight="1" x14ac:dyDescent="0.3">
      <c r="A33" s="152" t="s">
        <v>23</v>
      </c>
      <c r="B33" s="153" t="str">
        <f t="shared" ref="B33:D34" si="5">B8</f>
        <v>Estimated</v>
      </c>
      <c r="C33" s="156" t="str">
        <f t="shared" si="5"/>
        <v>Projected</v>
      </c>
      <c r="D33" s="156" t="str">
        <f t="shared" si="5"/>
        <v>Projected</v>
      </c>
      <c r="E33" s="156" t="str">
        <f t="shared" ref="E33:G34" si="6">E8</f>
        <v>Projected</v>
      </c>
      <c r="F33" s="156" t="str">
        <f t="shared" si="6"/>
        <v>Projected</v>
      </c>
      <c r="G33" s="156" t="str">
        <f t="shared" si="6"/>
        <v>Projected</v>
      </c>
    </row>
    <row r="34" spans="1:7" ht="16.5" customHeight="1" thickBot="1" x14ac:dyDescent="0.35">
      <c r="A34" s="154"/>
      <c r="B34" s="155">
        <f t="shared" si="5"/>
        <v>0</v>
      </c>
      <c r="C34" s="155">
        <f t="shared" si="5"/>
        <v>0</v>
      </c>
      <c r="D34" s="155">
        <f t="shared" si="5"/>
        <v>0</v>
      </c>
      <c r="E34" s="155">
        <f t="shared" si="6"/>
        <v>0</v>
      </c>
      <c r="F34" s="155">
        <f t="shared" si="6"/>
        <v>0</v>
      </c>
      <c r="G34" s="155">
        <f t="shared" si="6"/>
        <v>0</v>
      </c>
    </row>
    <row r="35" spans="1:7" ht="15" thickTop="1" x14ac:dyDescent="0.3">
      <c r="B35" s="44"/>
      <c r="C35" s="44"/>
      <c r="D35" s="44"/>
      <c r="E35" s="44"/>
      <c r="F35" s="44"/>
      <c r="G35" s="44"/>
    </row>
    <row r="36" spans="1:7" x14ac:dyDescent="0.3">
      <c r="A36" s="39" t="s">
        <v>42</v>
      </c>
      <c r="B36" s="45" t="e">
        <f t="shared" ref="B36:G36" si="7">B11</f>
        <v>#DIV/0!</v>
      </c>
      <c r="C36" s="45" t="e">
        <f t="shared" si="7"/>
        <v>#DIV/0!</v>
      </c>
      <c r="D36" s="45" t="e">
        <f t="shared" si="7"/>
        <v>#DIV/0!</v>
      </c>
      <c r="E36" s="45" t="e">
        <f t="shared" si="7"/>
        <v>#DIV/0!</v>
      </c>
      <c r="F36" s="45" t="e">
        <f t="shared" si="7"/>
        <v>#DIV/0!</v>
      </c>
      <c r="G36" s="45" t="e">
        <f t="shared" si="7"/>
        <v>#DIV/0!</v>
      </c>
    </row>
    <row r="37" spans="1:7" x14ac:dyDescent="0.3">
      <c r="B37" s="45"/>
      <c r="C37" s="45"/>
      <c r="D37" s="45"/>
      <c r="E37" s="45"/>
      <c r="F37" s="45"/>
      <c r="G37" s="45"/>
    </row>
    <row r="38" spans="1:7" x14ac:dyDescent="0.3">
      <c r="A38" s="39" t="s">
        <v>43</v>
      </c>
      <c r="B38" s="45" t="e">
        <f t="shared" ref="B38:G38" si="8">B13</f>
        <v>#DIV/0!</v>
      </c>
      <c r="C38" s="45" t="e">
        <f t="shared" si="8"/>
        <v>#DIV/0!</v>
      </c>
      <c r="D38" s="45" t="e">
        <f t="shared" si="8"/>
        <v>#DIV/0!</v>
      </c>
      <c r="E38" s="45" t="e">
        <f t="shared" si="8"/>
        <v>#DIV/0!</v>
      </c>
      <c r="F38" s="45" t="e">
        <f t="shared" si="8"/>
        <v>#DIV/0!</v>
      </c>
      <c r="G38" s="45" t="e">
        <f t="shared" si="8"/>
        <v>#DIV/0!</v>
      </c>
    </row>
    <row r="39" spans="1:7" x14ac:dyDescent="0.3">
      <c r="A39" s="39" t="s">
        <v>44</v>
      </c>
    </row>
    <row r="41" spans="1:7" x14ac:dyDescent="0.3">
      <c r="A41" s="39" t="s">
        <v>45</v>
      </c>
      <c r="B41" s="45" t="e">
        <f t="shared" ref="B41:G41" si="9">+B36-B38</f>
        <v>#DIV/0!</v>
      </c>
      <c r="C41" s="45" t="e">
        <f t="shared" si="9"/>
        <v>#DIV/0!</v>
      </c>
      <c r="D41" s="45" t="e">
        <f t="shared" si="9"/>
        <v>#DIV/0!</v>
      </c>
      <c r="E41" s="45" t="e">
        <f t="shared" si="9"/>
        <v>#DIV/0!</v>
      </c>
      <c r="F41" s="45" t="e">
        <f t="shared" si="9"/>
        <v>#DIV/0!</v>
      </c>
      <c r="G41" s="45" t="e">
        <f t="shared" si="9"/>
        <v>#DIV/0!</v>
      </c>
    </row>
    <row r="42" spans="1:7" x14ac:dyDescent="0.3">
      <c r="B42" s="45"/>
      <c r="C42" s="45"/>
      <c r="D42" s="45"/>
      <c r="E42" s="45"/>
      <c r="F42" s="45"/>
      <c r="G42" s="45"/>
    </row>
    <row r="43" spans="1:7" x14ac:dyDescent="0.3">
      <c r="A43" s="39" t="s">
        <v>58</v>
      </c>
    </row>
    <row r="44" spans="1:7" x14ac:dyDescent="0.3">
      <c r="A44" s="39" t="s">
        <v>84</v>
      </c>
      <c r="B44" s="45" t="e">
        <f t="shared" ref="B44:G44" si="10">25%*B36</f>
        <v>#DIV/0!</v>
      </c>
      <c r="C44" s="45" t="e">
        <f t="shared" si="10"/>
        <v>#DIV/0!</v>
      </c>
      <c r="D44" s="45" t="e">
        <f t="shared" si="10"/>
        <v>#DIV/0!</v>
      </c>
      <c r="E44" s="45" t="e">
        <f t="shared" si="10"/>
        <v>#DIV/0!</v>
      </c>
      <c r="F44" s="45" t="e">
        <f t="shared" si="10"/>
        <v>#DIV/0!</v>
      </c>
      <c r="G44" s="45" t="e">
        <f t="shared" si="10"/>
        <v>#DIV/0!</v>
      </c>
    </row>
    <row r="46" spans="1:7" x14ac:dyDescent="0.3">
      <c r="A46" s="39" t="s">
        <v>46</v>
      </c>
      <c r="B46" s="45" t="e">
        <f t="shared" ref="B46:G46" si="11">B22</f>
        <v>#DIV/0!</v>
      </c>
      <c r="C46" s="45" t="e">
        <f t="shared" si="11"/>
        <v>#DIV/0!</v>
      </c>
      <c r="D46" s="45" t="e">
        <f t="shared" si="11"/>
        <v>#DIV/0!</v>
      </c>
      <c r="E46" s="45" t="e">
        <f t="shared" si="11"/>
        <v>#DIV/0!</v>
      </c>
      <c r="F46" s="45" t="e">
        <f t="shared" si="11"/>
        <v>#DIV/0!</v>
      </c>
      <c r="G46" s="45" t="e">
        <f t="shared" si="11"/>
        <v>#DIV/0!</v>
      </c>
    </row>
    <row r="47" spans="1:7" x14ac:dyDescent="0.3">
      <c r="B47" s="45"/>
      <c r="C47" s="45"/>
      <c r="D47" s="45"/>
      <c r="E47" s="45"/>
      <c r="F47" s="45"/>
      <c r="G47" s="45"/>
    </row>
    <row r="48" spans="1:7" x14ac:dyDescent="0.3">
      <c r="A48" s="39" t="s">
        <v>47</v>
      </c>
      <c r="B48" s="45" t="e">
        <f t="shared" ref="B48:G48" si="12">+B41-B44</f>
        <v>#DIV/0!</v>
      </c>
      <c r="C48" s="45" t="e">
        <f t="shared" si="12"/>
        <v>#DIV/0!</v>
      </c>
      <c r="D48" s="45" t="e">
        <f t="shared" si="12"/>
        <v>#DIV/0!</v>
      </c>
      <c r="E48" s="45" t="e">
        <f t="shared" si="12"/>
        <v>#DIV/0!</v>
      </c>
      <c r="F48" s="45" t="e">
        <f t="shared" si="12"/>
        <v>#DIV/0!</v>
      </c>
      <c r="G48" s="45" t="e">
        <f t="shared" si="12"/>
        <v>#DIV/0!</v>
      </c>
    </row>
    <row r="49" spans="1:7" x14ac:dyDescent="0.3">
      <c r="B49" s="45"/>
      <c r="C49" s="45"/>
      <c r="D49" s="45"/>
      <c r="E49" s="45"/>
      <c r="F49" s="45"/>
      <c r="G49" s="45"/>
    </row>
    <row r="50" spans="1:7" x14ac:dyDescent="0.3">
      <c r="A50" s="39" t="s">
        <v>48</v>
      </c>
      <c r="B50" s="45" t="e">
        <f t="shared" ref="B50:G50" si="13">B41-B46</f>
        <v>#DIV/0!</v>
      </c>
      <c r="C50" s="45" t="e">
        <f t="shared" si="13"/>
        <v>#DIV/0!</v>
      </c>
      <c r="D50" s="45" t="e">
        <f t="shared" si="13"/>
        <v>#DIV/0!</v>
      </c>
      <c r="E50" s="45" t="e">
        <f t="shared" si="13"/>
        <v>#DIV/0!</v>
      </c>
      <c r="F50" s="45" t="e">
        <f t="shared" si="13"/>
        <v>#DIV/0!</v>
      </c>
      <c r="G50" s="45" t="e">
        <f t="shared" si="13"/>
        <v>#DIV/0!</v>
      </c>
    </row>
    <row r="51" spans="1:7" x14ac:dyDescent="0.3">
      <c r="B51" s="45"/>
      <c r="C51" s="45"/>
      <c r="D51" s="45"/>
      <c r="E51" s="45"/>
      <c r="F51" s="45"/>
      <c r="G51" s="45"/>
    </row>
    <row r="52" spans="1:7" x14ac:dyDescent="0.3">
      <c r="A52" s="43" t="s">
        <v>49</v>
      </c>
      <c r="B52" s="82" t="e">
        <f t="shared" ref="B52:G52" si="14">IF(B48&lt;B50,B48,B50)</f>
        <v>#DIV/0!</v>
      </c>
      <c r="C52" s="82" t="e">
        <f t="shared" si="14"/>
        <v>#DIV/0!</v>
      </c>
      <c r="D52" s="82" t="e">
        <f t="shared" si="14"/>
        <v>#DIV/0!</v>
      </c>
      <c r="E52" s="82" t="e">
        <f t="shared" si="14"/>
        <v>#DIV/0!</v>
      </c>
      <c r="F52" s="82" t="e">
        <f t="shared" si="14"/>
        <v>#DIV/0!</v>
      </c>
      <c r="G52" s="82" t="e">
        <f t="shared" si="14"/>
        <v>#DIV/0!</v>
      </c>
    </row>
    <row r="53" spans="1:7" x14ac:dyDescent="0.3">
      <c r="A53" s="43" t="s">
        <v>50</v>
      </c>
      <c r="B53" s="43"/>
      <c r="C53" s="43"/>
      <c r="D53" s="43"/>
      <c r="E53" s="43"/>
      <c r="F53" s="43"/>
      <c r="G53" s="43"/>
    </row>
    <row r="54" spans="1:7" ht="15" thickBot="1" x14ac:dyDescent="0.35">
      <c r="A54" s="66"/>
      <c r="B54" s="66"/>
      <c r="C54" s="66"/>
      <c r="D54" s="66"/>
      <c r="E54" s="66"/>
      <c r="F54" s="66"/>
      <c r="G54" s="66"/>
    </row>
  </sheetData>
  <mergeCells count="4">
    <mergeCell ref="A1:G1"/>
    <mergeCell ref="A2:G2"/>
    <mergeCell ref="A3:G3"/>
    <mergeCell ref="A5:G5"/>
  </mergeCells>
  <pageMargins left="0.18" right="0.15748031496062992" top="0.28000000000000003" bottom="0.26" header="0.21" footer="0.15748031496062992"/>
  <pageSetup scale="8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84B4-177B-4C6D-8F97-AD598A68786E}">
  <dimension ref="A1:D18"/>
  <sheetViews>
    <sheetView workbookViewId="0">
      <selection activeCell="B16" sqref="B16"/>
    </sheetView>
  </sheetViews>
  <sheetFormatPr defaultColWidth="9.109375" defaultRowHeight="14.4" x14ac:dyDescent="0.3"/>
  <cols>
    <col min="1" max="1" width="34.33203125" style="39" customWidth="1"/>
    <col min="2" max="2" width="15.109375" style="39" customWidth="1"/>
    <col min="3" max="3" width="13.88671875" style="39" customWidth="1"/>
    <col min="4" max="4" width="12.6640625" style="39" customWidth="1"/>
    <col min="5" max="16384" width="9.109375" style="39"/>
  </cols>
  <sheetData>
    <row r="1" spans="1:4" x14ac:dyDescent="0.3">
      <c r="A1" s="476">
        <f>'Working for PL &amp; BS'!A1:F1</f>
        <v>0</v>
      </c>
      <c r="B1" s="476"/>
      <c r="C1" s="476"/>
      <c r="D1" s="476"/>
    </row>
    <row r="2" spans="1:4" x14ac:dyDescent="0.3">
      <c r="A2" s="476">
        <f>'Working for PL &amp; BS'!A2:F2</f>
        <v>0</v>
      </c>
      <c r="B2" s="476"/>
      <c r="C2" s="476"/>
      <c r="D2" s="476"/>
    </row>
    <row r="3" spans="1:4" x14ac:dyDescent="0.3">
      <c r="A3" s="476" t="str">
        <f>'Working for PL &amp; BS'!A3:F3</f>
        <v>STEP 2 : BACK GROUND CALCULATION . NOT TO BE VISIBLE TO CUSTOMER</v>
      </c>
      <c r="B3" s="476"/>
      <c r="C3" s="476"/>
      <c r="D3" s="476"/>
    </row>
    <row r="5" spans="1:4" ht="20.25" customHeight="1" x14ac:dyDescent="0.3">
      <c r="A5" s="476" t="s">
        <v>85</v>
      </c>
      <c r="B5" s="476"/>
      <c r="C5" s="476"/>
      <c r="D5" s="476"/>
    </row>
    <row r="6" spans="1:4" ht="27" customHeight="1" x14ac:dyDescent="0.3">
      <c r="A6" s="488" t="s">
        <v>86</v>
      </c>
      <c r="B6" s="488"/>
      <c r="C6" s="488"/>
      <c r="D6" s="488"/>
    </row>
    <row r="7" spans="1:4" ht="14.4" customHeight="1" x14ac:dyDescent="0.3">
      <c r="A7" s="486" t="s">
        <v>23</v>
      </c>
      <c r="B7" s="57"/>
      <c r="C7" s="57"/>
      <c r="D7" s="57"/>
    </row>
    <row r="8" spans="1:4" ht="30" customHeight="1" thickBot="1" x14ac:dyDescent="0.35">
      <c r="A8" s="487"/>
      <c r="B8" s="58" t="e">
        <f>'Working for PL &amp; BS'!#REF!</f>
        <v>#REF!</v>
      </c>
      <c r="C8" s="58" t="e">
        <f>'Working for PL &amp; BS'!#REF!</f>
        <v>#REF!</v>
      </c>
      <c r="D8" s="58" t="e">
        <f>'Working for PL &amp; BS'!#REF!</f>
        <v>#REF!</v>
      </c>
    </row>
    <row r="9" spans="1:4" ht="33" customHeight="1" thickTop="1" x14ac:dyDescent="0.3">
      <c r="A9" s="59" t="s">
        <v>87</v>
      </c>
      <c r="B9" s="62" t="e">
        <f>'Working for PL &amp; BS'!D10</f>
        <v>#DIV/0!</v>
      </c>
      <c r="C9" s="62" t="e">
        <f>'Working for PL &amp; BS'!E10</f>
        <v>#DIV/0!</v>
      </c>
      <c r="D9" s="62" t="e">
        <f>'Working for PL &amp; BS'!F10</f>
        <v>#DIV/0!</v>
      </c>
    </row>
    <row r="10" spans="1:4" ht="29.25" customHeight="1" x14ac:dyDescent="0.3">
      <c r="A10" s="59" t="s">
        <v>88</v>
      </c>
      <c r="B10" s="62" t="e">
        <f>B9*25%</f>
        <v>#DIV/0!</v>
      </c>
      <c r="C10" s="62" t="e">
        <f>C9*25%</f>
        <v>#DIV/0!</v>
      </c>
      <c r="D10" s="62" t="e">
        <f>D9*25%</f>
        <v>#DIV/0!</v>
      </c>
    </row>
    <row r="11" spans="1:4" ht="25.5" customHeight="1" x14ac:dyDescent="0.3">
      <c r="A11" s="60" t="s">
        <v>92</v>
      </c>
      <c r="B11" s="62" t="e">
        <f>B10*5%</f>
        <v>#DIV/0!</v>
      </c>
      <c r="C11" s="62" t="e">
        <f>C10*5%</f>
        <v>#DIV/0!</v>
      </c>
      <c r="D11" s="62" t="e">
        <f>D10*5%</f>
        <v>#DIV/0!</v>
      </c>
    </row>
    <row r="12" spans="1:4" ht="25.5" customHeight="1" x14ac:dyDescent="0.3">
      <c r="A12" s="60" t="s">
        <v>90</v>
      </c>
      <c r="B12" s="62" t="e">
        <f>RATIO!#REF!-RATIO!#REF!</f>
        <v>#REF!</v>
      </c>
      <c r="C12" s="62" t="e">
        <f>RATIO!#REF!-RATIO!#REF!</f>
        <v>#REF!</v>
      </c>
      <c r="D12" s="62" t="e">
        <f>RATIO!#REF!-RATIO!#REF!</f>
        <v>#REF!</v>
      </c>
    </row>
    <row r="13" spans="1:4" ht="36" customHeight="1" x14ac:dyDescent="0.3">
      <c r="A13" s="61" t="s">
        <v>93</v>
      </c>
      <c r="B13" s="62" t="e">
        <f>B9*20%</f>
        <v>#DIV/0!</v>
      </c>
      <c r="C13" s="62" t="e">
        <f>C9*20%</f>
        <v>#DIV/0!</v>
      </c>
      <c r="D13" s="62" t="e">
        <f>D9*20%</f>
        <v>#DIV/0!</v>
      </c>
    </row>
    <row r="14" spans="1:4" ht="30.75" customHeight="1" x14ac:dyDescent="0.3">
      <c r="A14" s="39" t="s">
        <v>91</v>
      </c>
      <c r="B14" s="62" t="e">
        <f>IF(B12&lt;B13,B12,B13)</f>
        <v>#REF!</v>
      </c>
      <c r="C14" s="62" t="e">
        <f>IF(C12&lt;C13,C12,C13)</f>
        <v>#REF!</v>
      </c>
      <c r="D14" s="62" t="e">
        <f>IF(D12&lt;D13,D12,D13)</f>
        <v>#REF!</v>
      </c>
    </row>
    <row r="15" spans="1:4" ht="30.75" customHeight="1" x14ac:dyDescent="0.3">
      <c r="A15" s="60" t="s">
        <v>94</v>
      </c>
      <c r="B15" s="62" t="e">
        <f>'Working for PL &amp; BS'!D56</f>
        <v>#DIV/0!</v>
      </c>
      <c r="C15" s="62" t="e">
        <f>'Working for PL &amp; BS'!E56</f>
        <v>#DIV/0!</v>
      </c>
      <c r="D15" s="62" t="e">
        <f>'Working for PL &amp; BS'!F56</f>
        <v>#DIV/0!</v>
      </c>
    </row>
    <row r="16" spans="1:4" ht="31.5" customHeight="1" x14ac:dyDescent="0.3">
      <c r="A16" s="60" t="s">
        <v>89</v>
      </c>
      <c r="B16" s="65" t="e">
        <f>B15-B14</f>
        <v>#DIV/0!</v>
      </c>
      <c r="C16" s="65" t="e">
        <f>C15-C14</f>
        <v>#DIV/0!</v>
      </c>
      <c r="D16" s="65" t="e">
        <f>D15-D14</f>
        <v>#DIV/0!</v>
      </c>
    </row>
    <row r="17" spans="1:4" ht="29.25" customHeight="1" thickBot="1" x14ac:dyDescent="0.35">
      <c r="A17" s="63"/>
      <c r="B17" s="64"/>
      <c r="C17" s="64"/>
      <c r="D17" s="64"/>
    </row>
    <row r="18" spans="1:4" ht="27" customHeight="1" x14ac:dyDescent="0.3">
      <c r="B18" s="45"/>
      <c r="C18" s="45"/>
      <c r="D18" s="45"/>
    </row>
  </sheetData>
  <mergeCells count="6">
    <mergeCell ref="A7:A8"/>
    <mergeCell ref="A1:D1"/>
    <mergeCell ref="A2:D2"/>
    <mergeCell ref="A3:D3"/>
    <mergeCell ref="A5:D5"/>
    <mergeCell ref="A6:D6"/>
  </mergeCells>
  <pageMargins left="0.7" right="0.7" top="0.75" bottom="0.75" header="0.3" footer="0.3"/>
  <pageSetup orientation="portrait" horizontalDpi="4294967292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B921-89F1-4332-9BA9-CCDA0FAD972D}">
  <dimension ref="A1:H29"/>
  <sheetViews>
    <sheetView workbookViewId="0">
      <selection activeCell="L33" sqref="L33"/>
    </sheetView>
  </sheetViews>
  <sheetFormatPr defaultColWidth="9.109375" defaultRowHeight="14.4" x14ac:dyDescent="0.3"/>
  <cols>
    <col min="1" max="1" width="22.33203125" style="39" customWidth="1"/>
    <col min="2" max="2" width="10.44140625" style="39" customWidth="1"/>
    <col min="3" max="3" width="12" style="39" customWidth="1"/>
    <col min="4" max="4" width="12.88671875" style="39" customWidth="1"/>
    <col min="5" max="5" width="12.109375" style="39" customWidth="1"/>
    <col min="6" max="6" width="12.88671875" style="39" customWidth="1"/>
    <col min="7" max="7" width="12.33203125" style="39" customWidth="1"/>
    <col min="8" max="8" width="12.44140625" style="39" customWidth="1"/>
    <col min="9" max="16384" width="9.109375" style="39"/>
  </cols>
  <sheetData>
    <row r="1" spans="1:8" ht="7.5" customHeight="1" x14ac:dyDescent="0.3"/>
    <row r="2" spans="1:8" ht="20.25" customHeight="1" x14ac:dyDescent="0.3">
      <c r="A2" s="476">
        <f>Assumptions.1!I3</f>
        <v>0</v>
      </c>
      <c r="B2" s="476"/>
      <c r="C2" s="476"/>
      <c r="D2" s="476"/>
      <c r="E2" s="476"/>
      <c r="F2" s="476"/>
      <c r="G2" s="476"/>
      <c r="H2" s="476"/>
    </row>
    <row r="3" spans="1:8" ht="18.75" customHeight="1" x14ac:dyDescent="0.3">
      <c r="A3" s="476">
        <f>Assumptions.1!I5</f>
        <v>0</v>
      </c>
      <c r="B3" s="476"/>
      <c r="C3" s="476"/>
      <c r="D3" s="476"/>
      <c r="E3" s="476"/>
      <c r="F3" s="476"/>
      <c r="G3" s="476"/>
      <c r="H3" s="476"/>
    </row>
    <row r="4" spans="1:8" ht="21.75" customHeight="1" x14ac:dyDescent="0.3">
      <c r="A4" s="476">
        <f>Assumptions.1!I6</f>
        <v>0</v>
      </c>
      <c r="B4" s="476"/>
      <c r="C4" s="476"/>
      <c r="D4" s="476"/>
      <c r="E4" s="476"/>
      <c r="F4" s="476"/>
      <c r="G4" s="476"/>
      <c r="H4" s="476"/>
    </row>
    <row r="6" spans="1:8" ht="18.75" customHeight="1" x14ac:dyDescent="0.3">
      <c r="A6" s="485" t="s">
        <v>116</v>
      </c>
      <c r="B6" s="485"/>
      <c r="C6" s="485"/>
      <c r="D6" s="485"/>
      <c r="E6" s="485"/>
      <c r="F6" s="485"/>
      <c r="G6" s="485"/>
      <c r="H6" s="485"/>
    </row>
    <row r="7" spans="1:8" x14ac:dyDescent="0.3">
      <c r="A7" s="43"/>
      <c r="B7" s="43"/>
    </row>
    <row r="8" spans="1:8" x14ac:dyDescent="0.3">
      <c r="A8" s="476" t="s">
        <v>117</v>
      </c>
      <c r="B8" s="476"/>
      <c r="C8" s="476"/>
      <c r="D8" s="476"/>
      <c r="E8" s="476"/>
      <c r="F8" s="476"/>
      <c r="G8" s="476"/>
      <c r="H8" s="476"/>
    </row>
    <row r="10" spans="1:8" ht="20.25" customHeight="1" x14ac:dyDescent="0.3">
      <c r="A10" s="152" t="s">
        <v>0</v>
      </c>
      <c r="B10" s="156"/>
      <c r="C10" s="153" t="str">
        <f>'MPBF '!B8</f>
        <v>Estimated</v>
      </c>
      <c r="D10" s="153" t="str">
        <f>'MPBF '!C8</f>
        <v>Projected</v>
      </c>
      <c r="E10" s="153" t="str">
        <f>'MPBF '!D8</f>
        <v>Projected</v>
      </c>
      <c r="F10" s="153" t="str">
        <f>'MPBF '!E8</f>
        <v>Projected</v>
      </c>
      <c r="G10" s="153" t="str">
        <f>'MPBF '!F8</f>
        <v>Projected</v>
      </c>
      <c r="H10" s="153" t="str">
        <f>'MPBF '!G8</f>
        <v>Projected</v>
      </c>
    </row>
    <row r="11" spans="1:8" ht="17.25" customHeight="1" thickBot="1" x14ac:dyDescent="0.35">
      <c r="A11" s="154"/>
      <c r="B11" s="155"/>
      <c r="C11" s="155">
        <f>'MPBF '!B9</f>
        <v>0</v>
      </c>
      <c r="D11" s="155">
        <f>'MPBF '!C9</f>
        <v>0</v>
      </c>
      <c r="E11" s="155">
        <f>'MPBF '!D9</f>
        <v>0</v>
      </c>
      <c r="F11" s="155">
        <f>'MPBF '!E9</f>
        <v>0</v>
      </c>
      <c r="G11" s="155">
        <f>'MPBF '!F9</f>
        <v>0</v>
      </c>
      <c r="H11" s="155">
        <f>'MPBF '!G9</f>
        <v>0</v>
      </c>
    </row>
    <row r="12" spans="1:8" ht="15" thickTop="1" x14ac:dyDescent="0.3"/>
    <row r="13" spans="1:8" x14ac:dyDescent="0.3">
      <c r="A13" s="39" t="s">
        <v>41</v>
      </c>
      <c r="B13" s="45"/>
      <c r="C13" s="45" t="e">
        <f>PLBS!D11</f>
        <v>#DIV/0!</v>
      </c>
      <c r="D13" s="45" t="e">
        <f>PLBS!E11</f>
        <v>#DIV/0!</v>
      </c>
      <c r="E13" s="45" t="e">
        <f>PLBS!F11</f>
        <v>#DIV/0!</v>
      </c>
      <c r="F13" s="45" t="e">
        <f>PLBS!G11</f>
        <v>#DIV/0!</v>
      </c>
      <c r="G13" s="45" t="e">
        <f>PLBS!H11</f>
        <v>#DIV/0!</v>
      </c>
      <c r="H13" s="45" t="e">
        <f>PLBS!I11</f>
        <v>#DIV/0!</v>
      </c>
    </row>
    <row r="14" spans="1:8" x14ac:dyDescent="0.3">
      <c r="B14" s="45"/>
    </row>
    <row r="15" spans="1:8" x14ac:dyDescent="0.3">
      <c r="A15" s="39" t="s">
        <v>391</v>
      </c>
      <c r="B15" s="45"/>
      <c r="C15" s="45" t="e">
        <f t="shared" ref="C15:H15" si="0">C13*25%</f>
        <v>#DIV/0!</v>
      </c>
      <c r="D15" s="45" t="e">
        <f t="shared" si="0"/>
        <v>#DIV/0!</v>
      </c>
      <c r="E15" s="45" t="e">
        <f t="shared" si="0"/>
        <v>#DIV/0!</v>
      </c>
      <c r="F15" s="45" t="e">
        <f t="shared" si="0"/>
        <v>#DIV/0!</v>
      </c>
      <c r="G15" s="45" t="e">
        <f t="shared" si="0"/>
        <v>#DIV/0!</v>
      </c>
      <c r="H15" s="45" t="e">
        <f t="shared" si="0"/>
        <v>#DIV/0!</v>
      </c>
    </row>
    <row r="16" spans="1:8" x14ac:dyDescent="0.3">
      <c r="A16" s="39" t="s">
        <v>118</v>
      </c>
      <c r="B16" s="45"/>
    </row>
    <row r="17" spans="1:8" x14ac:dyDescent="0.3">
      <c r="B17" s="45"/>
    </row>
    <row r="18" spans="1:8" x14ac:dyDescent="0.3">
      <c r="A18" s="39" t="s">
        <v>392</v>
      </c>
      <c r="B18" s="45"/>
      <c r="C18" s="45" t="e">
        <f t="shared" ref="C18:H18" si="1">C15*80%</f>
        <v>#DIV/0!</v>
      </c>
      <c r="D18" s="45" t="e">
        <f t="shared" si="1"/>
        <v>#DIV/0!</v>
      </c>
      <c r="E18" s="45" t="e">
        <f t="shared" si="1"/>
        <v>#DIV/0!</v>
      </c>
      <c r="F18" s="45" t="e">
        <f t="shared" si="1"/>
        <v>#DIV/0!</v>
      </c>
      <c r="G18" s="45" t="e">
        <f t="shared" si="1"/>
        <v>#DIV/0!</v>
      </c>
      <c r="H18" s="45" t="e">
        <f t="shared" si="1"/>
        <v>#DIV/0!</v>
      </c>
    </row>
    <row r="19" spans="1:8" x14ac:dyDescent="0.3">
      <c r="A19" s="39" t="s">
        <v>393</v>
      </c>
      <c r="B19" s="45"/>
    </row>
    <row r="20" spans="1:8" x14ac:dyDescent="0.3">
      <c r="B20" s="45"/>
    </row>
    <row r="21" spans="1:8" x14ac:dyDescent="0.3">
      <c r="A21" s="39" t="s">
        <v>119</v>
      </c>
      <c r="B21" s="45"/>
      <c r="C21" s="45">
        <f>Assumptions.1!I12</f>
        <v>0</v>
      </c>
      <c r="D21" s="45">
        <f>Assumptions.1!I12</f>
        <v>0</v>
      </c>
      <c r="E21" s="45">
        <f>D21</f>
        <v>0</v>
      </c>
      <c r="F21" s="45">
        <f>E21</f>
        <v>0</v>
      </c>
      <c r="G21" s="45">
        <f>F21</f>
        <v>0</v>
      </c>
      <c r="H21" s="45">
        <f>G21</f>
        <v>0</v>
      </c>
    </row>
    <row r="22" spans="1:8" x14ac:dyDescent="0.3">
      <c r="B22" s="45"/>
    </row>
    <row r="23" spans="1:8" x14ac:dyDescent="0.3">
      <c r="A23" s="39" t="s">
        <v>120</v>
      </c>
      <c r="B23" s="45"/>
      <c r="C23" s="45" t="e">
        <f t="shared" ref="C23:H23" si="2">IF(C18&lt;C21,C18,C21)</f>
        <v>#DIV/0!</v>
      </c>
      <c r="D23" s="45" t="e">
        <f t="shared" si="2"/>
        <v>#DIV/0!</v>
      </c>
      <c r="E23" s="45" t="e">
        <f t="shared" si="2"/>
        <v>#DIV/0!</v>
      </c>
      <c r="F23" s="45" t="e">
        <f t="shared" si="2"/>
        <v>#DIV/0!</v>
      </c>
      <c r="G23" s="45" t="e">
        <f t="shared" si="2"/>
        <v>#DIV/0!</v>
      </c>
      <c r="H23" s="45" t="e">
        <f t="shared" si="2"/>
        <v>#DIV/0!</v>
      </c>
    </row>
    <row r="24" spans="1:8" ht="15" thickBot="1" x14ac:dyDescent="0.35">
      <c r="A24" s="66"/>
      <c r="B24" s="66"/>
      <c r="C24" s="66"/>
      <c r="D24" s="66"/>
      <c r="E24" s="66"/>
      <c r="F24" s="66"/>
      <c r="G24" s="66"/>
      <c r="H24" s="66"/>
    </row>
    <row r="27" spans="1:8" x14ac:dyDescent="0.3">
      <c r="A27" s="43" t="s">
        <v>121</v>
      </c>
    </row>
    <row r="28" spans="1:8" x14ac:dyDescent="0.3">
      <c r="A28" s="39" t="s">
        <v>122</v>
      </c>
    </row>
    <row r="29" spans="1:8" x14ac:dyDescent="0.3">
      <c r="A29" s="39" t="s">
        <v>123</v>
      </c>
    </row>
  </sheetData>
  <mergeCells count="5">
    <mergeCell ref="A2:H2"/>
    <mergeCell ref="A3:H3"/>
    <mergeCell ref="A4:H4"/>
    <mergeCell ref="A6:H6"/>
    <mergeCell ref="A8:H8"/>
  </mergeCells>
  <pageMargins left="0.31496062992125984" right="0.19685039370078741" top="0.47244094488188981" bottom="0.74803149606299213" header="0.31496062992125984" footer="0.31496062992125984"/>
  <pageSetup scale="95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D0BA-E6A4-4EC4-92F2-50F759AD06E3}">
  <dimension ref="A1:N94"/>
  <sheetViews>
    <sheetView zoomScaleNormal="100" workbookViewId="0">
      <selection activeCell="T20" sqref="T20"/>
    </sheetView>
  </sheetViews>
  <sheetFormatPr defaultColWidth="9.109375" defaultRowHeight="14.4" x14ac:dyDescent="0.35"/>
  <cols>
    <col min="1" max="1" width="26.6640625" style="18" customWidth="1"/>
    <col min="2" max="2" width="4.44140625" style="18" customWidth="1"/>
    <col min="3" max="6" width="11" style="18" customWidth="1"/>
    <col min="7" max="7" width="12" style="18" customWidth="1"/>
    <col min="8" max="9" width="11" style="18" customWidth="1"/>
    <col min="10" max="10" width="11.33203125" style="18" customWidth="1"/>
    <col min="11" max="11" width="11.6640625" style="18" customWidth="1"/>
    <col min="12" max="12" width="11.5546875" style="18" customWidth="1"/>
    <col min="13" max="13" width="13.88671875" style="18" customWidth="1"/>
    <col min="14" max="14" width="11.44140625" style="18" customWidth="1"/>
    <col min="15" max="16384" width="9.109375" style="18"/>
  </cols>
  <sheetData>
    <row r="1" spans="1:14" x14ac:dyDescent="0.35">
      <c r="A1" s="493">
        <f>Assumptions.1!I3</f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</row>
    <row r="2" spans="1:14" x14ac:dyDescent="0.35">
      <c r="A2" s="493">
        <f>Assumptions.1!I5</f>
        <v>0</v>
      </c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</row>
    <row r="3" spans="1:14" x14ac:dyDescent="0.35">
      <c r="A3" s="493">
        <f>Assumptions.1!I6</f>
        <v>0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</row>
    <row r="5" spans="1:14" x14ac:dyDescent="0.35">
      <c r="A5" s="493" t="s">
        <v>147</v>
      </c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3"/>
    </row>
    <row r="6" spans="1:14" x14ac:dyDescent="0.35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</row>
    <row r="7" spans="1:14" ht="15" x14ac:dyDescent="0.35"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492" t="s">
        <v>427</v>
      </c>
      <c r="N7" s="492"/>
    </row>
    <row r="8" spans="1:14" ht="15" customHeight="1" x14ac:dyDescent="0.35">
      <c r="A8" s="108"/>
      <c r="B8" s="112"/>
      <c r="C8" s="123"/>
      <c r="D8" s="123"/>
      <c r="E8" s="123"/>
      <c r="F8" s="123"/>
      <c r="G8" s="123"/>
      <c r="H8" s="123"/>
      <c r="I8" s="123"/>
      <c r="J8" s="109"/>
      <c r="K8" s="109"/>
      <c r="L8" s="109"/>
      <c r="M8" s="110"/>
      <c r="N8" s="109"/>
    </row>
    <row r="9" spans="1:14" ht="30" customHeight="1" x14ac:dyDescent="0.35">
      <c r="A9" s="111"/>
      <c r="B9" s="490"/>
      <c r="C9" s="491" t="str">
        <f>Assumptions.1!C52</f>
        <v>Plant and Machinery</v>
      </c>
      <c r="D9" s="491" t="str">
        <f>Assumptions.1!C122</f>
        <v>Service Equipment</v>
      </c>
      <c r="E9" s="491" t="str">
        <f>Assumptions.1!B155</f>
        <v>Civil works &amp; Shed Construction</v>
      </c>
      <c r="F9" s="491" t="str">
        <f>Assumptions.1!B165</f>
        <v>Land</v>
      </c>
      <c r="G9" s="491" t="str">
        <f>Assumptions.1!B168</f>
        <v xml:space="preserve">Electrical Items &amp; fittings                    </v>
      </c>
      <c r="H9" s="491" t="str">
        <f>Assumptions.1!B178</f>
        <v>Electronic Items</v>
      </c>
      <c r="I9" s="491" t="str">
        <f>Assumptions.1!B188</f>
        <v>Furniture and Fittings</v>
      </c>
      <c r="J9" s="489" t="str">
        <f>Assumptions.1!B198</f>
        <v>Vehicles</v>
      </c>
      <c r="K9" s="489" t="str">
        <f>Assumptions.1!B207</f>
        <v>Live stock</v>
      </c>
      <c r="L9" s="489" t="str">
        <f>Assumptions.1!B217</f>
        <v>Other Assets</v>
      </c>
      <c r="M9" s="490" t="str">
        <f>Assumptions.1!C131</f>
        <v>Other Assets (Nil Depreciation)</v>
      </c>
      <c r="N9" s="112"/>
    </row>
    <row r="10" spans="1:14" ht="13.5" customHeight="1" x14ac:dyDescent="0.35">
      <c r="A10" s="111"/>
      <c r="B10" s="490"/>
      <c r="C10" s="491"/>
      <c r="D10" s="491"/>
      <c r="E10" s="491"/>
      <c r="F10" s="491"/>
      <c r="G10" s="491"/>
      <c r="H10" s="491"/>
      <c r="I10" s="491"/>
      <c r="J10" s="489"/>
      <c r="K10" s="489"/>
      <c r="L10" s="489"/>
      <c r="M10" s="490"/>
      <c r="N10" s="112"/>
    </row>
    <row r="11" spans="1:14" ht="17.25" customHeight="1" x14ac:dyDescent="0.35">
      <c r="A11" s="111"/>
      <c r="B11" s="112"/>
      <c r="C11" s="491"/>
      <c r="D11" s="491"/>
      <c r="E11" s="361"/>
      <c r="F11" s="361"/>
      <c r="G11" s="361"/>
      <c r="H11" s="361"/>
      <c r="I11" s="361"/>
      <c r="J11" s="113"/>
      <c r="K11" s="113"/>
      <c r="L11" s="113"/>
      <c r="M11" s="114"/>
      <c r="N11" s="112" t="s">
        <v>148</v>
      </c>
    </row>
    <row r="12" spans="1:14" ht="15" thickBot="1" x14ac:dyDescent="0.4">
      <c r="A12" s="115"/>
      <c r="B12" s="116"/>
      <c r="C12" s="116">
        <f>Assumptions.1!E121</f>
        <v>0.15</v>
      </c>
      <c r="D12" s="116">
        <f>Assumptions.1!E122</f>
        <v>0.15</v>
      </c>
      <c r="E12" s="116">
        <f>Assumptions.1!E123</f>
        <v>0.1</v>
      </c>
      <c r="F12" s="116">
        <f>Assumptions.1!E124</f>
        <v>0</v>
      </c>
      <c r="G12" s="116">
        <f>Assumptions.1!E126</f>
        <v>0.15</v>
      </c>
      <c r="H12" s="116">
        <f>Assumptions.1!E127</f>
        <v>0.15</v>
      </c>
      <c r="I12" s="116">
        <f>Assumptions.1!E125</f>
        <v>0.1</v>
      </c>
      <c r="J12" s="116">
        <f>Assumptions.1!E128</f>
        <v>0.15</v>
      </c>
      <c r="K12" s="116">
        <f>Assumptions.1!E129</f>
        <v>0</v>
      </c>
      <c r="L12" s="116">
        <f>Assumptions.1!E130</f>
        <v>0.1</v>
      </c>
      <c r="M12" s="117">
        <f>Assumptions.1!E131</f>
        <v>0</v>
      </c>
      <c r="N12" s="118"/>
    </row>
    <row r="13" spans="1:14" ht="15" thickTop="1" x14ac:dyDescent="0.35"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N13" s="27"/>
    </row>
    <row r="14" spans="1:14" x14ac:dyDescent="0.35">
      <c r="A14" s="24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N14" s="34"/>
    </row>
    <row r="15" spans="1:14" x14ac:dyDescent="0.35">
      <c r="A15" s="125">
        <f>'Working for PL &amp; BS'!D46</f>
        <v>0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34"/>
      <c r="N15" s="34"/>
    </row>
    <row r="16" spans="1:14" x14ac:dyDescent="0.35">
      <c r="A16" s="18" t="s">
        <v>401</v>
      </c>
      <c r="B16" s="120"/>
      <c r="C16" s="120">
        <f>Assumptions.1!I44</f>
        <v>0</v>
      </c>
      <c r="D16" s="120">
        <v>0</v>
      </c>
      <c r="E16" s="120">
        <v>0</v>
      </c>
      <c r="F16" s="120">
        <v>0</v>
      </c>
      <c r="G16" s="120">
        <v>0</v>
      </c>
      <c r="H16" s="120">
        <v>0</v>
      </c>
      <c r="I16" s="120">
        <v>0</v>
      </c>
      <c r="J16" s="120">
        <v>0</v>
      </c>
      <c r="K16" s="120">
        <v>0</v>
      </c>
      <c r="L16" s="120">
        <v>0</v>
      </c>
      <c r="M16" s="34">
        <v>0</v>
      </c>
      <c r="N16" s="34">
        <f>B16+C16+J16+M16</f>
        <v>0</v>
      </c>
    </row>
    <row r="17" spans="1:14" x14ac:dyDescent="0.35">
      <c r="A17" s="18" t="s">
        <v>149</v>
      </c>
      <c r="B17" s="120"/>
      <c r="C17" s="120">
        <f>Assumptions.1!I52</f>
        <v>0</v>
      </c>
      <c r="D17" s="120">
        <v>0</v>
      </c>
      <c r="E17" s="120"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L17" s="120">
        <v>0</v>
      </c>
      <c r="M17" s="120">
        <v>0</v>
      </c>
      <c r="N17" s="34">
        <f>B17+C17+J17+M17</f>
        <v>0</v>
      </c>
    </row>
    <row r="18" spans="1:14" x14ac:dyDescent="0.35">
      <c r="A18" s="18" t="s">
        <v>148</v>
      </c>
      <c r="B18" s="120"/>
      <c r="C18" s="120">
        <f>C16+C17</f>
        <v>0</v>
      </c>
      <c r="D18" s="120">
        <f t="shared" ref="D18:M18" si="0">D16+D17</f>
        <v>0</v>
      </c>
      <c r="E18" s="120">
        <f t="shared" si="0"/>
        <v>0</v>
      </c>
      <c r="F18" s="120">
        <f t="shared" si="0"/>
        <v>0</v>
      </c>
      <c r="G18" s="120">
        <f t="shared" si="0"/>
        <v>0</v>
      </c>
      <c r="H18" s="120">
        <f t="shared" si="0"/>
        <v>0</v>
      </c>
      <c r="I18" s="120">
        <f t="shared" si="0"/>
        <v>0</v>
      </c>
      <c r="J18" s="120">
        <f t="shared" si="0"/>
        <v>0</v>
      </c>
      <c r="K18" s="120">
        <f t="shared" si="0"/>
        <v>0</v>
      </c>
      <c r="L18" s="120">
        <f t="shared" si="0"/>
        <v>0</v>
      </c>
      <c r="M18" s="120">
        <f t="shared" si="0"/>
        <v>0</v>
      </c>
      <c r="N18" s="34">
        <f>B18+C18+J18+M18</f>
        <v>0</v>
      </c>
    </row>
    <row r="19" spans="1:14" x14ac:dyDescent="0.35">
      <c r="A19" s="18" t="s">
        <v>33</v>
      </c>
      <c r="B19" s="120"/>
      <c r="C19" s="120">
        <f>C18*C12</f>
        <v>0</v>
      </c>
      <c r="D19" s="120">
        <f t="shared" ref="D19:J19" si="1">D18*D12</f>
        <v>0</v>
      </c>
      <c r="E19" s="120">
        <f t="shared" si="1"/>
        <v>0</v>
      </c>
      <c r="F19" s="120">
        <f t="shared" si="1"/>
        <v>0</v>
      </c>
      <c r="G19" s="120">
        <f t="shared" si="1"/>
        <v>0</v>
      </c>
      <c r="H19" s="120">
        <f t="shared" si="1"/>
        <v>0</v>
      </c>
      <c r="I19" s="120">
        <f t="shared" si="1"/>
        <v>0</v>
      </c>
      <c r="J19" s="120">
        <f t="shared" si="1"/>
        <v>0</v>
      </c>
      <c r="K19" s="120">
        <f t="shared" ref="K19:M19" si="2">K18*K12*0.5</f>
        <v>0</v>
      </c>
      <c r="L19" s="120">
        <f>L18*L12</f>
        <v>0</v>
      </c>
      <c r="M19" s="120">
        <f t="shared" si="2"/>
        <v>0</v>
      </c>
      <c r="N19" s="34">
        <f>B19+C19+J19+M19</f>
        <v>0</v>
      </c>
    </row>
    <row r="20" spans="1:14" x14ac:dyDescent="0.35">
      <c r="A20" s="18" t="s">
        <v>402</v>
      </c>
      <c r="B20" s="120"/>
      <c r="C20" s="120">
        <f>C18-C19</f>
        <v>0</v>
      </c>
      <c r="D20" s="120">
        <f t="shared" ref="D20:M20" si="3">D18-D19</f>
        <v>0</v>
      </c>
      <c r="E20" s="120">
        <f t="shared" si="3"/>
        <v>0</v>
      </c>
      <c r="F20" s="120">
        <f t="shared" si="3"/>
        <v>0</v>
      </c>
      <c r="G20" s="120">
        <f t="shared" si="3"/>
        <v>0</v>
      </c>
      <c r="H20" s="120">
        <f t="shared" si="3"/>
        <v>0</v>
      </c>
      <c r="I20" s="120">
        <f t="shared" si="3"/>
        <v>0</v>
      </c>
      <c r="J20" s="120">
        <f t="shared" si="3"/>
        <v>0</v>
      </c>
      <c r="K20" s="120">
        <f t="shared" si="3"/>
        <v>0</v>
      </c>
      <c r="L20" s="120">
        <f t="shared" si="3"/>
        <v>0</v>
      </c>
      <c r="M20" s="120">
        <f t="shared" si="3"/>
        <v>0</v>
      </c>
      <c r="N20" s="34">
        <f>B20+C20+J20+M20</f>
        <v>0</v>
      </c>
    </row>
    <row r="21" spans="1:14" x14ac:dyDescent="0.35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27"/>
      <c r="N21" s="34"/>
    </row>
    <row r="22" spans="1:14" x14ac:dyDescent="0.35">
      <c r="A22" s="125">
        <f>'Working for PL &amp; BS'!E46</f>
        <v>0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27"/>
      <c r="N22" s="34"/>
    </row>
    <row r="23" spans="1:14" x14ac:dyDescent="0.35">
      <c r="A23" s="18" t="s">
        <v>401</v>
      </c>
      <c r="B23" s="120"/>
      <c r="C23" s="120">
        <f>C20</f>
        <v>0</v>
      </c>
      <c r="D23" s="120">
        <f t="shared" ref="D23:M23" si="4">D20</f>
        <v>0</v>
      </c>
      <c r="E23" s="120">
        <f t="shared" si="4"/>
        <v>0</v>
      </c>
      <c r="F23" s="120">
        <f t="shared" si="4"/>
        <v>0</v>
      </c>
      <c r="G23" s="120">
        <f t="shared" si="4"/>
        <v>0</v>
      </c>
      <c r="H23" s="120">
        <f t="shared" si="4"/>
        <v>0</v>
      </c>
      <c r="I23" s="120">
        <f t="shared" si="4"/>
        <v>0</v>
      </c>
      <c r="J23" s="120">
        <f t="shared" si="4"/>
        <v>0</v>
      </c>
      <c r="K23" s="120">
        <f t="shared" si="4"/>
        <v>0</v>
      </c>
      <c r="L23" s="120">
        <f t="shared" si="4"/>
        <v>0</v>
      </c>
      <c r="M23" s="120">
        <f t="shared" si="4"/>
        <v>0</v>
      </c>
      <c r="N23" s="34">
        <f>B23+C23+J23+M23</f>
        <v>0</v>
      </c>
    </row>
    <row r="24" spans="1:14" x14ac:dyDescent="0.35">
      <c r="A24" s="18" t="s">
        <v>149</v>
      </c>
      <c r="B24" s="120"/>
      <c r="C24" s="120">
        <v>0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34">
        <f>B24+C24+J24+M24</f>
        <v>0</v>
      </c>
    </row>
    <row r="25" spans="1:14" x14ac:dyDescent="0.35">
      <c r="A25" s="18" t="s">
        <v>148</v>
      </c>
      <c r="B25" s="120"/>
      <c r="C25" s="120">
        <f>C23+C24</f>
        <v>0</v>
      </c>
      <c r="D25" s="120">
        <f t="shared" ref="D25:M25" si="5">D23+D24</f>
        <v>0</v>
      </c>
      <c r="E25" s="120">
        <f t="shared" si="5"/>
        <v>0</v>
      </c>
      <c r="F25" s="120">
        <f t="shared" si="5"/>
        <v>0</v>
      </c>
      <c r="G25" s="120">
        <f t="shared" si="5"/>
        <v>0</v>
      </c>
      <c r="H25" s="120">
        <f t="shared" si="5"/>
        <v>0</v>
      </c>
      <c r="I25" s="120">
        <f t="shared" si="5"/>
        <v>0</v>
      </c>
      <c r="J25" s="120">
        <f t="shared" si="5"/>
        <v>0</v>
      </c>
      <c r="K25" s="120">
        <f t="shared" si="5"/>
        <v>0</v>
      </c>
      <c r="L25" s="120">
        <f t="shared" si="5"/>
        <v>0</v>
      </c>
      <c r="M25" s="120">
        <f t="shared" si="5"/>
        <v>0</v>
      </c>
      <c r="N25" s="34">
        <f>B25+C25+J25+M25</f>
        <v>0</v>
      </c>
    </row>
    <row r="26" spans="1:14" x14ac:dyDescent="0.35">
      <c r="A26" s="18" t="s">
        <v>33</v>
      </c>
      <c r="B26" s="120"/>
      <c r="C26" s="120">
        <f>C25*C12</f>
        <v>0</v>
      </c>
      <c r="D26" s="120">
        <f t="shared" ref="D26:M26" si="6">D25*D12</f>
        <v>0</v>
      </c>
      <c r="E26" s="120">
        <f t="shared" si="6"/>
        <v>0</v>
      </c>
      <c r="F26" s="120">
        <f t="shared" si="6"/>
        <v>0</v>
      </c>
      <c r="G26" s="120">
        <f t="shared" si="6"/>
        <v>0</v>
      </c>
      <c r="H26" s="120">
        <f t="shared" si="6"/>
        <v>0</v>
      </c>
      <c r="I26" s="120">
        <f t="shared" si="6"/>
        <v>0</v>
      </c>
      <c r="J26" s="120">
        <f t="shared" si="6"/>
        <v>0</v>
      </c>
      <c r="K26" s="120">
        <f t="shared" si="6"/>
        <v>0</v>
      </c>
      <c r="L26" s="120">
        <f t="shared" si="6"/>
        <v>0</v>
      </c>
      <c r="M26" s="120">
        <f t="shared" si="6"/>
        <v>0</v>
      </c>
      <c r="N26" s="34">
        <f>B26+C26+J26+M26</f>
        <v>0</v>
      </c>
    </row>
    <row r="27" spans="1:14" x14ac:dyDescent="0.35">
      <c r="A27" s="18" t="s">
        <v>402</v>
      </c>
      <c r="B27" s="120"/>
      <c r="C27" s="120">
        <f>C25-C26</f>
        <v>0</v>
      </c>
      <c r="D27" s="120">
        <f t="shared" ref="D27:M27" si="7">D25-D26</f>
        <v>0</v>
      </c>
      <c r="E27" s="120">
        <f t="shared" si="7"/>
        <v>0</v>
      </c>
      <c r="F27" s="120">
        <f t="shared" si="7"/>
        <v>0</v>
      </c>
      <c r="G27" s="120">
        <f t="shared" si="7"/>
        <v>0</v>
      </c>
      <c r="H27" s="120">
        <f t="shared" si="7"/>
        <v>0</v>
      </c>
      <c r="I27" s="120">
        <f t="shared" si="7"/>
        <v>0</v>
      </c>
      <c r="J27" s="120">
        <f t="shared" si="7"/>
        <v>0</v>
      </c>
      <c r="K27" s="120">
        <f t="shared" si="7"/>
        <v>0</v>
      </c>
      <c r="L27" s="120">
        <f t="shared" si="7"/>
        <v>0</v>
      </c>
      <c r="M27" s="120">
        <f t="shared" si="7"/>
        <v>0</v>
      </c>
      <c r="N27" s="34">
        <f>B27+C27+J27+M27</f>
        <v>0</v>
      </c>
    </row>
    <row r="28" spans="1:14" x14ac:dyDescent="0.35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34"/>
    </row>
    <row r="29" spans="1:14" x14ac:dyDescent="0.35">
      <c r="A29" s="125">
        <f>'Working for PL &amp; BS'!F46</f>
        <v>0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34"/>
    </row>
    <row r="30" spans="1:14" x14ac:dyDescent="0.35">
      <c r="A30" s="18" t="s">
        <v>401</v>
      </c>
      <c r="B30" s="120"/>
      <c r="C30" s="120">
        <f>C27</f>
        <v>0</v>
      </c>
      <c r="D30" s="120">
        <f t="shared" ref="D30:M30" si="8">D27</f>
        <v>0</v>
      </c>
      <c r="E30" s="120">
        <f t="shared" si="8"/>
        <v>0</v>
      </c>
      <c r="F30" s="120">
        <f t="shared" si="8"/>
        <v>0</v>
      </c>
      <c r="G30" s="120">
        <f t="shared" si="8"/>
        <v>0</v>
      </c>
      <c r="H30" s="120">
        <f t="shared" si="8"/>
        <v>0</v>
      </c>
      <c r="I30" s="120">
        <f t="shared" si="8"/>
        <v>0</v>
      </c>
      <c r="J30" s="120">
        <f t="shared" si="8"/>
        <v>0</v>
      </c>
      <c r="K30" s="120">
        <f t="shared" si="8"/>
        <v>0</v>
      </c>
      <c r="L30" s="120">
        <f t="shared" si="8"/>
        <v>0</v>
      </c>
      <c r="M30" s="120">
        <f t="shared" si="8"/>
        <v>0</v>
      </c>
      <c r="N30" s="34">
        <f>B30+C30+J30+M30</f>
        <v>0</v>
      </c>
    </row>
    <row r="31" spans="1:14" x14ac:dyDescent="0.35">
      <c r="A31" s="18" t="s">
        <v>149</v>
      </c>
      <c r="B31" s="120"/>
      <c r="C31" s="120">
        <v>0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L31" s="120">
        <v>0</v>
      </c>
      <c r="M31" s="120">
        <v>0</v>
      </c>
      <c r="N31" s="34">
        <f>B31+C31+J31+M31</f>
        <v>0</v>
      </c>
    </row>
    <row r="32" spans="1:14" x14ac:dyDescent="0.35">
      <c r="A32" s="18" t="s">
        <v>148</v>
      </c>
      <c r="B32" s="120"/>
      <c r="C32" s="120">
        <f>C30+C31</f>
        <v>0</v>
      </c>
      <c r="D32" s="120">
        <f t="shared" ref="D32:M32" si="9">D30+D31</f>
        <v>0</v>
      </c>
      <c r="E32" s="120">
        <f t="shared" si="9"/>
        <v>0</v>
      </c>
      <c r="F32" s="120">
        <f t="shared" si="9"/>
        <v>0</v>
      </c>
      <c r="G32" s="120">
        <f t="shared" si="9"/>
        <v>0</v>
      </c>
      <c r="H32" s="120">
        <f t="shared" si="9"/>
        <v>0</v>
      </c>
      <c r="I32" s="120">
        <f t="shared" si="9"/>
        <v>0</v>
      </c>
      <c r="J32" s="120">
        <f t="shared" si="9"/>
        <v>0</v>
      </c>
      <c r="K32" s="120">
        <f t="shared" si="9"/>
        <v>0</v>
      </c>
      <c r="L32" s="120">
        <f t="shared" si="9"/>
        <v>0</v>
      </c>
      <c r="M32" s="120">
        <f t="shared" si="9"/>
        <v>0</v>
      </c>
      <c r="N32" s="34">
        <f>B32+C32+J32+M32</f>
        <v>0</v>
      </c>
    </row>
    <row r="33" spans="1:14" x14ac:dyDescent="0.35">
      <c r="A33" s="18" t="s">
        <v>33</v>
      </c>
      <c r="B33" s="120"/>
      <c r="C33" s="120">
        <f>C32*C12</f>
        <v>0</v>
      </c>
      <c r="D33" s="120">
        <f t="shared" ref="D33:M33" si="10">D32*D12</f>
        <v>0</v>
      </c>
      <c r="E33" s="120">
        <f t="shared" si="10"/>
        <v>0</v>
      </c>
      <c r="F33" s="120">
        <f t="shared" si="10"/>
        <v>0</v>
      </c>
      <c r="G33" s="120">
        <f t="shared" si="10"/>
        <v>0</v>
      </c>
      <c r="H33" s="120">
        <f t="shared" si="10"/>
        <v>0</v>
      </c>
      <c r="I33" s="120">
        <f t="shared" si="10"/>
        <v>0</v>
      </c>
      <c r="J33" s="120">
        <f t="shared" si="10"/>
        <v>0</v>
      </c>
      <c r="K33" s="120">
        <f t="shared" si="10"/>
        <v>0</v>
      </c>
      <c r="L33" s="120">
        <f t="shared" si="10"/>
        <v>0</v>
      </c>
      <c r="M33" s="120">
        <f t="shared" si="10"/>
        <v>0</v>
      </c>
      <c r="N33" s="34">
        <f>B33+C33+J33+M33</f>
        <v>0</v>
      </c>
    </row>
    <row r="34" spans="1:14" x14ac:dyDescent="0.35">
      <c r="A34" s="18" t="s">
        <v>402</v>
      </c>
      <c r="B34" s="120"/>
      <c r="C34" s="120">
        <f>C32-C33</f>
        <v>0</v>
      </c>
      <c r="D34" s="120">
        <f t="shared" ref="D34:M34" si="11">D32-D33</f>
        <v>0</v>
      </c>
      <c r="E34" s="120">
        <f t="shared" si="11"/>
        <v>0</v>
      </c>
      <c r="F34" s="120">
        <f t="shared" si="11"/>
        <v>0</v>
      </c>
      <c r="G34" s="120">
        <f t="shared" si="11"/>
        <v>0</v>
      </c>
      <c r="H34" s="120">
        <f t="shared" si="11"/>
        <v>0</v>
      </c>
      <c r="I34" s="120">
        <f t="shared" si="11"/>
        <v>0</v>
      </c>
      <c r="J34" s="120">
        <f t="shared" si="11"/>
        <v>0</v>
      </c>
      <c r="K34" s="120">
        <f t="shared" si="11"/>
        <v>0</v>
      </c>
      <c r="L34" s="120">
        <f t="shared" si="11"/>
        <v>0</v>
      </c>
      <c r="M34" s="120">
        <f t="shared" si="11"/>
        <v>0</v>
      </c>
      <c r="N34" s="34">
        <f>B34+C34+J34+M34</f>
        <v>0</v>
      </c>
    </row>
    <row r="35" spans="1:14" x14ac:dyDescent="0.35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 x14ac:dyDescent="0.35">
      <c r="A36" s="125">
        <f>Assumptions.1!I22</f>
        <v>0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34"/>
    </row>
    <row r="37" spans="1:14" x14ac:dyDescent="0.35">
      <c r="A37" s="18" t="s">
        <v>401</v>
      </c>
      <c r="B37" s="120"/>
      <c r="C37" s="120">
        <f>C34</f>
        <v>0</v>
      </c>
      <c r="D37" s="120">
        <f t="shared" ref="D37:M37" si="12">D34</f>
        <v>0</v>
      </c>
      <c r="E37" s="120">
        <f t="shared" si="12"/>
        <v>0</v>
      </c>
      <c r="F37" s="120">
        <f t="shared" si="12"/>
        <v>0</v>
      </c>
      <c r="G37" s="120">
        <f t="shared" si="12"/>
        <v>0</v>
      </c>
      <c r="H37" s="120">
        <f t="shared" si="12"/>
        <v>0</v>
      </c>
      <c r="I37" s="120">
        <f t="shared" si="12"/>
        <v>0</v>
      </c>
      <c r="J37" s="120">
        <f t="shared" si="12"/>
        <v>0</v>
      </c>
      <c r="K37" s="120">
        <f t="shared" si="12"/>
        <v>0</v>
      </c>
      <c r="L37" s="120">
        <f t="shared" si="12"/>
        <v>0</v>
      </c>
      <c r="M37" s="120">
        <f t="shared" si="12"/>
        <v>0</v>
      </c>
      <c r="N37" s="34">
        <f>B37+C37+J37+M37</f>
        <v>0</v>
      </c>
    </row>
    <row r="38" spans="1:14" x14ac:dyDescent="0.35">
      <c r="A38" s="18" t="s">
        <v>149</v>
      </c>
      <c r="B38" s="120"/>
      <c r="C38" s="120">
        <v>0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L38" s="120">
        <v>0</v>
      </c>
      <c r="M38" s="120">
        <v>0</v>
      </c>
      <c r="N38" s="34">
        <f>B38+C38+J38+M38</f>
        <v>0</v>
      </c>
    </row>
    <row r="39" spans="1:14" x14ac:dyDescent="0.35">
      <c r="A39" s="18" t="s">
        <v>148</v>
      </c>
      <c r="B39" s="120"/>
      <c r="C39" s="120">
        <f>C37+C38</f>
        <v>0</v>
      </c>
      <c r="D39" s="120">
        <f t="shared" ref="D39:M39" si="13">D37+D38</f>
        <v>0</v>
      </c>
      <c r="E39" s="120">
        <f t="shared" si="13"/>
        <v>0</v>
      </c>
      <c r="F39" s="120">
        <f t="shared" si="13"/>
        <v>0</v>
      </c>
      <c r="G39" s="120">
        <f t="shared" si="13"/>
        <v>0</v>
      </c>
      <c r="H39" s="120">
        <f t="shared" si="13"/>
        <v>0</v>
      </c>
      <c r="I39" s="120">
        <f t="shared" si="13"/>
        <v>0</v>
      </c>
      <c r="J39" s="120">
        <f t="shared" si="13"/>
        <v>0</v>
      </c>
      <c r="K39" s="120">
        <f t="shared" si="13"/>
        <v>0</v>
      </c>
      <c r="L39" s="120">
        <f t="shared" si="13"/>
        <v>0</v>
      </c>
      <c r="M39" s="120">
        <f t="shared" si="13"/>
        <v>0</v>
      </c>
      <c r="N39" s="34">
        <f>B39+C39+J39+M39</f>
        <v>0</v>
      </c>
    </row>
    <row r="40" spans="1:14" x14ac:dyDescent="0.35">
      <c r="A40" s="18" t="s">
        <v>33</v>
      </c>
      <c r="B40" s="120"/>
      <c r="C40" s="120">
        <f>C39*C12</f>
        <v>0</v>
      </c>
      <c r="D40" s="120">
        <f t="shared" ref="D40:M40" si="14">D39*D12</f>
        <v>0</v>
      </c>
      <c r="E40" s="120">
        <f t="shared" si="14"/>
        <v>0</v>
      </c>
      <c r="F40" s="120">
        <f t="shared" si="14"/>
        <v>0</v>
      </c>
      <c r="G40" s="120">
        <f t="shared" si="14"/>
        <v>0</v>
      </c>
      <c r="H40" s="120">
        <f t="shared" si="14"/>
        <v>0</v>
      </c>
      <c r="I40" s="120">
        <f t="shared" si="14"/>
        <v>0</v>
      </c>
      <c r="J40" s="120">
        <f t="shared" si="14"/>
        <v>0</v>
      </c>
      <c r="K40" s="120">
        <f t="shared" si="14"/>
        <v>0</v>
      </c>
      <c r="L40" s="120">
        <f t="shared" si="14"/>
        <v>0</v>
      </c>
      <c r="M40" s="120">
        <f t="shared" si="14"/>
        <v>0</v>
      </c>
      <c r="N40" s="34">
        <f>B40+C40+J40+M40</f>
        <v>0</v>
      </c>
    </row>
    <row r="41" spans="1:14" x14ac:dyDescent="0.35">
      <c r="A41" s="18" t="s">
        <v>402</v>
      </c>
      <c r="B41" s="120"/>
      <c r="C41" s="120">
        <f>C39-C40</f>
        <v>0</v>
      </c>
      <c r="D41" s="120">
        <f t="shared" ref="D41:M41" si="15">D39-D40</f>
        <v>0</v>
      </c>
      <c r="E41" s="120">
        <f t="shared" si="15"/>
        <v>0</v>
      </c>
      <c r="F41" s="120">
        <f t="shared" si="15"/>
        <v>0</v>
      </c>
      <c r="G41" s="120">
        <f t="shared" si="15"/>
        <v>0</v>
      </c>
      <c r="H41" s="120">
        <f t="shared" si="15"/>
        <v>0</v>
      </c>
      <c r="I41" s="120">
        <f t="shared" si="15"/>
        <v>0</v>
      </c>
      <c r="J41" s="120">
        <f t="shared" si="15"/>
        <v>0</v>
      </c>
      <c r="K41" s="120">
        <f t="shared" si="15"/>
        <v>0</v>
      </c>
      <c r="L41" s="120">
        <f t="shared" si="15"/>
        <v>0</v>
      </c>
      <c r="M41" s="120">
        <f t="shared" si="15"/>
        <v>0</v>
      </c>
      <c r="N41" s="34">
        <f>B41+C41+J41+M41</f>
        <v>0</v>
      </c>
    </row>
    <row r="42" spans="1:14" x14ac:dyDescent="0.35"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34"/>
    </row>
    <row r="43" spans="1:14" x14ac:dyDescent="0.35">
      <c r="A43" s="125">
        <f>Assumptions.1!I23</f>
        <v>0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34"/>
    </row>
    <row r="44" spans="1:14" x14ac:dyDescent="0.35">
      <c r="A44" s="18" t="s">
        <v>401</v>
      </c>
      <c r="B44" s="120"/>
      <c r="C44" s="120">
        <f>C41</f>
        <v>0</v>
      </c>
      <c r="D44" s="120">
        <f t="shared" ref="D44:M44" si="16">D41</f>
        <v>0</v>
      </c>
      <c r="E44" s="120">
        <f t="shared" si="16"/>
        <v>0</v>
      </c>
      <c r="F44" s="120">
        <f t="shared" si="16"/>
        <v>0</v>
      </c>
      <c r="G44" s="120">
        <f t="shared" si="16"/>
        <v>0</v>
      </c>
      <c r="H44" s="120">
        <f t="shared" si="16"/>
        <v>0</v>
      </c>
      <c r="I44" s="120">
        <f t="shared" si="16"/>
        <v>0</v>
      </c>
      <c r="J44" s="120">
        <f t="shared" si="16"/>
        <v>0</v>
      </c>
      <c r="K44" s="120">
        <f t="shared" si="16"/>
        <v>0</v>
      </c>
      <c r="L44" s="120">
        <f t="shared" si="16"/>
        <v>0</v>
      </c>
      <c r="M44" s="120">
        <f t="shared" si="16"/>
        <v>0</v>
      </c>
      <c r="N44" s="34">
        <f>B44+C44+J44+M44</f>
        <v>0</v>
      </c>
    </row>
    <row r="45" spans="1:14" x14ac:dyDescent="0.35">
      <c r="A45" s="18" t="s">
        <v>149</v>
      </c>
      <c r="B45" s="120"/>
      <c r="C45" s="120">
        <v>0</v>
      </c>
      <c r="D45" s="120">
        <v>0</v>
      </c>
      <c r="E45" s="120"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L45" s="120">
        <v>0</v>
      </c>
      <c r="M45" s="120">
        <v>0</v>
      </c>
      <c r="N45" s="34">
        <f>B45+C45+J45+M45</f>
        <v>0</v>
      </c>
    </row>
    <row r="46" spans="1:14" x14ac:dyDescent="0.35">
      <c r="A46" s="18" t="s">
        <v>148</v>
      </c>
      <c r="B46" s="120"/>
      <c r="C46" s="120">
        <f>C44+C45</f>
        <v>0</v>
      </c>
      <c r="D46" s="120">
        <f t="shared" ref="D46:M46" si="17">D44+D45</f>
        <v>0</v>
      </c>
      <c r="E46" s="120">
        <f t="shared" si="17"/>
        <v>0</v>
      </c>
      <c r="F46" s="120">
        <f t="shared" si="17"/>
        <v>0</v>
      </c>
      <c r="G46" s="120">
        <f t="shared" si="17"/>
        <v>0</v>
      </c>
      <c r="H46" s="120">
        <f t="shared" si="17"/>
        <v>0</v>
      </c>
      <c r="I46" s="120">
        <f t="shared" si="17"/>
        <v>0</v>
      </c>
      <c r="J46" s="120">
        <f t="shared" si="17"/>
        <v>0</v>
      </c>
      <c r="K46" s="120">
        <f t="shared" si="17"/>
        <v>0</v>
      </c>
      <c r="L46" s="120">
        <f t="shared" si="17"/>
        <v>0</v>
      </c>
      <c r="M46" s="120">
        <f t="shared" si="17"/>
        <v>0</v>
      </c>
      <c r="N46" s="34">
        <f>B46+C46+J46+M46</f>
        <v>0</v>
      </c>
    </row>
    <row r="47" spans="1:14" x14ac:dyDescent="0.35">
      <c r="A47" s="18" t="s">
        <v>33</v>
      </c>
      <c r="B47" s="120"/>
      <c r="C47" s="120">
        <f>C46*C12</f>
        <v>0</v>
      </c>
      <c r="D47" s="120">
        <f t="shared" ref="D47:M47" si="18">D46*D12</f>
        <v>0</v>
      </c>
      <c r="E47" s="120">
        <f t="shared" si="18"/>
        <v>0</v>
      </c>
      <c r="F47" s="120">
        <f t="shared" si="18"/>
        <v>0</v>
      </c>
      <c r="G47" s="120">
        <f t="shared" si="18"/>
        <v>0</v>
      </c>
      <c r="H47" s="120">
        <f t="shared" si="18"/>
        <v>0</v>
      </c>
      <c r="I47" s="120">
        <f t="shared" si="18"/>
        <v>0</v>
      </c>
      <c r="J47" s="120">
        <f t="shared" si="18"/>
        <v>0</v>
      </c>
      <c r="K47" s="120">
        <f t="shared" si="18"/>
        <v>0</v>
      </c>
      <c r="L47" s="120">
        <f t="shared" si="18"/>
        <v>0</v>
      </c>
      <c r="M47" s="120">
        <f t="shared" si="18"/>
        <v>0</v>
      </c>
      <c r="N47" s="34">
        <f>B47+C47+J47+M47</f>
        <v>0</v>
      </c>
    </row>
    <row r="48" spans="1:14" x14ac:dyDescent="0.35">
      <c r="A48" s="18" t="s">
        <v>402</v>
      </c>
      <c r="B48" s="120"/>
      <c r="C48" s="120">
        <f>C46-C47</f>
        <v>0</v>
      </c>
      <c r="D48" s="120">
        <f t="shared" ref="D48:M48" si="19">D46-D47</f>
        <v>0</v>
      </c>
      <c r="E48" s="120">
        <f t="shared" si="19"/>
        <v>0</v>
      </c>
      <c r="F48" s="120">
        <f t="shared" si="19"/>
        <v>0</v>
      </c>
      <c r="G48" s="120">
        <f t="shared" si="19"/>
        <v>0</v>
      </c>
      <c r="H48" s="120">
        <f t="shared" si="19"/>
        <v>0</v>
      </c>
      <c r="I48" s="120">
        <f t="shared" si="19"/>
        <v>0</v>
      </c>
      <c r="J48" s="120">
        <f t="shared" si="19"/>
        <v>0</v>
      </c>
      <c r="K48" s="120">
        <f t="shared" si="19"/>
        <v>0</v>
      </c>
      <c r="L48" s="120">
        <f t="shared" si="19"/>
        <v>0</v>
      </c>
      <c r="M48" s="120">
        <f t="shared" si="19"/>
        <v>0</v>
      </c>
      <c r="N48" s="34">
        <f>B48+C48+J48+M48</f>
        <v>0</v>
      </c>
    </row>
    <row r="49" spans="1:14" x14ac:dyDescent="0.35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34"/>
    </row>
    <row r="50" spans="1:14" x14ac:dyDescent="0.35">
      <c r="A50" s="125">
        <f>Assumptions.1!I24</f>
        <v>0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34"/>
    </row>
    <row r="51" spans="1:14" x14ac:dyDescent="0.35">
      <c r="A51" s="18" t="s">
        <v>401</v>
      </c>
      <c r="B51" s="120"/>
      <c r="C51" s="120">
        <f>C48</f>
        <v>0</v>
      </c>
      <c r="D51" s="120">
        <f t="shared" ref="D51:M51" si="20">D48</f>
        <v>0</v>
      </c>
      <c r="E51" s="120">
        <f t="shared" si="20"/>
        <v>0</v>
      </c>
      <c r="F51" s="120">
        <f t="shared" si="20"/>
        <v>0</v>
      </c>
      <c r="G51" s="120">
        <f t="shared" si="20"/>
        <v>0</v>
      </c>
      <c r="H51" s="120">
        <f t="shared" si="20"/>
        <v>0</v>
      </c>
      <c r="I51" s="120">
        <f t="shared" si="20"/>
        <v>0</v>
      </c>
      <c r="J51" s="120">
        <f t="shared" si="20"/>
        <v>0</v>
      </c>
      <c r="K51" s="120">
        <f t="shared" si="20"/>
        <v>0</v>
      </c>
      <c r="L51" s="120">
        <f t="shared" si="20"/>
        <v>0</v>
      </c>
      <c r="M51" s="120">
        <f t="shared" si="20"/>
        <v>0</v>
      </c>
      <c r="N51" s="34">
        <f>B51+C51+J51+M51</f>
        <v>0</v>
      </c>
    </row>
    <row r="52" spans="1:14" x14ac:dyDescent="0.35">
      <c r="A52" s="18" t="s">
        <v>149</v>
      </c>
      <c r="B52" s="120"/>
      <c r="C52" s="120">
        <v>0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L52" s="120">
        <v>0</v>
      </c>
      <c r="M52" s="120">
        <v>0</v>
      </c>
      <c r="N52" s="34">
        <f>B52+C52+J52+M52</f>
        <v>0</v>
      </c>
    </row>
    <row r="53" spans="1:14" x14ac:dyDescent="0.35">
      <c r="A53" s="18" t="s">
        <v>148</v>
      </c>
      <c r="B53" s="120"/>
      <c r="C53" s="120">
        <f>C51+C52</f>
        <v>0</v>
      </c>
      <c r="D53" s="120">
        <f t="shared" ref="D53:M53" si="21">D51+D52</f>
        <v>0</v>
      </c>
      <c r="E53" s="120">
        <f t="shared" si="21"/>
        <v>0</v>
      </c>
      <c r="F53" s="120">
        <f t="shared" si="21"/>
        <v>0</v>
      </c>
      <c r="G53" s="120">
        <f t="shared" si="21"/>
        <v>0</v>
      </c>
      <c r="H53" s="120">
        <f t="shared" si="21"/>
        <v>0</v>
      </c>
      <c r="I53" s="120">
        <f t="shared" si="21"/>
        <v>0</v>
      </c>
      <c r="J53" s="120">
        <f t="shared" si="21"/>
        <v>0</v>
      </c>
      <c r="K53" s="120">
        <f t="shared" si="21"/>
        <v>0</v>
      </c>
      <c r="L53" s="120">
        <f t="shared" si="21"/>
        <v>0</v>
      </c>
      <c r="M53" s="120">
        <f t="shared" si="21"/>
        <v>0</v>
      </c>
      <c r="N53" s="34">
        <f>B53+C53+J53+M53</f>
        <v>0</v>
      </c>
    </row>
    <row r="54" spans="1:14" x14ac:dyDescent="0.35">
      <c r="A54" s="18" t="s">
        <v>33</v>
      </c>
      <c r="B54" s="120"/>
      <c r="C54" s="120">
        <f>C53*C12</f>
        <v>0</v>
      </c>
      <c r="D54" s="120">
        <f t="shared" ref="D54:M54" si="22">D53*D12</f>
        <v>0</v>
      </c>
      <c r="E54" s="120">
        <f t="shared" si="22"/>
        <v>0</v>
      </c>
      <c r="F54" s="120">
        <f t="shared" si="22"/>
        <v>0</v>
      </c>
      <c r="G54" s="120">
        <f t="shared" si="22"/>
        <v>0</v>
      </c>
      <c r="H54" s="120">
        <f t="shared" si="22"/>
        <v>0</v>
      </c>
      <c r="I54" s="120">
        <f t="shared" si="22"/>
        <v>0</v>
      </c>
      <c r="J54" s="120">
        <f t="shared" si="22"/>
        <v>0</v>
      </c>
      <c r="K54" s="120">
        <f t="shared" si="22"/>
        <v>0</v>
      </c>
      <c r="L54" s="120">
        <f t="shared" si="22"/>
        <v>0</v>
      </c>
      <c r="M54" s="120">
        <f t="shared" si="22"/>
        <v>0</v>
      </c>
      <c r="N54" s="34">
        <f>B54+C54+J54+M54</f>
        <v>0</v>
      </c>
    </row>
    <row r="55" spans="1:14" x14ac:dyDescent="0.35">
      <c r="A55" s="18" t="s">
        <v>402</v>
      </c>
      <c r="B55" s="120"/>
      <c r="C55" s="120">
        <f>C53-C54</f>
        <v>0</v>
      </c>
      <c r="D55" s="120">
        <f t="shared" ref="D55:M55" si="23">D53-D54</f>
        <v>0</v>
      </c>
      <c r="E55" s="120">
        <f t="shared" si="23"/>
        <v>0</v>
      </c>
      <c r="F55" s="120">
        <f t="shared" si="23"/>
        <v>0</v>
      </c>
      <c r="G55" s="120">
        <f t="shared" si="23"/>
        <v>0</v>
      </c>
      <c r="H55" s="120">
        <f t="shared" si="23"/>
        <v>0</v>
      </c>
      <c r="I55" s="120">
        <f t="shared" si="23"/>
        <v>0</v>
      </c>
      <c r="J55" s="120">
        <f t="shared" si="23"/>
        <v>0</v>
      </c>
      <c r="K55" s="120">
        <f t="shared" si="23"/>
        <v>0</v>
      </c>
      <c r="L55" s="120">
        <f t="shared" si="23"/>
        <v>0</v>
      </c>
      <c r="M55" s="120">
        <f t="shared" si="23"/>
        <v>0</v>
      </c>
      <c r="N55" s="34">
        <f>B55+C55+J55+M55</f>
        <v>0</v>
      </c>
    </row>
    <row r="56" spans="1:14" ht="15" thickBot="1" x14ac:dyDescent="0.4">
      <c r="A56" s="2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</row>
    <row r="57" spans="1:14" x14ac:dyDescent="0.35">
      <c r="A57" s="32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34"/>
      <c r="N57" s="34"/>
    </row>
    <row r="58" spans="1:14" x14ac:dyDescent="0.35"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34"/>
    </row>
    <row r="59" spans="1:14" x14ac:dyDescent="0.35"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34"/>
    </row>
    <row r="60" spans="1:14" x14ac:dyDescent="0.35"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34"/>
    </row>
    <row r="61" spans="1:14" x14ac:dyDescent="0.35"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34"/>
    </row>
    <row r="62" spans="1:14" x14ac:dyDescent="0.35"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34"/>
    </row>
    <row r="63" spans="1:14" x14ac:dyDescent="0.35"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N63" s="34"/>
    </row>
    <row r="64" spans="1:14" x14ac:dyDescent="0.35">
      <c r="A64" s="32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34"/>
      <c r="N64" s="34"/>
    </row>
    <row r="65" spans="1:14" x14ac:dyDescent="0.35"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34"/>
    </row>
    <row r="66" spans="1:14" x14ac:dyDescent="0.35"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34"/>
    </row>
    <row r="67" spans="1:14" x14ac:dyDescent="0.35"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34"/>
    </row>
    <row r="68" spans="1:14" x14ac:dyDescent="0.35"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34"/>
    </row>
    <row r="69" spans="1:14" x14ac:dyDescent="0.35"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34"/>
    </row>
    <row r="70" spans="1:14" x14ac:dyDescent="0.35"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N70" s="34"/>
    </row>
    <row r="71" spans="1:14" x14ac:dyDescent="0.35">
      <c r="A71" s="32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34"/>
      <c r="N71" s="34"/>
    </row>
    <row r="72" spans="1:14" x14ac:dyDescent="0.35"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34"/>
    </row>
    <row r="73" spans="1:14" x14ac:dyDescent="0.35"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34"/>
    </row>
    <row r="74" spans="1:14" x14ac:dyDescent="0.35"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34"/>
    </row>
    <row r="75" spans="1:14" x14ac:dyDescent="0.35"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34"/>
    </row>
    <row r="76" spans="1:14" x14ac:dyDescent="0.35"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34"/>
    </row>
    <row r="77" spans="1:14" x14ac:dyDescent="0.35"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N77" s="34"/>
    </row>
    <row r="78" spans="1:14" x14ac:dyDescent="0.35">
      <c r="A78" s="32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34"/>
      <c r="N78" s="34"/>
    </row>
    <row r="79" spans="1:14" x14ac:dyDescent="0.35"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34"/>
    </row>
    <row r="80" spans="1:14" x14ac:dyDescent="0.35"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34"/>
    </row>
    <row r="81" spans="1:14" x14ac:dyDescent="0.35"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34"/>
    </row>
    <row r="82" spans="1:14" x14ac:dyDescent="0.35"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34"/>
    </row>
    <row r="83" spans="1:14" x14ac:dyDescent="0.35"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34"/>
    </row>
    <row r="84" spans="1:14" x14ac:dyDescent="0.35"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N84" s="34"/>
    </row>
    <row r="85" spans="1:14" x14ac:dyDescent="0.35">
      <c r="A85" s="32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34"/>
      <c r="N85" s="34"/>
    </row>
    <row r="86" spans="1:14" x14ac:dyDescent="0.35"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34"/>
    </row>
    <row r="87" spans="1:14" x14ac:dyDescent="0.35"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34"/>
    </row>
    <row r="88" spans="1:14" x14ac:dyDescent="0.35"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34"/>
    </row>
    <row r="89" spans="1:14" x14ac:dyDescent="0.35"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34"/>
    </row>
    <row r="90" spans="1:14" x14ac:dyDescent="0.35"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34"/>
    </row>
    <row r="91" spans="1:14" x14ac:dyDescent="0.35">
      <c r="C91" s="34"/>
      <c r="D91" s="34"/>
      <c r="E91" s="34"/>
      <c r="F91" s="34"/>
      <c r="G91" s="34"/>
      <c r="H91" s="34"/>
      <c r="I91" s="34"/>
      <c r="J91" s="34"/>
      <c r="K91" s="34"/>
      <c r="L91" s="34"/>
      <c r="N91" s="34"/>
    </row>
    <row r="92" spans="1:14" x14ac:dyDescent="0.35">
      <c r="C92" s="34"/>
      <c r="D92" s="34"/>
      <c r="E92" s="34"/>
      <c r="F92" s="34"/>
      <c r="G92" s="34"/>
      <c r="H92" s="34"/>
      <c r="I92" s="34"/>
      <c r="J92" s="34"/>
      <c r="K92" s="34"/>
      <c r="L92" s="34"/>
      <c r="N92" s="34"/>
    </row>
    <row r="93" spans="1:14" x14ac:dyDescent="0.35">
      <c r="C93" s="34"/>
      <c r="D93" s="34"/>
      <c r="E93" s="34"/>
      <c r="F93" s="34"/>
      <c r="G93" s="34"/>
      <c r="H93" s="34"/>
      <c r="I93" s="34"/>
      <c r="J93" s="34"/>
      <c r="K93" s="34"/>
      <c r="L93" s="34"/>
      <c r="N93" s="34"/>
    </row>
    <row r="94" spans="1:14" x14ac:dyDescent="0.35">
      <c r="C94" s="34"/>
      <c r="D94" s="34"/>
      <c r="E94" s="34"/>
      <c r="F94" s="34"/>
      <c r="G94" s="34"/>
      <c r="H94" s="34"/>
      <c r="I94" s="34"/>
      <c r="J94" s="34"/>
      <c r="K94" s="34"/>
      <c r="L94" s="34"/>
    </row>
  </sheetData>
  <mergeCells count="17">
    <mergeCell ref="M7:N7"/>
    <mergeCell ref="A1:N1"/>
    <mergeCell ref="A2:N2"/>
    <mergeCell ref="A3:N3"/>
    <mergeCell ref="A5:N5"/>
    <mergeCell ref="C9:C11"/>
    <mergeCell ref="B9:B10"/>
    <mergeCell ref="D9:D11"/>
    <mergeCell ref="E9:E10"/>
    <mergeCell ref="F9:F10"/>
    <mergeCell ref="L9:L10"/>
    <mergeCell ref="M9:M10"/>
    <mergeCell ref="G9:G10"/>
    <mergeCell ref="H9:H10"/>
    <mergeCell ref="I9:I10"/>
    <mergeCell ref="J9:J10"/>
    <mergeCell ref="K9:K10"/>
  </mergeCells>
  <pageMargins left="0.23622047244094491" right="0.19685039370078741" top="0.39370078740157483" bottom="0.39370078740157483" header="0.31496062992125984" footer="0.31496062992125984"/>
  <pageSetup scale="12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A191-24E2-478F-87D8-7C5A79616172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E251-B6A9-4026-929A-588E7E9247C7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6E89-D84E-4053-82C1-E5FD2B02A614}">
  <dimension ref="A1:L193"/>
  <sheetViews>
    <sheetView view="pageBreakPreview" zoomScale="60" zoomScaleNormal="100" workbookViewId="0">
      <selection activeCell="W35" sqref="W35"/>
    </sheetView>
  </sheetViews>
  <sheetFormatPr defaultColWidth="9.109375" defaultRowHeight="14.4" x14ac:dyDescent="0.35"/>
  <cols>
    <col min="1" max="1" width="1" style="18" customWidth="1"/>
    <col min="2" max="3" width="8.88671875" style="18" customWidth="1"/>
    <col min="4" max="4" width="14.88671875" style="18" customWidth="1"/>
    <col min="5" max="5" width="16.44140625" style="18" customWidth="1"/>
    <col min="6" max="6" width="14.109375" style="18" customWidth="1"/>
    <col min="7" max="7" width="16.5546875" style="18" customWidth="1"/>
    <col min="8" max="8" width="4.5546875" style="18" customWidth="1"/>
    <col min="9" max="9" width="0.6640625" style="18" customWidth="1"/>
    <col min="10" max="10" width="11.33203125" style="18" bestFit="1" customWidth="1"/>
    <col min="11" max="11" width="9.109375" style="18"/>
    <col min="12" max="12" width="11.88671875" style="18" customWidth="1"/>
    <col min="13" max="16384" width="9.109375" style="18"/>
  </cols>
  <sheetData>
    <row r="1" spans="1:12" x14ac:dyDescent="0.35">
      <c r="A1" s="493">
        <f>Assumptions.1!I3</f>
        <v>0</v>
      </c>
      <c r="B1" s="493"/>
      <c r="C1" s="493"/>
      <c r="D1" s="493"/>
      <c r="E1" s="493"/>
      <c r="F1" s="493"/>
      <c r="G1" s="493"/>
    </row>
    <row r="2" spans="1:12" x14ac:dyDescent="0.35">
      <c r="A2" s="493">
        <f>Assumptions.1!I5</f>
        <v>0</v>
      </c>
      <c r="B2" s="493"/>
      <c r="C2" s="493"/>
      <c r="D2" s="493"/>
      <c r="E2" s="493"/>
      <c r="F2" s="493"/>
      <c r="G2" s="493"/>
    </row>
    <row r="3" spans="1:12" x14ac:dyDescent="0.35">
      <c r="A3" s="493">
        <f>Assumptions.1!I6</f>
        <v>0</v>
      </c>
      <c r="B3" s="493"/>
      <c r="C3" s="493"/>
      <c r="D3" s="493"/>
      <c r="E3" s="493"/>
      <c r="F3" s="493"/>
      <c r="G3" s="493"/>
    </row>
    <row r="5" spans="1:12" x14ac:dyDescent="0.35">
      <c r="B5" s="477" t="s">
        <v>293</v>
      </c>
      <c r="C5" s="477"/>
      <c r="D5" s="477"/>
      <c r="E5" s="477"/>
      <c r="F5" s="477"/>
      <c r="G5" s="477"/>
    </row>
    <row r="6" spans="1:12" x14ac:dyDescent="0.35">
      <c r="B6" s="477"/>
      <c r="C6" s="477"/>
      <c r="D6" s="477"/>
      <c r="E6" s="477"/>
      <c r="F6" s="477"/>
      <c r="G6" s="477"/>
      <c r="H6" s="28"/>
      <c r="J6" s="497"/>
      <c r="K6" s="497"/>
      <c r="L6" s="497"/>
    </row>
    <row r="7" spans="1:12" ht="3.75" customHeight="1" x14ac:dyDescent="0.35"/>
    <row r="8" spans="1:12" ht="21.75" customHeight="1" x14ac:dyDescent="0.35">
      <c r="B8" s="498" t="s">
        <v>294</v>
      </c>
      <c r="C8" s="499"/>
      <c r="D8" s="500"/>
      <c r="E8" s="213">
        <f>Assumptions.1!I64*100000</f>
        <v>0</v>
      </c>
      <c r="G8" s="214"/>
      <c r="J8" s="501"/>
      <c r="K8" s="501"/>
      <c r="L8" s="501"/>
    </row>
    <row r="9" spans="1:12" ht="3.75" customHeight="1" x14ac:dyDescent="0.35">
      <c r="B9" s="255"/>
      <c r="C9" s="255"/>
      <c r="D9" s="255"/>
      <c r="E9" s="28"/>
      <c r="G9" s="28"/>
      <c r="J9" s="501"/>
      <c r="K9" s="501"/>
      <c r="L9" s="501"/>
    </row>
    <row r="10" spans="1:12" ht="39" customHeight="1" x14ac:dyDescent="0.35">
      <c r="B10" s="494" t="s">
        <v>295</v>
      </c>
      <c r="C10" s="495"/>
      <c r="D10" s="496"/>
      <c r="E10" s="215">
        <f>Assumptions.1!I66</f>
        <v>0</v>
      </c>
      <c r="G10" s="216"/>
      <c r="J10" s="501"/>
      <c r="K10" s="501"/>
      <c r="L10" s="501"/>
    </row>
    <row r="11" spans="1:12" ht="2.25" customHeight="1" x14ac:dyDescent="0.35">
      <c r="B11" s="256"/>
      <c r="C11" s="256"/>
      <c r="D11" s="256"/>
      <c r="E11" s="217"/>
      <c r="G11" s="28"/>
    </row>
    <row r="12" spans="1:12" ht="37.5" customHeight="1" x14ac:dyDescent="0.35">
      <c r="B12" s="494" t="s">
        <v>296</v>
      </c>
      <c r="C12" s="495"/>
      <c r="D12" s="496"/>
      <c r="E12" s="218">
        <f>E10/12</f>
        <v>0</v>
      </c>
      <c r="G12" s="28"/>
    </row>
    <row r="13" spans="1:12" ht="3" customHeight="1" x14ac:dyDescent="0.35">
      <c r="B13" s="256"/>
      <c r="C13" s="256"/>
      <c r="D13" s="256"/>
      <c r="E13" s="219"/>
      <c r="G13" s="28"/>
    </row>
    <row r="14" spans="1:12" ht="18.75" customHeight="1" x14ac:dyDescent="0.35">
      <c r="B14" s="498" t="s">
        <v>297</v>
      </c>
      <c r="C14" s="499"/>
      <c r="D14" s="500"/>
      <c r="E14" s="220">
        <f>Assumptions.1!I67-Assumptions.1!I69</f>
        <v>0</v>
      </c>
      <c r="G14" s="216"/>
    </row>
    <row r="15" spans="1:12" ht="3" customHeight="1" x14ac:dyDescent="0.35">
      <c r="B15" s="221"/>
      <c r="C15" s="221"/>
      <c r="D15" s="221"/>
      <c r="E15" s="28">
        <v>62</v>
      </c>
    </row>
    <row r="16" spans="1:12" x14ac:dyDescent="0.35">
      <c r="B16" s="502"/>
      <c r="C16" s="502"/>
      <c r="D16" s="502"/>
      <c r="E16" s="224"/>
      <c r="F16" s="222"/>
    </row>
    <row r="17" spans="2:10" x14ac:dyDescent="0.35">
      <c r="B17" s="223"/>
      <c r="C17" s="223"/>
      <c r="D17" s="223"/>
      <c r="E17" s="224"/>
      <c r="F17" s="222"/>
    </row>
    <row r="18" spans="2:10" x14ac:dyDescent="0.35">
      <c r="B18" s="225">
        <f>Assumptions.1!I68</f>
        <v>0</v>
      </c>
      <c r="C18" s="225"/>
      <c r="D18" s="223"/>
      <c r="E18" s="224"/>
      <c r="F18" s="222"/>
    </row>
    <row r="19" spans="2:10" x14ac:dyDescent="0.35">
      <c r="B19" s="223"/>
      <c r="C19" s="223"/>
      <c r="D19" s="223"/>
      <c r="E19" s="224"/>
      <c r="F19" s="222"/>
    </row>
    <row r="20" spans="2:10" x14ac:dyDescent="0.35">
      <c r="B20" s="493" t="s">
        <v>299</v>
      </c>
      <c r="C20" s="493"/>
      <c r="D20" s="493"/>
      <c r="E20" s="493"/>
      <c r="F20" s="493"/>
      <c r="G20" s="493"/>
    </row>
    <row r="21" spans="2:10" ht="5.25" customHeight="1" x14ac:dyDescent="0.35"/>
    <row r="22" spans="2:10" ht="28.8" x14ac:dyDescent="0.35">
      <c r="B22" s="257" t="s">
        <v>300</v>
      </c>
      <c r="C22" s="257" t="s">
        <v>387</v>
      </c>
      <c r="D22" s="258" t="s">
        <v>298</v>
      </c>
      <c r="E22" s="258" t="s">
        <v>301</v>
      </c>
      <c r="F22" s="258" t="s">
        <v>302</v>
      </c>
      <c r="G22" s="258" t="s">
        <v>303</v>
      </c>
      <c r="J22" s="226"/>
    </row>
    <row r="23" spans="2:10" x14ac:dyDescent="0.35">
      <c r="B23" s="227">
        <f>Assumptions.1!I69+0</f>
        <v>0</v>
      </c>
      <c r="C23" s="227"/>
      <c r="D23" s="228"/>
      <c r="E23" s="228"/>
      <c r="F23" s="228"/>
      <c r="G23" s="229">
        <f>E8</f>
        <v>0</v>
      </c>
    </row>
    <row r="24" spans="2:10" x14ac:dyDescent="0.35">
      <c r="B24" s="227">
        <f>B23+1</f>
        <v>1</v>
      </c>
      <c r="C24" s="290">
        <f>Assumptions.1!I72</f>
        <v>0</v>
      </c>
      <c r="D24" s="230" t="e">
        <f>E24+F24</f>
        <v>#DIV/0!</v>
      </c>
      <c r="E24" s="388">
        <f>G23*E12</f>
        <v>0</v>
      </c>
      <c r="F24" s="388" t="e">
        <f>E8/E14</f>
        <v>#DIV/0!</v>
      </c>
      <c r="G24" s="388" t="e">
        <f>G23-F24</f>
        <v>#DIV/0!</v>
      </c>
    </row>
    <row r="25" spans="2:10" x14ac:dyDescent="0.35">
      <c r="B25" s="227">
        <f>B24+1</f>
        <v>2</v>
      </c>
      <c r="C25" s="290">
        <f>EDATE(C24,1)</f>
        <v>31</v>
      </c>
      <c r="D25" s="230" t="e">
        <f t="shared" ref="D25:D83" si="0">E25+F25</f>
        <v>#DIV/0!</v>
      </c>
      <c r="E25" s="388" t="e">
        <f>G24*E12</f>
        <v>#DIV/0!</v>
      </c>
      <c r="F25" s="388" t="e">
        <f>F24</f>
        <v>#DIV/0!</v>
      </c>
      <c r="G25" s="388" t="e">
        <f>G24-F25</f>
        <v>#DIV/0!</v>
      </c>
    </row>
    <row r="26" spans="2:10" x14ac:dyDescent="0.35">
      <c r="B26" s="227">
        <f t="shared" ref="B26:B89" si="1">B25+1</f>
        <v>3</v>
      </c>
      <c r="C26" s="290">
        <f t="shared" ref="C26:C89" si="2">EDATE(C25,1)</f>
        <v>59</v>
      </c>
      <c r="D26" s="230" t="e">
        <f t="shared" si="0"/>
        <v>#DIV/0!</v>
      </c>
      <c r="E26" s="388" t="e">
        <f>G25*E12</f>
        <v>#DIV/0!</v>
      </c>
      <c r="F26" s="388" t="e">
        <f t="shared" ref="F26:F89" si="3">F25</f>
        <v>#DIV/0!</v>
      </c>
      <c r="G26" s="388" t="e">
        <f>G25-F26</f>
        <v>#DIV/0!</v>
      </c>
    </row>
    <row r="27" spans="2:10" x14ac:dyDescent="0.35">
      <c r="B27" s="227">
        <f t="shared" si="1"/>
        <v>4</v>
      </c>
      <c r="C27" s="290">
        <f t="shared" si="2"/>
        <v>88</v>
      </c>
      <c r="D27" s="230" t="e">
        <f t="shared" si="0"/>
        <v>#DIV/0!</v>
      </c>
      <c r="E27" s="388" t="e">
        <f>G26*E12</f>
        <v>#DIV/0!</v>
      </c>
      <c r="F27" s="388" t="e">
        <f t="shared" si="3"/>
        <v>#DIV/0!</v>
      </c>
      <c r="G27" s="388" t="e">
        <f t="shared" ref="G27:G34" si="4">G26-F27</f>
        <v>#DIV/0!</v>
      </c>
    </row>
    <row r="28" spans="2:10" x14ac:dyDescent="0.35">
      <c r="B28" s="227">
        <f t="shared" si="1"/>
        <v>5</v>
      </c>
      <c r="C28" s="290">
        <f t="shared" si="2"/>
        <v>119</v>
      </c>
      <c r="D28" s="230" t="e">
        <f t="shared" si="0"/>
        <v>#DIV/0!</v>
      </c>
      <c r="E28" s="388" t="e">
        <f>G27*E12</f>
        <v>#DIV/0!</v>
      </c>
      <c r="F28" s="388" t="e">
        <f t="shared" si="3"/>
        <v>#DIV/0!</v>
      </c>
      <c r="G28" s="388" t="e">
        <f t="shared" si="4"/>
        <v>#DIV/0!</v>
      </c>
    </row>
    <row r="29" spans="2:10" x14ac:dyDescent="0.35">
      <c r="B29" s="227">
        <f t="shared" si="1"/>
        <v>6</v>
      </c>
      <c r="C29" s="290">
        <f t="shared" si="2"/>
        <v>149</v>
      </c>
      <c r="D29" s="230" t="e">
        <f t="shared" si="0"/>
        <v>#DIV/0!</v>
      </c>
      <c r="E29" s="388" t="e">
        <f>G28*E12</f>
        <v>#DIV/0!</v>
      </c>
      <c r="F29" s="388" t="e">
        <f t="shared" si="3"/>
        <v>#DIV/0!</v>
      </c>
      <c r="G29" s="388" t="e">
        <f t="shared" si="4"/>
        <v>#DIV/0!</v>
      </c>
    </row>
    <row r="30" spans="2:10" x14ac:dyDescent="0.35">
      <c r="B30" s="227">
        <f t="shared" si="1"/>
        <v>7</v>
      </c>
      <c r="C30" s="290">
        <f t="shared" si="2"/>
        <v>180</v>
      </c>
      <c r="D30" s="230" t="e">
        <f t="shared" si="0"/>
        <v>#DIV/0!</v>
      </c>
      <c r="E30" s="388" t="e">
        <f>G29*E12</f>
        <v>#DIV/0!</v>
      </c>
      <c r="F30" s="388" t="e">
        <f t="shared" si="3"/>
        <v>#DIV/0!</v>
      </c>
      <c r="G30" s="388" t="e">
        <f t="shared" si="4"/>
        <v>#DIV/0!</v>
      </c>
    </row>
    <row r="31" spans="2:10" x14ac:dyDescent="0.35">
      <c r="B31" s="227">
        <f t="shared" si="1"/>
        <v>8</v>
      </c>
      <c r="C31" s="290">
        <f t="shared" si="2"/>
        <v>210</v>
      </c>
      <c r="D31" s="230" t="e">
        <f t="shared" si="0"/>
        <v>#DIV/0!</v>
      </c>
      <c r="E31" s="388" t="e">
        <f>G30*E12</f>
        <v>#DIV/0!</v>
      </c>
      <c r="F31" s="388" t="e">
        <f t="shared" si="3"/>
        <v>#DIV/0!</v>
      </c>
      <c r="G31" s="388" t="e">
        <f t="shared" si="4"/>
        <v>#DIV/0!</v>
      </c>
    </row>
    <row r="32" spans="2:10" x14ac:dyDescent="0.35">
      <c r="B32" s="227">
        <f t="shared" si="1"/>
        <v>9</v>
      </c>
      <c r="C32" s="290">
        <f t="shared" si="2"/>
        <v>241</v>
      </c>
      <c r="D32" s="230" t="e">
        <f t="shared" si="0"/>
        <v>#DIV/0!</v>
      </c>
      <c r="E32" s="388" t="e">
        <f>G31*E12</f>
        <v>#DIV/0!</v>
      </c>
      <c r="F32" s="388" t="e">
        <f t="shared" si="3"/>
        <v>#DIV/0!</v>
      </c>
      <c r="G32" s="388" t="e">
        <f t="shared" si="4"/>
        <v>#DIV/0!</v>
      </c>
    </row>
    <row r="33" spans="2:7" x14ac:dyDescent="0.35">
      <c r="B33" s="227">
        <f t="shared" si="1"/>
        <v>10</v>
      </c>
      <c r="C33" s="290">
        <f t="shared" si="2"/>
        <v>272</v>
      </c>
      <c r="D33" s="230" t="e">
        <f t="shared" si="0"/>
        <v>#DIV/0!</v>
      </c>
      <c r="E33" s="388" t="e">
        <f>G32*E12</f>
        <v>#DIV/0!</v>
      </c>
      <c r="F33" s="388" t="e">
        <f t="shared" si="3"/>
        <v>#DIV/0!</v>
      </c>
      <c r="G33" s="388" t="e">
        <f t="shared" si="4"/>
        <v>#DIV/0!</v>
      </c>
    </row>
    <row r="34" spans="2:7" x14ac:dyDescent="0.35">
      <c r="B34" s="227">
        <f t="shared" si="1"/>
        <v>11</v>
      </c>
      <c r="C34" s="290">
        <f t="shared" si="2"/>
        <v>302</v>
      </c>
      <c r="D34" s="230" t="e">
        <f t="shared" si="0"/>
        <v>#DIV/0!</v>
      </c>
      <c r="E34" s="388" t="e">
        <f>G33*E12</f>
        <v>#DIV/0!</v>
      </c>
      <c r="F34" s="388" t="e">
        <f t="shared" si="3"/>
        <v>#DIV/0!</v>
      </c>
      <c r="G34" s="388" t="e">
        <f t="shared" si="4"/>
        <v>#DIV/0!</v>
      </c>
    </row>
    <row r="35" spans="2:7" x14ac:dyDescent="0.35">
      <c r="B35" s="227">
        <f t="shared" si="1"/>
        <v>12</v>
      </c>
      <c r="C35" s="290">
        <f t="shared" si="2"/>
        <v>333</v>
      </c>
      <c r="D35" s="230" t="e">
        <f t="shared" si="0"/>
        <v>#DIV/0!</v>
      </c>
      <c r="E35" s="388" t="e">
        <f>G34*E12</f>
        <v>#DIV/0!</v>
      </c>
      <c r="F35" s="388" t="e">
        <f t="shared" si="3"/>
        <v>#DIV/0!</v>
      </c>
      <c r="G35" s="388" t="e">
        <f>G34-F35</f>
        <v>#DIV/0!</v>
      </c>
    </row>
    <row r="36" spans="2:7" x14ac:dyDescent="0.35">
      <c r="B36" s="227">
        <f t="shared" si="1"/>
        <v>13</v>
      </c>
      <c r="C36" s="290">
        <f t="shared" si="2"/>
        <v>363</v>
      </c>
      <c r="D36" s="230" t="e">
        <f t="shared" si="0"/>
        <v>#DIV/0!</v>
      </c>
      <c r="E36" s="389" t="e">
        <f>G35*E12</f>
        <v>#DIV/0!</v>
      </c>
      <c r="F36" s="388" t="e">
        <f t="shared" si="3"/>
        <v>#DIV/0!</v>
      </c>
      <c r="G36" s="388" t="e">
        <f t="shared" ref="G36:G83" si="5">G35-F36</f>
        <v>#DIV/0!</v>
      </c>
    </row>
    <row r="37" spans="2:7" x14ac:dyDescent="0.35">
      <c r="B37" s="227">
        <f t="shared" si="1"/>
        <v>14</v>
      </c>
      <c r="C37" s="290">
        <f t="shared" si="2"/>
        <v>394</v>
      </c>
      <c r="D37" s="230" t="e">
        <f t="shared" si="0"/>
        <v>#DIV/0!</v>
      </c>
      <c r="E37" s="389" t="e">
        <f>G36*E12</f>
        <v>#DIV/0!</v>
      </c>
      <c r="F37" s="388" t="e">
        <f t="shared" si="3"/>
        <v>#DIV/0!</v>
      </c>
      <c r="G37" s="388" t="e">
        <f t="shared" si="5"/>
        <v>#DIV/0!</v>
      </c>
    </row>
    <row r="38" spans="2:7" x14ac:dyDescent="0.35">
      <c r="B38" s="227">
        <f t="shared" si="1"/>
        <v>15</v>
      </c>
      <c r="C38" s="290">
        <f t="shared" si="2"/>
        <v>425</v>
      </c>
      <c r="D38" s="230" t="e">
        <f t="shared" si="0"/>
        <v>#DIV/0!</v>
      </c>
      <c r="E38" s="389" t="e">
        <f>G37*E12</f>
        <v>#DIV/0!</v>
      </c>
      <c r="F38" s="388" t="e">
        <f t="shared" si="3"/>
        <v>#DIV/0!</v>
      </c>
      <c r="G38" s="388" t="e">
        <f t="shared" si="5"/>
        <v>#DIV/0!</v>
      </c>
    </row>
    <row r="39" spans="2:7" x14ac:dyDescent="0.35">
      <c r="B39" s="227">
        <f t="shared" si="1"/>
        <v>16</v>
      </c>
      <c r="C39" s="290">
        <f t="shared" si="2"/>
        <v>453</v>
      </c>
      <c r="D39" s="230" t="e">
        <f t="shared" si="0"/>
        <v>#DIV/0!</v>
      </c>
      <c r="E39" s="389" t="e">
        <f>G38*E12</f>
        <v>#DIV/0!</v>
      </c>
      <c r="F39" s="388" t="e">
        <f t="shared" si="3"/>
        <v>#DIV/0!</v>
      </c>
      <c r="G39" s="388" t="e">
        <f t="shared" si="5"/>
        <v>#DIV/0!</v>
      </c>
    </row>
    <row r="40" spans="2:7" x14ac:dyDescent="0.35">
      <c r="B40" s="227">
        <f t="shared" si="1"/>
        <v>17</v>
      </c>
      <c r="C40" s="290">
        <f t="shared" si="2"/>
        <v>484</v>
      </c>
      <c r="D40" s="230" t="e">
        <f t="shared" si="0"/>
        <v>#DIV/0!</v>
      </c>
      <c r="E40" s="389" t="e">
        <f>G39*E12</f>
        <v>#DIV/0!</v>
      </c>
      <c r="F40" s="388" t="e">
        <f t="shared" si="3"/>
        <v>#DIV/0!</v>
      </c>
      <c r="G40" s="388" t="e">
        <f t="shared" si="5"/>
        <v>#DIV/0!</v>
      </c>
    </row>
    <row r="41" spans="2:7" x14ac:dyDescent="0.35">
      <c r="B41" s="227">
        <f t="shared" si="1"/>
        <v>18</v>
      </c>
      <c r="C41" s="290">
        <f t="shared" si="2"/>
        <v>514</v>
      </c>
      <c r="D41" s="230" t="e">
        <f t="shared" si="0"/>
        <v>#DIV/0!</v>
      </c>
      <c r="E41" s="389" t="e">
        <f>G40*E12</f>
        <v>#DIV/0!</v>
      </c>
      <c r="F41" s="388" t="e">
        <f t="shared" si="3"/>
        <v>#DIV/0!</v>
      </c>
      <c r="G41" s="388" t="e">
        <f t="shared" si="5"/>
        <v>#DIV/0!</v>
      </c>
    </row>
    <row r="42" spans="2:7" x14ac:dyDescent="0.35">
      <c r="B42" s="227">
        <f t="shared" si="1"/>
        <v>19</v>
      </c>
      <c r="C42" s="290">
        <f t="shared" si="2"/>
        <v>545</v>
      </c>
      <c r="D42" s="230" t="e">
        <f t="shared" si="0"/>
        <v>#DIV/0!</v>
      </c>
      <c r="E42" s="389" t="e">
        <f>G41*E12</f>
        <v>#DIV/0!</v>
      </c>
      <c r="F42" s="388" t="e">
        <f t="shared" si="3"/>
        <v>#DIV/0!</v>
      </c>
      <c r="G42" s="388" t="e">
        <f t="shared" si="5"/>
        <v>#DIV/0!</v>
      </c>
    </row>
    <row r="43" spans="2:7" x14ac:dyDescent="0.35">
      <c r="B43" s="227">
        <f t="shared" si="1"/>
        <v>20</v>
      </c>
      <c r="C43" s="290">
        <f t="shared" si="2"/>
        <v>575</v>
      </c>
      <c r="D43" s="230" t="e">
        <f t="shared" si="0"/>
        <v>#DIV/0!</v>
      </c>
      <c r="E43" s="389" t="e">
        <f>G42*E12</f>
        <v>#DIV/0!</v>
      </c>
      <c r="F43" s="388" t="e">
        <f t="shared" si="3"/>
        <v>#DIV/0!</v>
      </c>
      <c r="G43" s="388" t="e">
        <f t="shared" si="5"/>
        <v>#DIV/0!</v>
      </c>
    </row>
    <row r="44" spans="2:7" x14ac:dyDescent="0.35">
      <c r="B44" s="227">
        <f t="shared" si="1"/>
        <v>21</v>
      </c>
      <c r="C44" s="290">
        <f t="shared" si="2"/>
        <v>606</v>
      </c>
      <c r="D44" s="230" t="e">
        <f t="shared" si="0"/>
        <v>#DIV/0!</v>
      </c>
      <c r="E44" s="389" t="e">
        <f>G43*E12</f>
        <v>#DIV/0!</v>
      </c>
      <c r="F44" s="388" t="e">
        <f t="shared" si="3"/>
        <v>#DIV/0!</v>
      </c>
      <c r="G44" s="388" t="e">
        <f t="shared" si="5"/>
        <v>#DIV/0!</v>
      </c>
    </row>
    <row r="45" spans="2:7" x14ac:dyDescent="0.35">
      <c r="B45" s="227">
        <f t="shared" si="1"/>
        <v>22</v>
      </c>
      <c r="C45" s="290">
        <f t="shared" si="2"/>
        <v>637</v>
      </c>
      <c r="D45" s="230" t="e">
        <f t="shared" si="0"/>
        <v>#DIV/0!</v>
      </c>
      <c r="E45" s="389" t="e">
        <f>G44*E12</f>
        <v>#DIV/0!</v>
      </c>
      <c r="F45" s="388" t="e">
        <f t="shared" si="3"/>
        <v>#DIV/0!</v>
      </c>
      <c r="G45" s="388" t="e">
        <f t="shared" si="5"/>
        <v>#DIV/0!</v>
      </c>
    </row>
    <row r="46" spans="2:7" x14ac:dyDescent="0.35">
      <c r="B46" s="227">
        <f t="shared" si="1"/>
        <v>23</v>
      </c>
      <c r="C46" s="290">
        <f t="shared" si="2"/>
        <v>667</v>
      </c>
      <c r="D46" s="230" t="e">
        <f t="shared" si="0"/>
        <v>#DIV/0!</v>
      </c>
      <c r="E46" s="389" t="e">
        <f>G45*E12</f>
        <v>#DIV/0!</v>
      </c>
      <c r="F46" s="388" t="e">
        <f t="shared" si="3"/>
        <v>#DIV/0!</v>
      </c>
      <c r="G46" s="388" t="e">
        <f t="shared" si="5"/>
        <v>#DIV/0!</v>
      </c>
    </row>
    <row r="47" spans="2:7" x14ac:dyDescent="0.35">
      <c r="B47" s="227">
        <f t="shared" si="1"/>
        <v>24</v>
      </c>
      <c r="C47" s="290">
        <f t="shared" si="2"/>
        <v>698</v>
      </c>
      <c r="D47" s="230" t="e">
        <f t="shared" si="0"/>
        <v>#DIV/0!</v>
      </c>
      <c r="E47" s="389" t="e">
        <f>G46*E12</f>
        <v>#DIV/0!</v>
      </c>
      <c r="F47" s="388" t="e">
        <f t="shared" si="3"/>
        <v>#DIV/0!</v>
      </c>
      <c r="G47" s="388" t="e">
        <f t="shared" si="5"/>
        <v>#DIV/0!</v>
      </c>
    </row>
    <row r="48" spans="2:7" x14ac:dyDescent="0.35">
      <c r="B48" s="227">
        <f t="shared" si="1"/>
        <v>25</v>
      </c>
      <c r="C48" s="290">
        <f t="shared" si="2"/>
        <v>728</v>
      </c>
      <c r="D48" s="230" t="e">
        <f t="shared" si="0"/>
        <v>#DIV/0!</v>
      </c>
      <c r="E48" s="389" t="e">
        <f>G47*E12</f>
        <v>#DIV/0!</v>
      </c>
      <c r="F48" s="388" t="e">
        <f t="shared" si="3"/>
        <v>#DIV/0!</v>
      </c>
      <c r="G48" s="388" t="e">
        <f t="shared" si="5"/>
        <v>#DIV/0!</v>
      </c>
    </row>
    <row r="49" spans="2:7" x14ac:dyDescent="0.35">
      <c r="B49" s="227">
        <f t="shared" si="1"/>
        <v>26</v>
      </c>
      <c r="C49" s="290">
        <f t="shared" si="2"/>
        <v>759</v>
      </c>
      <c r="D49" s="230" t="e">
        <f t="shared" si="0"/>
        <v>#DIV/0!</v>
      </c>
      <c r="E49" s="389" t="e">
        <f>G48*E12</f>
        <v>#DIV/0!</v>
      </c>
      <c r="F49" s="388" t="e">
        <f t="shared" si="3"/>
        <v>#DIV/0!</v>
      </c>
      <c r="G49" s="388" t="e">
        <f t="shared" si="5"/>
        <v>#DIV/0!</v>
      </c>
    </row>
    <row r="50" spans="2:7" x14ac:dyDescent="0.35">
      <c r="B50" s="227">
        <f t="shared" si="1"/>
        <v>27</v>
      </c>
      <c r="C50" s="290">
        <f t="shared" si="2"/>
        <v>790</v>
      </c>
      <c r="D50" s="230" t="e">
        <f t="shared" si="0"/>
        <v>#DIV/0!</v>
      </c>
      <c r="E50" s="389" t="e">
        <f>G49*E12</f>
        <v>#DIV/0!</v>
      </c>
      <c r="F50" s="388" t="e">
        <f t="shared" si="3"/>
        <v>#DIV/0!</v>
      </c>
      <c r="G50" s="388" t="e">
        <f t="shared" si="5"/>
        <v>#DIV/0!</v>
      </c>
    </row>
    <row r="51" spans="2:7" x14ac:dyDescent="0.35">
      <c r="B51" s="227">
        <f t="shared" si="1"/>
        <v>28</v>
      </c>
      <c r="C51" s="290">
        <f t="shared" si="2"/>
        <v>818</v>
      </c>
      <c r="D51" s="230" t="e">
        <f t="shared" si="0"/>
        <v>#DIV/0!</v>
      </c>
      <c r="E51" s="389" t="e">
        <f>G50*E12</f>
        <v>#DIV/0!</v>
      </c>
      <c r="F51" s="388" t="e">
        <f t="shared" si="3"/>
        <v>#DIV/0!</v>
      </c>
      <c r="G51" s="388" t="e">
        <f t="shared" si="5"/>
        <v>#DIV/0!</v>
      </c>
    </row>
    <row r="52" spans="2:7" x14ac:dyDescent="0.35">
      <c r="B52" s="227">
        <f t="shared" si="1"/>
        <v>29</v>
      </c>
      <c r="C52" s="290">
        <f t="shared" si="2"/>
        <v>849</v>
      </c>
      <c r="D52" s="230" t="e">
        <f t="shared" si="0"/>
        <v>#DIV/0!</v>
      </c>
      <c r="E52" s="389" t="e">
        <f>G51*E12</f>
        <v>#DIV/0!</v>
      </c>
      <c r="F52" s="388" t="e">
        <f t="shared" si="3"/>
        <v>#DIV/0!</v>
      </c>
      <c r="G52" s="388" t="e">
        <f t="shared" si="5"/>
        <v>#DIV/0!</v>
      </c>
    </row>
    <row r="53" spans="2:7" x14ac:dyDescent="0.35">
      <c r="B53" s="227">
        <f t="shared" si="1"/>
        <v>30</v>
      </c>
      <c r="C53" s="290">
        <f t="shared" si="2"/>
        <v>879</v>
      </c>
      <c r="D53" s="230" t="e">
        <f t="shared" si="0"/>
        <v>#DIV/0!</v>
      </c>
      <c r="E53" s="389" t="e">
        <f>G52*E12</f>
        <v>#DIV/0!</v>
      </c>
      <c r="F53" s="388" t="e">
        <f t="shared" si="3"/>
        <v>#DIV/0!</v>
      </c>
      <c r="G53" s="388" t="e">
        <f t="shared" si="5"/>
        <v>#DIV/0!</v>
      </c>
    </row>
    <row r="54" spans="2:7" x14ac:dyDescent="0.35">
      <c r="B54" s="227">
        <f t="shared" si="1"/>
        <v>31</v>
      </c>
      <c r="C54" s="290">
        <f t="shared" si="2"/>
        <v>910</v>
      </c>
      <c r="D54" s="230" t="e">
        <f t="shared" si="0"/>
        <v>#DIV/0!</v>
      </c>
      <c r="E54" s="389" t="e">
        <f>G53*E12</f>
        <v>#DIV/0!</v>
      </c>
      <c r="F54" s="388" t="e">
        <f t="shared" si="3"/>
        <v>#DIV/0!</v>
      </c>
      <c r="G54" s="388" t="e">
        <f t="shared" si="5"/>
        <v>#DIV/0!</v>
      </c>
    </row>
    <row r="55" spans="2:7" x14ac:dyDescent="0.35">
      <c r="B55" s="227">
        <f t="shared" si="1"/>
        <v>32</v>
      </c>
      <c r="C55" s="290">
        <f t="shared" si="2"/>
        <v>940</v>
      </c>
      <c r="D55" s="230" t="e">
        <f t="shared" si="0"/>
        <v>#DIV/0!</v>
      </c>
      <c r="E55" s="389" t="e">
        <f>G54*E12</f>
        <v>#DIV/0!</v>
      </c>
      <c r="F55" s="388" t="e">
        <f t="shared" si="3"/>
        <v>#DIV/0!</v>
      </c>
      <c r="G55" s="388" t="e">
        <f t="shared" si="5"/>
        <v>#DIV/0!</v>
      </c>
    </row>
    <row r="56" spans="2:7" x14ac:dyDescent="0.35">
      <c r="B56" s="227">
        <f t="shared" si="1"/>
        <v>33</v>
      </c>
      <c r="C56" s="290">
        <f t="shared" si="2"/>
        <v>971</v>
      </c>
      <c r="D56" s="230" t="e">
        <f t="shared" si="0"/>
        <v>#DIV/0!</v>
      </c>
      <c r="E56" s="389" t="e">
        <f>G55*E12</f>
        <v>#DIV/0!</v>
      </c>
      <c r="F56" s="388" t="e">
        <f t="shared" si="3"/>
        <v>#DIV/0!</v>
      </c>
      <c r="G56" s="388" t="e">
        <f t="shared" si="5"/>
        <v>#DIV/0!</v>
      </c>
    </row>
    <row r="57" spans="2:7" x14ac:dyDescent="0.35">
      <c r="B57" s="227">
        <f t="shared" si="1"/>
        <v>34</v>
      </c>
      <c r="C57" s="290">
        <f t="shared" si="2"/>
        <v>1002</v>
      </c>
      <c r="D57" s="230" t="e">
        <f t="shared" si="0"/>
        <v>#DIV/0!</v>
      </c>
      <c r="E57" s="389" t="e">
        <f>G56*E12</f>
        <v>#DIV/0!</v>
      </c>
      <c r="F57" s="388" t="e">
        <f t="shared" si="3"/>
        <v>#DIV/0!</v>
      </c>
      <c r="G57" s="388" t="e">
        <f t="shared" si="5"/>
        <v>#DIV/0!</v>
      </c>
    </row>
    <row r="58" spans="2:7" x14ac:dyDescent="0.35">
      <c r="B58" s="227">
        <f t="shared" si="1"/>
        <v>35</v>
      </c>
      <c r="C58" s="290">
        <f t="shared" si="2"/>
        <v>1032</v>
      </c>
      <c r="D58" s="230" t="e">
        <f t="shared" si="0"/>
        <v>#DIV/0!</v>
      </c>
      <c r="E58" s="389" t="e">
        <f>G57*E12</f>
        <v>#DIV/0!</v>
      </c>
      <c r="F58" s="388" t="e">
        <f t="shared" si="3"/>
        <v>#DIV/0!</v>
      </c>
      <c r="G58" s="388" t="e">
        <f t="shared" si="5"/>
        <v>#DIV/0!</v>
      </c>
    </row>
    <row r="59" spans="2:7" x14ac:dyDescent="0.35">
      <c r="B59" s="227">
        <f t="shared" si="1"/>
        <v>36</v>
      </c>
      <c r="C59" s="290">
        <f t="shared" si="2"/>
        <v>1063</v>
      </c>
      <c r="D59" s="230" t="e">
        <f t="shared" si="0"/>
        <v>#DIV/0!</v>
      </c>
      <c r="E59" s="389" t="e">
        <f>G58*E12</f>
        <v>#DIV/0!</v>
      </c>
      <c r="F59" s="388" t="e">
        <f t="shared" si="3"/>
        <v>#DIV/0!</v>
      </c>
      <c r="G59" s="388" t="e">
        <f t="shared" si="5"/>
        <v>#DIV/0!</v>
      </c>
    </row>
    <row r="60" spans="2:7" x14ac:dyDescent="0.35">
      <c r="B60" s="227">
        <f t="shared" si="1"/>
        <v>37</v>
      </c>
      <c r="C60" s="290">
        <f t="shared" si="2"/>
        <v>1093</v>
      </c>
      <c r="D60" s="230" t="e">
        <f t="shared" si="0"/>
        <v>#DIV/0!</v>
      </c>
      <c r="E60" s="389" t="e">
        <f>G59*E12</f>
        <v>#DIV/0!</v>
      </c>
      <c r="F60" s="388" t="e">
        <f t="shared" si="3"/>
        <v>#DIV/0!</v>
      </c>
      <c r="G60" s="388" t="e">
        <f t="shared" si="5"/>
        <v>#DIV/0!</v>
      </c>
    </row>
    <row r="61" spans="2:7" x14ac:dyDescent="0.35">
      <c r="B61" s="227">
        <f t="shared" si="1"/>
        <v>38</v>
      </c>
      <c r="C61" s="290">
        <f t="shared" si="2"/>
        <v>1124</v>
      </c>
      <c r="D61" s="230" t="e">
        <f t="shared" si="0"/>
        <v>#DIV/0!</v>
      </c>
      <c r="E61" s="389" t="e">
        <f>G60*E12</f>
        <v>#DIV/0!</v>
      </c>
      <c r="F61" s="388" t="e">
        <f t="shared" si="3"/>
        <v>#DIV/0!</v>
      </c>
      <c r="G61" s="388" t="e">
        <f t="shared" si="5"/>
        <v>#DIV/0!</v>
      </c>
    </row>
    <row r="62" spans="2:7" x14ac:dyDescent="0.35">
      <c r="B62" s="227">
        <f t="shared" si="1"/>
        <v>39</v>
      </c>
      <c r="C62" s="290">
        <f t="shared" si="2"/>
        <v>1155</v>
      </c>
      <c r="D62" s="230" t="e">
        <f t="shared" si="0"/>
        <v>#DIV/0!</v>
      </c>
      <c r="E62" s="389" t="e">
        <f>G61*E12</f>
        <v>#DIV/0!</v>
      </c>
      <c r="F62" s="388" t="e">
        <f t="shared" si="3"/>
        <v>#DIV/0!</v>
      </c>
      <c r="G62" s="388" t="e">
        <f t="shared" si="5"/>
        <v>#DIV/0!</v>
      </c>
    </row>
    <row r="63" spans="2:7" x14ac:dyDescent="0.35">
      <c r="B63" s="227">
        <f t="shared" si="1"/>
        <v>40</v>
      </c>
      <c r="C63" s="290">
        <f t="shared" si="2"/>
        <v>1183</v>
      </c>
      <c r="D63" s="230" t="e">
        <f t="shared" si="0"/>
        <v>#DIV/0!</v>
      </c>
      <c r="E63" s="389" t="e">
        <f>G62*E12</f>
        <v>#DIV/0!</v>
      </c>
      <c r="F63" s="388" t="e">
        <f t="shared" si="3"/>
        <v>#DIV/0!</v>
      </c>
      <c r="G63" s="388" t="e">
        <f t="shared" si="5"/>
        <v>#DIV/0!</v>
      </c>
    </row>
    <row r="64" spans="2:7" x14ac:dyDescent="0.35">
      <c r="B64" s="227">
        <f t="shared" si="1"/>
        <v>41</v>
      </c>
      <c r="C64" s="290">
        <f t="shared" si="2"/>
        <v>1214</v>
      </c>
      <c r="D64" s="230" t="e">
        <f t="shared" si="0"/>
        <v>#DIV/0!</v>
      </c>
      <c r="E64" s="389" t="e">
        <f>G63*E12</f>
        <v>#DIV/0!</v>
      </c>
      <c r="F64" s="388" t="e">
        <f t="shared" si="3"/>
        <v>#DIV/0!</v>
      </c>
      <c r="G64" s="388" t="e">
        <f t="shared" si="5"/>
        <v>#DIV/0!</v>
      </c>
    </row>
    <row r="65" spans="2:7" x14ac:dyDescent="0.35">
      <c r="B65" s="227">
        <f t="shared" si="1"/>
        <v>42</v>
      </c>
      <c r="C65" s="290">
        <f t="shared" si="2"/>
        <v>1244</v>
      </c>
      <c r="D65" s="230" t="e">
        <f t="shared" si="0"/>
        <v>#DIV/0!</v>
      </c>
      <c r="E65" s="389" t="e">
        <f>G64*E12</f>
        <v>#DIV/0!</v>
      </c>
      <c r="F65" s="388" t="e">
        <f t="shared" si="3"/>
        <v>#DIV/0!</v>
      </c>
      <c r="G65" s="388" t="e">
        <f t="shared" si="5"/>
        <v>#DIV/0!</v>
      </c>
    </row>
    <row r="66" spans="2:7" x14ac:dyDescent="0.35">
      <c r="B66" s="227">
        <f t="shared" si="1"/>
        <v>43</v>
      </c>
      <c r="C66" s="290">
        <f t="shared" si="2"/>
        <v>1275</v>
      </c>
      <c r="D66" s="230" t="e">
        <f t="shared" si="0"/>
        <v>#DIV/0!</v>
      </c>
      <c r="E66" s="389" t="e">
        <f>G65*E12</f>
        <v>#DIV/0!</v>
      </c>
      <c r="F66" s="388" t="e">
        <f t="shared" si="3"/>
        <v>#DIV/0!</v>
      </c>
      <c r="G66" s="388" t="e">
        <f t="shared" si="5"/>
        <v>#DIV/0!</v>
      </c>
    </row>
    <row r="67" spans="2:7" x14ac:dyDescent="0.35">
      <c r="B67" s="227">
        <f t="shared" si="1"/>
        <v>44</v>
      </c>
      <c r="C67" s="290">
        <f t="shared" si="2"/>
        <v>1305</v>
      </c>
      <c r="D67" s="230" t="e">
        <f t="shared" si="0"/>
        <v>#DIV/0!</v>
      </c>
      <c r="E67" s="389" t="e">
        <f>G66*E12</f>
        <v>#DIV/0!</v>
      </c>
      <c r="F67" s="388" t="e">
        <f t="shared" si="3"/>
        <v>#DIV/0!</v>
      </c>
      <c r="G67" s="388" t="e">
        <f t="shared" si="5"/>
        <v>#DIV/0!</v>
      </c>
    </row>
    <row r="68" spans="2:7" x14ac:dyDescent="0.35">
      <c r="B68" s="227">
        <f t="shared" si="1"/>
        <v>45</v>
      </c>
      <c r="C68" s="290">
        <f t="shared" si="2"/>
        <v>1336</v>
      </c>
      <c r="D68" s="230" t="e">
        <f t="shared" si="0"/>
        <v>#DIV/0!</v>
      </c>
      <c r="E68" s="389" t="e">
        <f>G67*E12</f>
        <v>#DIV/0!</v>
      </c>
      <c r="F68" s="388" t="e">
        <f t="shared" si="3"/>
        <v>#DIV/0!</v>
      </c>
      <c r="G68" s="388" t="e">
        <f t="shared" si="5"/>
        <v>#DIV/0!</v>
      </c>
    </row>
    <row r="69" spans="2:7" x14ac:dyDescent="0.35">
      <c r="B69" s="227">
        <f t="shared" si="1"/>
        <v>46</v>
      </c>
      <c r="C69" s="290">
        <f t="shared" si="2"/>
        <v>1367</v>
      </c>
      <c r="D69" s="230" t="e">
        <f t="shared" si="0"/>
        <v>#DIV/0!</v>
      </c>
      <c r="E69" s="389" t="e">
        <f>G68*E12</f>
        <v>#DIV/0!</v>
      </c>
      <c r="F69" s="388" t="e">
        <f t="shared" si="3"/>
        <v>#DIV/0!</v>
      </c>
      <c r="G69" s="388" t="e">
        <f t="shared" si="5"/>
        <v>#DIV/0!</v>
      </c>
    </row>
    <row r="70" spans="2:7" x14ac:dyDescent="0.35">
      <c r="B70" s="227">
        <f t="shared" si="1"/>
        <v>47</v>
      </c>
      <c r="C70" s="290">
        <f t="shared" si="2"/>
        <v>1397</v>
      </c>
      <c r="D70" s="230" t="e">
        <f t="shared" si="0"/>
        <v>#DIV/0!</v>
      </c>
      <c r="E70" s="389" t="e">
        <f>G69*E12</f>
        <v>#DIV/0!</v>
      </c>
      <c r="F70" s="388" t="e">
        <f t="shared" si="3"/>
        <v>#DIV/0!</v>
      </c>
      <c r="G70" s="388" t="e">
        <f t="shared" si="5"/>
        <v>#DIV/0!</v>
      </c>
    </row>
    <row r="71" spans="2:7" x14ac:dyDescent="0.35">
      <c r="B71" s="227">
        <f t="shared" si="1"/>
        <v>48</v>
      </c>
      <c r="C71" s="290">
        <f t="shared" si="2"/>
        <v>1428</v>
      </c>
      <c r="D71" s="230" t="e">
        <f t="shared" si="0"/>
        <v>#DIV/0!</v>
      </c>
      <c r="E71" s="389" t="e">
        <f>G70*E12</f>
        <v>#DIV/0!</v>
      </c>
      <c r="F71" s="388" t="e">
        <f t="shared" si="3"/>
        <v>#DIV/0!</v>
      </c>
      <c r="G71" s="388" t="e">
        <f t="shared" si="5"/>
        <v>#DIV/0!</v>
      </c>
    </row>
    <row r="72" spans="2:7" x14ac:dyDescent="0.35">
      <c r="B72" s="227">
        <f t="shared" si="1"/>
        <v>49</v>
      </c>
      <c r="C72" s="290">
        <f t="shared" si="2"/>
        <v>1458</v>
      </c>
      <c r="D72" s="230" t="e">
        <f t="shared" si="0"/>
        <v>#DIV/0!</v>
      </c>
      <c r="E72" s="389" t="e">
        <f>G71*E12</f>
        <v>#DIV/0!</v>
      </c>
      <c r="F72" s="388" t="e">
        <f t="shared" si="3"/>
        <v>#DIV/0!</v>
      </c>
      <c r="G72" s="388" t="e">
        <f t="shared" si="5"/>
        <v>#DIV/0!</v>
      </c>
    </row>
    <row r="73" spans="2:7" x14ac:dyDescent="0.35">
      <c r="B73" s="227">
        <f t="shared" si="1"/>
        <v>50</v>
      </c>
      <c r="C73" s="290">
        <f t="shared" si="2"/>
        <v>1489</v>
      </c>
      <c r="D73" s="230" t="e">
        <f t="shared" si="0"/>
        <v>#DIV/0!</v>
      </c>
      <c r="E73" s="389" t="e">
        <f>G72*E12</f>
        <v>#DIV/0!</v>
      </c>
      <c r="F73" s="388" t="e">
        <f t="shared" si="3"/>
        <v>#DIV/0!</v>
      </c>
      <c r="G73" s="388" t="e">
        <f t="shared" si="5"/>
        <v>#DIV/0!</v>
      </c>
    </row>
    <row r="74" spans="2:7" x14ac:dyDescent="0.35">
      <c r="B74" s="227">
        <f t="shared" si="1"/>
        <v>51</v>
      </c>
      <c r="C74" s="290">
        <f t="shared" si="2"/>
        <v>1520</v>
      </c>
      <c r="D74" s="230" t="e">
        <f t="shared" si="0"/>
        <v>#DIV/0!</v>
      </c>
      <c r="E74" s="389" t="e">
        <f>G73*E12</f>
        <v>#DIV/0!</v>
      </c>
      <c r="F74" s="388" t="e">
        <f t="shared" si="3"/>
        <v>#DIV/0!</v>
      </c>
      <c r="G74" s="388" t="e">
        <f t="shared" si="5"/>
        <v>#DIV/0!</v>
      </c>
    </row>
    <row r="75" spans="2:7" x14ac:dyDescent="0.35">
      <c r="B75" s="227">
        <f t="shared" si="1"/>
        <v>52</v>
      </c>
      <c r="C75" s="290">
        <f t="shared" si="2"/>
        <v>1549</v>
      </c>
      <c r="D75" s="230" t="e">
        <f t="shared" si="0"/>
        <v>#DIV/0!</v>
      </c>
      <c r="E75" s="389" t="e">
        <f>G74*E12</f>
        <v>#DIV/0!</v>
      </c>
      <c r="F75" s="388" t="e">
        <f t="shared" si="3"/>
        <v>#DIV/0!</v>
      </c>
      <c r="G75" s="388" t="e">
        <f t="shared" si="5"/>
        <v>#DIV/0!</v>
      </c>
    </row>
    <row r="76" spans="2:7" x14ac:dyDescent="0.35">
      <c r="B76" s="227">
        <f t="shared" si="1"/>
        <v>53</v>
      </c>
      <c r="C76" s="290">
        <f t="shared" si="2"/>
        <v>1580</v>
      </c>
      <c r="D76" s="230" t="e">
        <f t="shared" si="0"/>
        <v>#DIV/0!</v>
      </c>
      <c r="E76" s="389" t="e">
        <f>G75*E12</f>
        <v>#DIV/0!</v>
      </c>
      <c r="F76" s="388" t="e">
        <f t="shared" si="3"/>
        <v>#DIV/0!</v>
      </c>
      <c r="G76" s="388" t="e">
        <f t="shared" si="5"/>
        <v>#DIV/0!</v>
      </c>
    </row>
    <row r="77" spans="2:7" x14ac:dyDescent="0.35">
      <c r="B77" s="227">
        <f t="shared" si="1"/>
        <v>54</v>
      </c>
      <c r="C77" s="290">
        <f t="shared" si="2"/>
        <v>1610</v>
      </c>
      <c r="D77" s="230" t="e">
        <f t="shared" si="0"/>
        <v>#DIV/0!</v>
      </c>
      <c r="E77" s="389" t="e">
        <f>G76*E12</f>
        <v>#DIV/0!</v>
      </c>
      <c r="F77" s="388" t="e">
        <f t="shared" si="3"/>
        <v>#DIV/0!</v>
      </c>
      <c r="G77" s="388" t="e">
        <f t="shared" si="5"/>
        <v>#DIV/0!</v>
      </c>
    </row>
    <row r="78" spans="2:7" x14ac:dyDescent="0.35">
      <c r="B78" s="227">
        <f t="shared" si="1"/>
        <v>55</v>
      </c>
      <c r="C78" s="290">
        <f t="shared" si="2"/>
        <v>1641</v>
      </c>
      <c r="D78" s="230" t="e">
        <f t="shared" si="0"/>
        <v>#DIV/0!</v>
      </c>
      <c r="E78" s="389" t="e">
        <f>G77*E12</f>
        <v>#DIV/0!</v>
      </c>
      <c r="F78" s="388" t="e">
        <f t="shared" si="3"/>
        <v>#DIV/0!</v>
      </c>
      <c r="G78" s="388" t="e">
        <f t="shared" si="5"/>
        <v>#DIV/0!</v>
      </c>
    </row>
    <row r="79" spans="2:7" x14ac:dyDescent="0.35">
      <c r="B79" s="227">
        <f t="shared" si="1"/>
        <v>56</v>
      </c>
      <c r="C79" s="290">
        <f t="shared" si="2"/>
        <v>1671</v>
      </c>
      <c r="D79" s="230" t="e">
        <f t="shared" si="0"/>
        <v>#DIV/0!</v>
      </c>
      <c r="E79" s="389" t="e">
        <f>G78*E12</f>
        <v>#DIV/0!</v>
      </c>
      <c r="F79" s="388" t="e">
        <f t="shared" si="3"/>
        <v>#DIV/0!</v>
      </c>
      <c r="G79" s="388" t="e">
        <f t="shared" si="5"/>
        <v>#DIV/0!</v>
      </c>
    </row>
    <row r="80" spans="2:7" x14ac:dyDescent="0.35">
      <c r="B80" s="227">
        <f t="shared" si="1"/>
        <v>57</v>
      </c>
      <c r="C80" s="290">
        <f t="shared" si="2"/>
        <v>1702</v>
      </c>
      <c r="D80" s="230" t="e">
        <f t="shared" si="0"/>
        <v>#DIV/0!</v>
      </c>
      <c r="E80" s="389" t="e">
        <f>G79*E12</f>
        <v>#DIV/0!</v>
      </c>
      <c r="F80" s="388" t="e">
        <f t="shared" si="3"/>
        <v>#DIV/0!</v>
      </c>
      <c r="G80" s="388" t="e">
        <f t="shared" si="5"/>
        <v>#DIV/0!</v>
      </c>
    </row>
    <row r="81" spans="2:7" x14ac:dyDescent="0.35">
      <c r="B81" s="227">
        <f t="shared" si="1"/>
        <v>58</v>
      </c>
      <c r="C81" s="290">
        <f t="shared" si="2"/>
        <v>1733</v>
      </c>
      <c r="D81" s="230" t="e">
        <f t="shared" si="0"/>
        <v>#DIV/0!</v>
      </c>
      <c r="E81" s="389" t="e">
        <f>G80*E12</f>
        <v>#DIV/0!</v>
      </c>
      <c r="F81" s="388" t="e">
        <f t="shared" si="3"/>
        <v>#DIV/0!</v>
      </c>
      <c r="G81" s="388" t="e">
        <f t="shared" si="5"/>
        <v>#DIV/0!</v>
      </c>
    </row>
    <row r="82" spans="2:7" x14ac:dyDescent="0.35">
      <c r="B82" s="227">
        <f t="shared" si="1"/>
        <v>59</v>
      </c>
      <c r="C82" s="290">
        <f t="shared" si="2"/>
        <v>1763</v>
      </c>
      <c r="D82" s="230" t="e">
        <f t="shared" si="0"/>
        <v>#DIV/0!</v>
      </c>
      <c r="E82" s="389" t="e">
        <f>G81*E12</f>
        <v>#DIV/0!</v>
      </c>
      <c r="F82" s="388" t="e">
        <f t="shared" si="3"/>
        <v>#DIV/0!</v>
      </c>
      <c r="G82" s="388" t="e">
        <f t="shared" si="5"/>
        <v>#DIV/0!</v>
      </c>
    </row>
    <row r="83" spans="2:7" x14ac:dyDescent="0.35">
      <c r="B83" s="227">
        <f t="shared" si="1"/>
        <v>60</v>
      </c>
      <c r="C83" s="290">
        <f t="shared" si="2"/>
        <v>1794</v>
      </c>
      <c r="D83" s="230" t="e">
        <f t="shared" si="0"/>
        <v>#DIV/0!</v>
      </c>
      <c r="E83" s="389" t="e">
        <f>G82*E12</f>
        <v>#DIV/0!</v>
      </c>
      <c r="F83" s="388" t="e">
        <f t="shared" si="3"/>
        <v>#DIV/0!</v>
      </c>
      <c r="G83" s="388" t="e">
        <f t="shared" si="5"/>
        <v>#DIV/0!</v>
      </c>
    </row>
    <row r="84" spans="2:7" x14ac:dyDescent="0.35">
      <c r="B84" s="227">
        <f t="shared" si="1"/>
        <v>61</v>
      </c>
      <c r="C84" s="290">
        <f t="shared" si="2"/>
        <v>1824</v>
      </c>
      <c r="D84" s="230" t="e">
        <f t="shared" ref="D84:D107" si="6">E84+F84</f>
        <v>#DIV/0!</v>
      </c>
      <c r="E84" s="389" t="e">
        <f>G83*E12</f>
        <v>#DIV/0!</v>
      </c>
      <c r="F84" s="388" t="e">
        <f t="shared" si="3"/>
        <v>#DIV/0!</v>
      </c>
      <c r="G84" s="388" t="e">
        <f t="shared" ref="G84:G107" si="7">G83-F84</f>
        <v>#DIV/0!</v>
      </c>
    </row>
    <row r="85" spans="2:7" x14ac:dyDescent="0.35">
      <c r="B85" s="227">
        <f t="shared" si="1"/>
        <v>62</v>
      </c>
      <c r="C85" s="290">
        <f t="shared" si="2"/>
        <v>1855</v>
      </c>
      <c r="D85" s="230" t="e">
        <f t="shared" si="6"/>
        <v>#DIV/0!</v>
      </c>
      <c r="E85" s="389" t="e">
        <f>G84*E12</f>
        <v>#DIV/0!</v>
      </c>
      <c r="F85" s="388" t="e">
        <f t="shared" si="3"/>
        <v>#DIV/0!</v>
      </c>
      <c r="G85" s="388" t="e">
        <f t="shared" si="7"/>
        <v>#DIV/0!</v>
      </c>
    </row>
    <row r="86" spans="2:7" x14ac:dyDescent="0.35">
      <c r="B86" s="227">
        <f t="shared" si="1"/>
        <v>63</v>
      </c>
      <c r="C86" s="290">
        <f t="shared" si="2"/>
        <v>1886</v>
      </c>
      <c r="D86" s="230" t="e">
        <f t="shared" si="6"/>
        <v>#DIV/0!</v>
      </c>
      <c r="E86" s="389" t="e">
        <f>G85*E12</f>
        <v>#DIV/0!</v>
      </c>
      <c r="F86" s="388" t="e">
        <f t="shared" si="3"/>
        <v>#DIV/0!</v>
      </c>
      <c r="G86" s="388" t="e">
        <f t="shared" si="7"/>
        <v>#DIV/0!</v>
      </c>
    </row>
    <row r="87" spans="2:7" x14ac:dyDescent="0.35">
      <c r="B87" s="227">
        <f t="shared" si="1"/>
        <v>64</v>
      </c>
      <c r="C87" s="290">
        <f t="shared" si="2"/>
        <v>1914</v>
      </c>
      <c r="D87" s="230" t="e">
        <f t="shared" si="6"/>
        <v>#DIV/0!</v>
      </c>
      <c r="E87" s="389" t="e">
        <f>G86*E12</f>
        <v>#DIV/0!</v>
      </c>
      <c r="F87" s="388" t="e">
        <f t="shared" si="3"/>
        <v>#DIV/0!</v>
      </c>
      <c r="G87" s="388" t="e">
        <f t="shared" si="7"/>
        <v>#DIV/0!</v>
      </c>
    </row>
    <row r="88" spans="2:7" x14ac:dyDescent="0.35">
      <c r="B88" s="227">
        <f t="shared" si="1"/>
        <v>65</v>
      </c>
      <c r="C88" s="290">
        <f t="shared" si="2"/>
        <v>1945</v>
      </c>
      <c r="D88" s="230" t="e">
        <f t="shared" si="6"/>
        <v>#DIV/0!</v>
      </c>
      <c r="E88" s="389" t="e">
        <f>G87*E12</f>
        <v>#DIV/0!</v>
      </c>
      <c r="F88" s="388" t="e">
        <f t="shared" si="3"/>
        <v>#DIV/0!</v>
      </c>
      <c r="G88" s="388" t="e">
        <f t="shared" si="7"/>
        <v>#DIV/0!</v>
      </c>
    </row>
    <row r="89" spans="2:7" x14ac:dyDescent="0.35">
      <c r="B89" s="227">
        <f t="shared" si="1"/>
        <v>66</v>
      </c>
      <c r="C89" s="290">
        <f t="shared" si="2"/>
        <v>1975</v>
      </c>
      <c r="D89" s="230" t="e">
        <f t="shared" si="6"/>
        <v>#DIV/0!</v>
      </c>
      <c r="E89" s="389" t="e">
        <f>G88*E12</f>
        <v>#DIV/0!</v>
      </c>
      <c r="F89" s="388" t="e">
        <f t="shared" si="3"/>
        <v>#DIV/0!</v>
      </c>
      <c r="G89" s="388" t="e">
        <f t="shared" si="7"/>
        <v>#DIV/0!</v>
      </c>
    </row>
    <row r="90" spans="2:7" x14ac:dyDescent="0.35">
      <c r="B90" s="227">
        <f t="shared" ref="B90:B107" si="8">B89+1</f>
        <v>67</v>
      </c>
      <c r="C90" s="290">
        <f t="shared" ref="C90:C107" si="9">EDATE(C89,1)</f>
        <v>2006</v>
      </c>
      <c r="D90" s="230" t="e">
        <f t="shared" si="6"/>
        <v>#DIV/0!</v>
      </c>
      <c r="E90" s="389" t="e">
        <f>G89*E12</f>
        <v>#DIV/0!</v>
      </c>
      <c r="F90" s="388" t="e">
        <f t="shared" ref="F90:F107" si="10">F89</f>
        <v>#DIV/0!</v>
      </c>
      <c r="G90" s="388" t="e">
        <f t="shared" si="7"/>
        <v>#DIV/0!</v>
      </c>
    </row>
    <row r="91" spans="2:7" x14ac:dyDescent="0.35">
      <c r="B91" s="227">
        <f t="shared" si="8"/>
        <v>68</v>
      </c>
      <c r="C91" s="290">
        <f t="shared" si="9"/>
        <v>2036</v>
      </c>
      <c r="D91" s="230" t="e">
        <f t="shared" si="6"/>
        <v>#DIV/0!</v>
      </c>
      <c r="E91" s="389" t="e">
        <f>G90*E12</f>
        <v>#DIV/0!</v>
      </c>
      <c r="F91" s="388" t="e">
        <f t="shared" si="10"/>
        <v>#DIV/0!</v>
      </c>
      <c r="G91" s="388" t="e">
        <f t="shared" si="7"/>
        <v>#DIV/0!</v>
      </c>
    </row>
    <row r="92" spans="2:7" x14ac:dyDescent="0.35">
      <c r="B92" s="227">
        <f t="shared" si="8"/>
        <v>69</v>
      </c>
      <c r="C92" s="290">
        <f t="shared" si="9"/>
        <v>2067</v>
      </c>
      <c r="D92" s="230" t="e">
        <f t="shared" si="6"/>
        <v>#DIV/0!</v>
      </c>
      <c r="E92" s="389" t="e">
        <f>G91*E12</f>
        <v>#DIV/0!</v>
      </c>
      <c r="F92" s="388" t="e">
        <f t="shared" si="10"/>
        <v>#DIV/0!</v>
      </c>
      <c r="G92" s="388" t="e">
        <f t="shared" si="7"/>
        <v>#DIV/0!</v>
      </c>
    </row>
    <row r="93" spans="2:7" x14ac:dyDescent="0.35">
      <c r="B93" s="227">
        <f t="shared" si="8"/>
        <v>70</v>
      </c>
      <c r="C93" s="290">
        <f t="shared" si="9"/>
        <v>2098</v>
      </c>
      <c r="D93" s="230" t="e">
        <f t="shared" si="6"/>
        <v>#DIV/0!</v>
      </c>
      <c r="E93" s="389" t="e">
        <f>G92*E12</f>
        <v>#DIV/0!</v>
      </c>
      <c r="F93" s="388" t="e">
        <f t="shared" si="10"/>
        <v>#DIV/0!</v>
      </c>
      <c r="G93" s="388" t="e">
        <f t="shared" si="7"/>
        <v>#DIV/0!</v>
      </c>
    </row>
    <row r="94" spans="2:7" x14ac:dyDescent="0.35">
      <c r="B94" s="227">
        <f t="shared" si="8"/>
        <v>71</v>
      </c>
      <c r="C94" s="290">
        <f t="shared" si="9"/>
        <v>2128</v>
      </c>
      <c r="D94" s="230" t="e">
        <f t="shared" si="6"/>
        <v>#DIV/0!</v>
      </c>
      <c r="E94" s="389" t="e">
        <f>G93*E12</f>
        <v>#DIV/0!</v>
      </c>
      <c r="F94" s="388" t="e">
        <f t="shared" si="10"/>
        <v>#DIV/0!</v>
      </c>
      <c r="G94" s="388" t="e">
        <f t="shared" si="7"/>
        <v>#DIV/0!</v>
      </c>
    </row>
    <row r="95" spans="2:7" x14ac:dyDescent="0.35">
      <c r="B95" s="227">
        <f t="shared" si="8"/>
        <v>72</v>
      </c>
      <c r="C95" s="290">
        <f t="shared" si="9"/>
        <v>2159</v>
      </c>
      <c r="D95" s="230" t="e">
        <f t="shared" si="6"/>
        <v>#DIV/0!</v>
      </c>
      <c r="E95" s="389" t="e">
        <f>G94*E12</f>
        <v>#DIV/0!</v>
      </c>
      <c r="F95" s="388" t="e">
        <f t="shared" si="10"/>
        <v>#DIV/0!</v>
      </c>
      <c r="G95" s="388" t="e">
        <f t="shared" si="7"/>
        <v>#DIV/0!</v>
      </c>
    </row>
    <row r="96" spans="2:7" x14ac:dyDescent="0.35">
      <c r="B96" s="227">
        <f t="shared" si="8"/>
        <v>73</v>
      </c>
      <c r="C96" s="290">
        <f t="shared" si="9"/>
        <v>2189</v>
      </c>
      <c r="D96" s="230" t="e">
        <f t="shared" si="6"/>
        <v>#DIV/0!</v>
      </c>
      <c r="E96" s="389" t="e">
        <f>G95*E12</f>
        <v>#DIV/0!</v>
      </c>
      <c r="F96" s="388" t="e">
        <f t="shared" si="10"/>
        <v>#DIV/0!</v>
      </c>
      <c r="G96" s="388" t="e">
        <f t="shared" si="7"/>
        <v>#DIV/0!</v>
      </c>
    </row>
    <row r="97" spans="2:7" x14ac:dyDescent="0.35">
      <c r="B97" s="227">
        <f t="shared" si="8"/>
        <v>74</v>
      </c>
      <c r="C97" s="290">
        <f t="shared" si="9"/>
        <v>2220</v>
      </c>
      <c r="D97" s="230" t="e">
        <f t="shared" si="6"/>
        <v>#DIV/0!</v>
      </c>
      <c r="E97" s="389" t="e">
        <f>G96*E12</f>
        <v>#DIV/0!</v>
      </c>
      <c r="F97" s="388" t="e">
        <f t="shared" si="10"/>
        <v>#DIV/0!</v>
      </c>
      <c r="G97" s="388" t="e">
        <f t="shared" si="7"/>
        <v>#DIV/0!</v>
      </c>
    </row>
    <row r="98" spans="2:7" x14ac:dyDescent="0.35">
      <c r="B98" s="227">
        <f t="shared" si="8"/>
        <v>75</v>
      </c>
      <c r="C98" s="290">
        <f t="shared" si="9"/>
        <v>2251</v>
      </c>
      <c r="D98" s="230" t="e">
        <f t="shared" si="6"/>
        <v>#DIV/0!</v>
      </c>
      <c r="E98" s="389" t="e">
        <f>G97*E12</f>
        <v>#DIV/0!</v>
      </c>
      <c r="F98" s="388" t="e">
        <f t="shared" si="10"/>
        <v>#DIV/0!</v>
      </c>
      <c r="G98" s="388" t="e">
        <f t="shared" si="7"/>
        <v>#DIV/0!</v>
      </c>
    </row>
    <row r="99" spans="2:7" x14ac:dyDescent="0.35">
      <c r="B99" s="227">
        <f t="shared" si="8"/>
        <v>76</v>
      </c>
      <c r="C99" s="290">
        <f t="shared" si="9"/>
        <v>2279</v>
      </c>
      <c r="D99" s="230" t="e">
        <f t="shared" si="6"/>
        <v>#DIV/0!</v>
      </c>
      <c r="E99" s="389" t="e">
        <f>G98*E12</f>
        <v>#DIV/0!</v>
      </c>
      <c r="F99" s="388" t="e">
        <f t="shared" si="10"/>
        <v>#DIV/0!</v>
      </c>
      <c r="G99" s="388" t="e">
        <f t="shared" si="7"/>
        <v>#DIV/0!</v>
      </c>
    </row>
    <row r="100" spans="2:7" x14ac:dyDescent="0.35">
      <c r="B100" s="227">
        <f t="shared" si="8"/>
        <v>77</v>
      </c>
      <c r="C100" s="290">
        <f t="shared" si="9"/>
        <v>2310</v>
      </c>
      <c r="D100" s="230" t="e">
        <f t="shared" si="6"/>
        <v>#DIV/0!</v>
      </c>
      <c r="E100" s="389" t="e">
        <f>G99*E12</f>
        <v>#DIV/0!</v>
      </c>
      <c r="F100" s="388" t="e">
        <f t="shared" si="10"/>
        <v>#DIV/0!</v>
      </c>
      <c r="G100" s="388" t="e">
        <f t="shared" si="7"/>
        <v>#DIV/0!</v>
      </c>
    </row>
    <row r="101" spans="2:7" x14ac:dyDescent="0.35">
      <c r="B101" s="227">
        <f t="shared" si="8"/>
        <v>78</v>
      </c>
      <c r="C101" s="290">
        <f t="shared" si="9"/>
        <v>2340</v>
      </c>
      <c r="D101" s="230" t="e">
        <f t="shared" si="6"/>
        <v>#DIV/0!</v>
      </c>
      <c r="E101" s="389" t="e">
        <f>G100*E12</f>
        <v>#DIV/0!</v>
      </c>
      <c r="F101" s="388" t="e">
        <f t="shared" si="10"/>
        <v>#DIV/0!</v>
      </c>
      <c r="G101" s="388" t="e">
        <f t="shared" si="7"/>
        <v>#DIV/0!</v>
      </c>
    </row>
    <row r="102" spans="2:7" x14ac:dyDescent="0.35">
      <c r="B102" s="227">
        <f t="shared" si="8"/>
        <v>79</v>
      </c>
      <c r="C102" s="290">
        <f t="shared" si="9"/>
        <v>2371</v>
      </c>
      <c r="D102" s="230" t="e">
        <f t="shared" si="6"/>
        <v>#DIV/0!</v>
      </c>
      <c r="E102" s="389" t="e">
        <f>G101*E12</f>
        <v>#DIV/0!</v>
      </c>
      <c r="F102" s="388" t="e">
        <f t="shared" si="10"/>
        <v>#DIV/0!</v>
      </c>
      <c r="G102" s="388" t="e">
        <f t="shared" si="7"/>
        <v>#DIV/0!</v>
      </c>
    </row>
    <row r="103" spans="2:7" x14ac:dyDescent="0.35">
      <c r="B103" s="227">
        <f t="shared" si="8"/>
        <v>80</v>
      </c>
      <c r="C103" s="290">
        <f t="shared" si="9"/>
        <v>2401</v>
      </c>
      <c r="D103" s="230" t="e">
        <f t="shared" si="6"/>
        <v>#DIV/0!</v>
      </c>
      <c r="E103" s="389" t="e">
        <f>G102*E12</f>
        <v>#DIV/0!</v>
      </c>
      <c r="F103" s="388" t="e">
        <f t="shared" si="10"/>
        <v>#DIV/0!</v>
      </c>
      <c r="G103" s="388" t="e">
        <f t="shared" si="7"/>
        <v>#DIV/0!</v>
      </c>
    </row>
    <row r="104" spans="2:7" x14ac:dyDescent="0.35">
      <c r="B104" s="227">
        <f t="shared" si="8"/>
        <v>81</v>
      </c>
      <c r="C104" s="290">
        <f t="shared" si="9"/>
        <v>2432</v>
      </c>
      <c r="D104" s="230" t="e">
        <f t="shared" si="6"/>
        <v>#DIV/0!</v>
      </c>
      <c r="E104" s="389" t="e">
        <f>G103*E12</f>
        <v>#DIV/0!</v>
      </c>
      <c r="F104" s="388" t="e">
        <f t="shared" si="10"/>
        <v>#DIV/0!</v>
      </c>
      <c r="G104" s="388" t="e">
        <f t="shared" si="7"/>
        <v>#DIV/0!</v>
      </c>
    </row>
    <row r="105" spans="2:7" x14ac:dyDescent="0.35">
      <c r="B105" s="227">
        <f t="shared" si="8"/>
        <v>82</v>
      </c>
      <c r="C105" s="290">
        <f t="shared" si="9"/>
        <v>2463</v>
      </c>
      <c r="D105" s="230" t="e">
        <f t="shared" si="6"/>
        <v>#DIV/0!</v>
      </c>
      <c r="E105" s="389" t="e">
        <f>G104*E12</f>
        <v>#DIV/0!</v>
      </c>
      <c r="F105" s="388" t="e">
        <f t="shared" si="10"/>
        <v>#DIV/0!</v>
      </c>
      <c r="G105" s="388" t="e">
        <f t="shared" si="7"/>
        <v>#DIV/0!</v>
      </c>
    </row>
    <row r="106" spans="2:7" x14ac:dyDescent="0.35">
      <c r="B106" s="227">
        <f t="shared" si="8"/>
        <v>83</v>
      </c>
      <c r="C106" s="290">
        <f t="shared" si="9"/>
        <v>2493</v>
      </c>
      <c r="D106" s="230" t="e">
        <f t="shared" si="6"/>
        <v>#DIV/0!</v>
      </c>
      <c r="E106" s="389" t="e">
        <f>G105*E12</f>
        <v>#DIV/0!</v>
      </c>
      <c r="F106" s="388" t="e">
        <f t="shared" si="10"/>
        <v>#DIV/0!</v>
      </c>
      <c r="G106" s="388" t="e">
        <f t="shared" si="7"/>
        <v>#DIV/0!</v>
      </c>
    </row>
    <row r="107" spans="2:7" x14ac:dyDescent="0.35">
      <c r="B107" s="227">
        <f t="shared" si="8"/>
        <v>84</v>
      </c>
      <c r="C107" s="290">
        <f t="shared" si="9"/>
        <v>2524</v>
      </c>
      <c r="D107" s="230" t="e">
        <f t="shared" si="6"/>
        <v>#DIV/0!</v>
      </c>
      <c r="E107" s="389" t="e">
        <f>G106*E12</f>
        <v>#DIV/0!</v>
      </c>
      <c r="F107" s="388" t="e">
        <f t="shared" si="10"/>
        <v>#DIV/0!</v>
      </c>
      <c r="G107" s="388" t="e">
        <f t="shared" si="7"/>
        <v>#DIV/0!</v>
      </c>
    </row>
    <row r="155" spans="2:5" x14ac:dyDescent="0.35">
      <c r="B155" s="503" t="s">
        <v>304</v>
      </c>
      <c r="C155" s="504"/>
      <c r="D155" s="504"/>
      <c r="E155" s="505"/>
    </row>
    <row r="156" spans="2:5" ht="2.25" customHeight="1" x14ac:dyDescent="0.35"/>
    <row r="157" spans="2:5" x14ac:dyDescent="0.35">
      <c r="B157" s="18">
        <v>100</v>
      </c>
      <c r="D157" s="231">
        <f>100+100*E12</f>
        <v>100</v>
      </c>
      <c r="E157" s="232">
        <f>B157/D157</f>
        <v>1</v>
      </c>
    </row>
    <row r="158" spans="2:5" x14ac:dyDescent="0.35">
      <c r="B158" s="18">
        <v>100</v>
      </c>
      <c r="D158" s="231">
        <f>D157+D157*E12</f>
        <v>100</v>
      </c>
      <c r="E158" s="232">
        <f t="shared" ref="E158:E192" si="11">B158/D158</f>
        <v>1</v>
      </c>
    </row>
    <row r="159" spans="2:5" x14ac:dyDescent="0.35">
      <c r="B159" s="18">
        <v>100</v>
      </c>
      <c r="D159" s="231">
        <f>D158+D158*E12</f>
        <v>100</v>
      </c>
      <c r="E159" s="232">
        <f t="shared" si="11"/>
        <v>1</v>
      </c>
    </row>
    <row r="160" spans="2:5" x14ac:dyDescent="0.35">
      <c r="B160" s="18">
        <v>100</v>
      </c>
      <c r="D160" s="231">
        <f>D159+D159*E12</f>
        <v>100</v>
      </c>
      <c r="E160" s="232">
        <f t="shared" si="11"/>
        <v>1</v>
      </c>
    </row>
    <row r="161" spans="2:5" x14ac:dyDescent="0.35">
      <c r="B161" s="18">
        <v>100</v>
      </c>
      <c r="D161" s="231">
        <f>D160+D160*E12</f>
        <v>100</v>
      </c>
      <c r="E161" s="232">
        <f t="shared" si="11"/>
        <v>1</v>
      </c>
    </row>
    <row r="162" spans="2:5" x14ac:dyDescent="0.35">
      <c r="B162" s="18">
        <v>100</v>
      </c>
      <c r="D162" s="231">
        <f>D161+D161*E12</f>
        <v>100</v>
      </c>
      <c r="E162" s="232">
        <f t="shared" si="11"/>
        <v>1</v>
      </c>
    </row>
    <row r="163" spans="2:5" x14ac:dyDescent="0.35">
      <c r="B163" s="18">
        <v>100</v>
      </c>
      <c r="D163" s="231">
        <f>D162+D162*E12</f>
        <v>100</v>
      </c>
      <c r="E163" s="232">
        <f t="shared" si="11"/>
        <v>1</v>
      </c>
    </row>
    <row r="164" spans="2:5" x14ac:dyDescent="0.35">
      <c r="B164" s="18">
        <v>100</v>
      </c>
      <c r="D164" s="231">
        <f>D163+D163*E12</f>
        <v>100</v>
      </c>
      <c r="E164" s="232">
        <f t="shared" si="11"/>
        <v>1</v>
      </c>
    </row>
    <row r="165" spans="2:5" x14ac:dyDescent="0.35">
      <c r="B165" s="18">
        <v>100</v>
      </c>
      <c r="D165" s="231">
        <f>D164+D164*E12</f>
        <v>100</v>
      </c>
      <c r="E165" s="232">
        <f t="shared" si="11"/>
        <v>1</v>
      </c>
    </row>
    <row r="166" spans="2:5" x14ac:dyDescent="0.35">
      <c r="B166" s="18">
        <v>100</v>
      </c>
      <c r="D166" s="231">
        <f>D165+D165*E12</f>
        <v>100</v>
      </c>
      <c r="E166" s="232">
        <f t="shared" si="11"/>
        <v>1</v>
      </c>
    </row>
    <row r="167" spans="2:5" x14ac:dyDescent="0.35">
      <c r="B167" s="18">
        <v>100</v>
      </c>
      <c r="D167" s="231">
        <f>D166+D166*E12</f>
        <v>100</v>
      </c>
      <c r="E167" s="232">
        <f t="shared" si="11"/>
        <v>1</v>
      </c>
    </row>
    <row r="168" spans="2:5" x14ac:dyDescent="0.35">
      <c r="B168" s="18">
        <v>100</v>
      </c>
      <c r="D168" s="231">
        <f>D167+D167*E12</f>
        <v>100</v>
      </c>
      <c r="E168" s="232">
        <f t="shared" si="11"/>
        <v>1</v>
      </c>
    </row>
    <row r="169" spans="2:5" x14ac:dyDescent="0.35">
      <c r="B169" s="18">
        <v>100</v>
      </c>
      <c r="D169" s="231">
        <f>D168+D168*E12</f>
        <v>100</v>
      </c>
      <c r="E169" s="232">
        <f t="shared" si="11"/>
        <v>1</v>
      </c>
    </row>
    <row r="170" spans="2:5" x14ac:dyDescent="0.35">
      <c r="B170" s="18">
        <v>100</v>
      </c>
      <c r="D170" s="231">
        <f>D169+D169*E12</f>
        <v>100</v>
      </c>
      <c r="E170" s="232">
        <f t="shared" si="11"/>
        <v>1</v>
      </c>
    </row>
    <row r="171" spans="2:5" x14ac:dyDescent="0.35">
      <c r="B171" s="18">
        <v>100</v>
      </c>
      <c r="D171" s="231">
        <f>D170+D170*E12</f>
        <v>100</v>
      </c>
      <c r="E171" s="232">
        <f t="shared" si="11"/>
        <v>1</v>
      </c>
    </row>
    <row r="172" spans="2:5" x14ac:dyDescent="0.35">
      <c r="B172" s="18">
        <v>100</v>
      </c>
      <c r="D172" s="231">
        <f>D171+D171*E12</f>
        <v>100</v>
      </c>
      <c r="E172" s="232">
        <f t="shared" si="11"/>
        <v>1</v>
      </c>
    </row>
    <row r="173" spans="2:5" x14ac:dyDescent="0.35">
      <c r="B173" s="18">
        <v>100</v>
      </c>
      <c r="D173" s="231">
        <f>D172+D172*E12</f>
        <v>100</v>
      </c>
      <c r="E173" s="232">
        <f t="shared" si="11"/>
        <v>1</v>
      </c>
    </row>
    <row r="174" spans="2:5" x14ac:dyDescent="0.35">
      <c r="B174" s="18">
        <v>100</v>
      </c>
      <c r="D174" s="231">
        <f>D173+D173*E12</f>
        <v>100</v>
      </c>
      <c r="E174" s="232">
        <f t="shared" si="11"/>
        <v>1</v>
      </c>
    </row>
    <row r="175" spans="2:5" x14ac:dyDescent="0.35">
      <c r="B175" s="18">
        <v>100</v>
      </c>
      <c r="D175" s="231">
        <f>D174+D174*E12</f>
        <v>100</v>
      </c>
      <c r="E175" s="232">
        <f t="shared" si="11"/>
        <v>1</v>
      </c>
    </row>
    <row r="176" spans="2:5" x14ac:dyDescent="0.35">
      <c r="B176" s="18">
        <v>100</v>
      </c>
      <c r="D176" s="231">
        <f>D175+D175*E12</f>
        <v>100</v>
      </c>
      <c r="E176" s="232">
        <f t="shared" si="11"/>
        <v>1</v>
      </c>
    </row>
    <row r="177" spans="2:5" x14ac:dyDescent="0.35">
      <c r="B177" s="18">
        <v>100</v>
      </c>
      <c r="D177" s="231">
        <f>D176+D176*E12</f>
        <v>100</v>
      </c>
      <c r="E177" s="232">
        <f t="shared" si="11"/>
        <v>1</v>
      </c>
    </row>
    <row r="178" spans="2:5" x14ac:dyDescent="0.35">
      <c r="B178" s="18">
        <v>100</v>
      </c>
      <c r="D178" s="231">
        <f>D177+D177*E12</f>
        <v>100</v>
      </c>
      <c r="E178" s="232">
        <f t="shared" si="11"/>
        <v>1</v>
      </c>
    </row>
    <row r="179" spans="2:5" x14ac:dyDescent="0.35">
      <c r="B179" s="18">
        <v>100</v>
      </c>
      <c r="D179" s="231">
        <f>D178+D178*E12</f>
        <v>100</v>
      </c>
      <c r="E179" s="232">
        <f t="shared" si="11"/>
        <v>1</v>
      </c>
    </row>
    <row r="180" spans="2:5" x14ac:dyDescent="0.35">
      <c r="B180" s="18">
        <v>100</v>
      </c>
      <c r="D180" s="231">
        <f>D179+D179*E12</f>
        <v>100</v>
      </c>
      <c r="E180" s="232">
        <f t="shared" si="11"/>
        <v>1</v>
      </c>
    </row>
    <row r="181" spans="2:5" x14ac:dyDescent="0.35">
      <c r="B181" s="18">
        <v>100</v>
      </c>
      <c r="D181" s="231">
        <f>D180+D180*E12</f>
        <v>100</v>
      </c>
      <c r="E181" s="232">
        <f t="shared" si="11"/>
        <v>1</v>
      </c>
    </row>
    <row r="182" spans="2:5" x14ac:dyDescent="0.35">
      <c r="B182" s="18">
        <v>100</v>
      </c>
      <c r="D182" s="231">
        <f>D181+D181*E12</f>
        <v>100</v>
      </c>
      <c r="E182" s="232">
        <f t="shared" si="11"/>
        <v>1</v>
      </c>
    </row>
    <row r="183" spans="2:5" x14ac:dyDescent="0.35">
      <c r="B183" s="18">
        <v>100</v>
      </c>
      <c r="D183" s="231">
        <f>D182+D182*E12</f>
        <v>100</v>
      </c>
      <c r="E183" s="232">
        <f t="shared" si="11"/>
        <v>1</v>
      </c>
    </row>
    <row r="184" spans="2:5" x14ac:dyDescent="0.35">
      <c r="B184" s="18">
        <v>100</v>
      </c>
      <c r="D184" s="231">
        <f>D183+D183*E12</f>
        <v>100</v>
      </c>
      <c r="E184" s="232">
        <f t="shared" si="11"/>
        <v>1</v>
      </c>
    </row>
    <row r="185" spans="2:5" x14ac:dyDescent="0.35">
      <c r="B185" s="18">
        <v>100</v>
      </c>
      <c r="D185" s="231">
        <f>D184+D184*E12</f>
        <v>100</v>
      </c>
      <c r="E185" s="232">
        <f t="shared" si="11"/>
        <v>1</v>
      </c>
    </row>
    <row r="186" spans="2:5" x14ac:dyDescent="0.35">
      <c r="B186" s="18">
        <v>100</v>
      </c>
      <c r="D186" s="231">
        <f>D185+D185*E12</f>
        <v>100</v>
      </c>
      <c r="E186" s="232">
        <f t="shared" si="11"/>
        <v>1</v>
      </c>
    </row>
    <row r="187" spans="2:5" x14ac:dyDescent="0.35">
      <c r="B187" s="18">
        <v>100</v>
      </c>
      <c r="D187" s="231">
        <f>D186+D186*E12</f>
        <v>100</v>
      </c>
      <c r="E187" s="232">
        <f t="shared" si="11"/>
        <v>1</v>
      </c>
    </row>
    <row r="188" spans="2:5" x14ac:dyDescent="0.35">
      <c r="B188" s="18">
        <v>100</v>
      </c>
      <c r="D188" s="231">
        <f>D187+D187*E12</f>
        <v>100</v>
      </c>
      <c r="E188" s="232">
        <f t="shared" si="11"/>
        <v>1</v>
      </c>
    </row>
    <row r="189" spans="2:5" x14ac:dyDescent="0.35">
      <c r="B189" s="18">
        <v>100</v>
      </c>
      <c r="D189" s="231">
        <f>D188+D188*E12</f>
        <v>100</v>
      </c>
      <c r="E189" s="232">
        <f t="shared" si="11"/>
        <v>1</v>
      </c>
    </row>
    <row r="190" spans="2:5" x14ac:dyDescent="0.35">
      <c r="B190" s="18">
        <v>100</v>
      </c>
      <c r="D190" s="231">
        <f>D189+D189*E12</f>
        <v>100</v>
      </c>
      <c r="E190" s="232">
        <f t="shared" si="11"/>
        <v>1</v>
      </c>
    </row>
    <row r="191" spans="2:5" x14ac:dyDescent="0.35">
      <c r="B191" s="18">
        <v>100</v>
      </c>
      <c r="D191" s="231">
        <f>D190+D190*E12</f>
        <v>100</v>
      </c>
      <c r="E191" s="232">
        <f t="shared" si="11"/>
        <v>1</v>
      </c>
    </row>
    <row r="192" spans="2:5" x14ac:dyDescent="0.35">
      <c r="B192" s="18">
        <v>100</v>
      </c>
      <c r="D192" s="231">
        <f>D191+D191*E12</f>
        <v>100</v>
      </c>
      <c r="E192" s="232">
        <f t="shared" si="11"/>
        <v>1</v>
      </c>
    </row>
    <row r="193" spans="2:5" x14ac:dyDescent="0.35">
      <c r="B193" s="493" t="s">
        <v>305</v>
      </c>
      <c r="C193" s="493"/>
      <c r="D193" s="493"/>
      <c r="E193" s="232">
        <f>SUM(E157:E192)</f>
        <v>36</v>
      </c>
    </row>
  </sheetData>
  <mergeCells count="14">
    <mergeCell ref="J6:L6"/>
    <mergeCell ref="B8:D8"/>
    <mergeCell ref="J8:L10"/>
    <mergeCell ref="B10:D10"/>
    <mergeCell ref="B193:D193"/>
    <mergeCell ref="B14:D14"/>
    <mergeCell ref="B16:D16"/>
    <mergeCell ref="B20:G20"/>
    <mergeCell ref="B155:E155"/>
    <mergeCell ref="A1:G1"/>
    <mergeCell ref="A2:G2"/>
    <mergeCell ref="A3:G3"/>
    <mergeCell ref="B5:G6"/>
    <mergeCell ref="B12:D12"/>
  </mergeCells>
  <dataValidations count="2">
    <dataValidation type="textLength" allowBlank="1" showInputMessage="1" showErrorMessage="1" sqref="E12" xr:uid="{219BE1CA-F82C-4FC1-95EA-062538970235}">
      <formula1>0</formula1>
      <formula2>0</formula2>
    </dataValidation>
    <dataValidation errorStyle="warning" allowBlank="1" showInputMessage="1" showErrorMessage="1" errorTitle="ONLY %" promptTitle="INTEREST % PER ANNUM" sqref="E10" xr:uid="{36164C81-E026-47F5-90AA-F3B73DB78467}"/>
  </dataValidations>
  <pageMargins left="0.47244094488188981" right="0.31496062992125984" top="0.39370078740157483" bottom="0.39370078740157483" header="0.31496062992125984" footer="0.31496062992125984"/>
  <pageSetup scale="11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42FB-E100-47D9-A82A-6369C0A7B740}">
  <dimension ref="A1:I22"/>
  <sheetViews>
    <sheetView topLeftCell="A10" zoomScaleNormal="100" workbookViewId="0">
      <selection activeCell="O22" sqref="O22"/>
    </sheetView>
  </sheetViews>
  <sheetFormatPr defaultColWidth="9.109375" defaultRowHeight="14.4" x14ac:dyDescent="0.3"/>
  <cols>
    <col min="1" max="1" width="21.44140625" style="39" customWidth="1"/>
    <col min="2" max="2" width="15.109375" style="39" customWidth="1"/>
    <col min="3" max="5" width="16" style="39" bestFit="1" customWidth="1"/>
    <col min="6" max="6" width="14.6640625" style="39" customWidth="1"/>
    <col min="7" max="7" width="14.33203125" style="39" customWidth="1"/>
    <col min="8" max="8" width="14.88671875" style="39" customWidth="1"/>
    <col min="9" max="9" width="15.33203125" style="39" customWidth="1"/>
    <col min="10" max="16384" width="9.109375" style="39"/>
  </cols>
  <sheetData>
    <row r="1" spans="1:9" x14ac:dyDescent="0.3">
      <c r="A1" s="476">
        <f>Assumptions.1!I3</f>
        <v>0</v>
      </c>
      <c r="B1" s="476"/>
      <c r="C1" s="476"/>
      <c r="D1" s="476"/>
      <c r="E1" s="476"/>
      <c r="F1" s="476"/>
      <c r="G1" s="476"/>
      <c r="H1" s="476"/>
      <c r="I1" s="476"/>
    </row>
    <row r="2" spans="1:9" x14ac:dyDescent="0.3">
      <c r="A2" s="476">
        <f>Assumptions.1!I5</f>
        <v>0</v>
      </c>
      <c r="B2" s="476"/>
      <c r="C2" s="476"/>
      <c r="D2" s="476"/>
      <c r="E2" s="476"/>
      <c r="F2" s="476"/>
      <c r="G2" s="476"/>
      <c r="H2" s="476"/>
      <c r="I2" s="476"/>
    </row>
    <row r="3" spans="1:9" x14ac:dyDescent="0.3">
      <c r="A3" s="476">
        <f>Assumptions.1!I6</f>
        <v>0</v>
      </c>
      <c r="B3" s="476"/>
      <c r="C3" s="476"/>
      <c r="D3" s="476"/>
      <c r="E3" s="476"/>
      <c r="F3" s="476"/>
      <c r="G3" s="476"/>
      <c r="H3" s="476"/>
      <c r="I3" s="476"/>
    </row>
    <row r="6" spans="1:9" x14ac:dyDescent="0.3">
      <c r="A6" s="506" t="s">
        <v>306</v>
      </c>
      <c r="B6" s="506"/>
      <c r="C6" s="506"/>
      <c r="D6" s="506"/>
      <c r="E6" s="506"/>
      <c r="F6" s="506"/>
      <c r="G6" s="506"/>
      <c r="H6" s="506"/>
      <c r="I6" s="506"/>
    </row>
    <row r="7" spans="1:9" x14ac:dyDescent="0.3">
      <c r="A7" s="43"/>
    </row>
    <row r="8" spans="1:9" s="43" customFormat="1" ht="52.5" customHeight="1" x14ac:dyDescent="0.3">
      <c r="A8" s="259" t="s">
        <v>23</v>
      </c>
      <c r="B8" s="260" t="str">
        <f>PLBS!D6</f>
        <v>2025-26</v>
      </c>
      <c r="C8" s="260">
        <f>PLBS!E6</f>
        <v>0</v>
      </c>
      <c r="D8" s="260">
        <f>PLBS!F6</f>
        <v>0</v>
      </c>
      <c r="E8" s="260" t="str">
        <f>PLBS!G6</f>
        <v>2028-29</v>
      </c>
      <c r="F8" s="260" t="str">
        <f>PLBS!H6</f>
        <v>2029-30</v>
      </c>
      <c r="G8" s="260">
        <f>PLBS!I6</f>
        <v>0</v>
      </c>
      <c r="H8" s="260" t="s">
        <v>394</v>
      </c>
      <c r="I8" s="260" t="s">
        <v>395</v>
      </c>
    </row>
    <row r="9" spans="1:9" ht="33.75" customHeight="1" x14ac:dyDescent="0.3">
      <c r="A9" s="393" t="s">
        <v>307</v>
      </c>
      <c r="B9" s="390">
        <v>0</v>
      </c>
      <c r="C9" s="390" t="e">
        <f>'Loan Sch'!F30</f>
        <v>#DIV/0!</v>
      </c>
      <c r="D9" s="391" t="e">
        <f>'Loan Sch'!F42</f>
        <v>#DIV/0!</v>
      </c>
      <c r="E9" s="391" t="e">
        <f>'Loan Sch'!F54</f>
        <v>#DIV/0!</v>
      </c>
      <c r="F9" s="391" t="e">
        <f>'Loan Sch'!F66</f>
        <v>#DIV/0!</v>
      </c>
      <c r="G9" s="391" t="e">
        <f>'Loan Sch'!F78</f>
        <v>#DIV/0!</v>
      </c>
      <c r="H9" s="391" t="e">
        <f>'Loan Sch'!F90</f>
        <v>#DIV/0!</v>
      </c>
      <c r="I9" s="391" t="e">
        <f>'Loan Sch'!F102</f>
        <v>#DIV/0!</v>
      </c>
    </row>
    <row r="10" spans="1:9" ht="32.25" customHeight="1" x14ac:dyDescent="0.3">
      <c r="A10" s="393" t="s">
        <v>308</v>
      </c>
      <c r="B10" s="390">
        <v>0</v>
      </c>
      <c r="C10" s="390" t="e">
        <f>'Loan Sch'!F31</f>
        <v>#DIV/0!</v>
      </c>
      <c r="D10" s="391" t="e">
        <f>'Loan Sch'!F43</f>
        <v>#DIV/0!</v>
      </c>
      <c r="E10" s="391" t="e">
        <f>'Loan Sch'!F55</f>
        <v>#DIV/0!</v>
      </c>
      <c r="F10" s="391" t="e">
        <f>'Loan Sch'!F67</f>
        <v>#DIV/0!</v>
      </c>
      <c r="G10" s="391" t="e">
        <f>'Loan Sch'!F79</f>
        <v>#DIV/0!</v>
      </c>
      <c r="H10" s="391" t="e">
        <f>'Loan Sch'!F91</f>
        <v>#DIV/0!</v>
      </c>
      <c r="I10" s="391" t="e">
        <f>'Loan Sch'!F103</f>
        <v>#DIV/0!</v>
      </c>
    </row>
    <row r="11" spans="1:9" ht="33.75" customHeight="1" x14ac:dyDescent="0.3">
      <c r="A11" s="393" t="s">
        <v>309</v>
      </c>
      <c r="B11" s="390">
        <v>0</v>
      </c>
      <c r="C11" s="390" t="e">
        <f>'Loan Sch'!F32</f>
        <v>#DIV/0!</v>
      </c>
      <c r="D11" s="391" t="e">
        <f>'Loan Sch'!F44</f>
        <v>#DIV/0!</v>
      </c>
      <c r="E11" s="391" t="e">
        <f>'Loan Sch'!F56</f>
        <v>#DIV/0!</v>
      </c>
      <c r="F11" s="391" t="e">
        <f>'Loan Sch'!F68</f>
        <v>#DIV/0!</v>
      </c>
      <c r="G11" s="391" t="e">
        <f>'Loan Sch'!F80</f>
        <v>#DIV/0!</v>
      </c>
      <c r="H11" s="391" t="e">
        <f>'Loan Sch'!F92</f>
        <v>#DIV/0!</v>
      </c>
      <c r="I11" s="391" t="e">
        <f>'Loan Sch'!F104</f>
        <v>#DIV/0!</v>
      </c>
    </row>
    <row r="12" spans="1:9" ht="33.75" customHeight="1" x14ac:dyDescent="0.3">
      <c r="A12" s="393" t="s">
        <v>310</v>
      </c>
      <c r="B12" s="390">
        <v>0</v>
      </c>
      <c r="C12" s="390" t="e">
        <f>'Loan Sch'!F33</f>
        <v>#DIV/0!</v>
      </c>
      <c r="D12" s="391" t="e">
        <f>'Loan Sch'!F45</f>
        <v>#DIV/0!</v>
      </c>
      <c r="E12" s="391" t="e">
        <f>'Loan Sch'!F57</f>
        <v>#DIV/0!</v>
      </c>
      <c r="F12" s="391" t="e">
        <f>'Loan Sch'!F69</f>
        <v>#DIV/0!</v>
      </c>
      <c r="G12" s="391" t="e">
        <f>'Loan Sch'!F81</f>
        <v>#DIV/0!</v>
      </c>
      <c r="H12" s="391" t="e">
        <f>'Loan Sch'!F93</f>
        <v>#DIV/0!</v>
      </c>
      <c r="I12" s="391" t="e">
        <f>'Loan Sch'!F105</f>
        <v>#DIV/0!</v>
      </c>
    </row>
    <row r="13" spans="1:9" ht="33" customHeight="1" x14ac:dyDescent="0.3">
      <c r="A13" s="393" t="s">
        <v>311</v>
      </c>
      <c r="B13" s="390">
        <v>0</v>
      </c>
      <c r="C13" s="390" t="e">
        <f>'Loan Sch'!F34</f>
        <v>#DIV/0!</v>
      </c>
      <c r="D13" s="391" t="e">
        <f>'Loan Sch'!F46</f>
        <v>#DIV/0!</v>
      </c>
      <c r="E13" s="391" t="e">
        <f>'Loan Sch'!F58</f>
        <v>#DIV/0!</v>
      </c>
      <c r="F13" s="391" t="e">
        <f>'Loan Sch'!F70</f>
        <v>#DIV/0!</v>
      </c>
      <c r="G13" s="391" t="e">
        <f>'Loan Sch'!F82</f>
        <v>#DIV/0!</v>
      </c>
      <c r="H13" s="391" t="e">
        <f>'Loan Sch'!F94</f>
        <v>#DIV/0!</v>
      </c>
      <c r="I13" s="391" t="e">
        <f>'Loan Sch'!F106</f>
        <v>#DIV/0!</v>
      </c>
    </row>
    <row r="14" spans="1:9" ht="32.25" customHeight="1" x14ac:dyDescent="0.3">
      <c r="A14" s="393" t="s">
        <v>312</v>
      </c>
      <c r="B14" s="390">
        <v>0</v>
      </c>
      <c r="C14" s="390" t="e">
        <f>'Loan Sch'!F35</f>
        <v>#DIV/0!</v>
      </c>
      <c r="D14" s="391" t="e">
        <f>'Loan Sch'!F47</f>
        <v>#DIV/0!</v>
      </c>
      <c r="E14" s="391" t="e">
        <f>'Loan Sch'!F59</f>
        <v>#DIV/0!</v>
      </c>
      <c r="F14" s="391" t="e">
        <f>'Loan Sch'!F71</f>
        <v>#DIV/0!</v>
      </c>
      <c r="G14" s="391" t="e">
        <f>'Loan Sch'!F83</f>
        <v>#DIV/0!</v>
      </c>
      <c r="H14" s="391" t="e">
        <f>'Loan Sch'!F95</f>
        <v>#DIV/0!</v>
      </c>
      <c r="I14" s="391" t="e">
        <f>'Loan Sch'!F107</f>
        <v>#DIV/0!</v>
      </c>
    </row>
    <row r="15" spans="1:9" ht="33.75" customHeight="1" x14ac:dyDescent="0.3">
      <c r="A15" s="393" t="s">
        <v>313</v>
      </c>
      <c r="B15" s="390" t="e">
        <f>'Loan Sch'!F24</f>
        <v>#DIV/0!</v>
      </c>
      <c r="C15" s="390" t="e">
        <f>'Loan Sch'!F36</f>
        <v>#DIV/0!</v>
      </c>
      <c r="D15" s="391" t="e">
        <f>'Loan Sch'!F48</f>
        <v>#DIV/0!</v>
      </c>
      <c r="E15" s="391" t="e">
        <f>'Loan Sch'!F60</f>
        <v>#DIV/0!</v>
      </c>
      <c r="F15" s="391" t="e">
        <f>'Loan Sch'!F72</f>
        <v>#DIV/0!</v>
      </c>
      <c r="G15" s="391" t="e">
        <f>'Loan Sch'!F84</f>
        <v>#DIV/0!</v>
      </c>
      <c r="H15" s="391" t="e">
        <f>'Loan Sch'!F96</f>
        <v>#DIV/0!</v>
      </c>
      <c r="I15" s="391">
        <f>'Loan Sch'!F108</f>
        <v>0</v>
      </c>
    </row>
    <row r="16" spans="1:9" ht="30.75" customHeight="1" x14ac:dyDescent="0.3">
      <c r="A16" s="393" t="s">
        <v>314</v>
      </c>
      <c r="B16" s="390" t="e">
        <f>'Loan Sch'!F25</f>
        <v>#DIV/0!</v>
      </c>
      <c r="C16" s="390" t="e">
        <f>'Loan Sch'!F37</f>
        <v>#DIV/0!</v>
      </c>
      <c r="D16" s="391" t="e">
        <f>'Loan Sch'!F49</f>
        <v>#DIV/0!</v>
      </c>
      <c r="E16" s="391" t="e">
        <f>'Loan Sch'!F61</f>
        <v>#DIV/0!</v>
      </c>
      <c r="F16" s="391" t="e">
        <f>'Loan Sch'!F73</f>
        <v>#DIV/0!</v>
      </c>
      <c r="G16" s="391" t="e">
        <f>'Loan Sch'!F85</f>
        <v>#DIV/0!</v>
      </c>
      <c r="H16" s="391" t="e">
        <f>'Loan Sch'!F97</f>
        <v>#DIV/0!</v>
      </c>
      <c r="I16" s="391">
        <f>'Loan Sch'!F109</f>
        <v>0</v>
      </c>
    </row>
    <row r="17" spans="1:9" ht="34.5" customHeight="1" x14ac:dyDescent="0.3">
      <c r="A17" s="393" t="s">
        <v>315</v>
      </c>
      <c r="B17" s="390" t="e">
        <f>'Loan Sch'!F26</f>
        <v>#DIV/0!</v>
      </c>
      <c r="C17" s="390" t="e">
        <f>'Loan Sch'!F38</f>
        <v>#DIV/0!</v>
      </c>
      <c r="D17" s="391" t="e">
        <f>'Loan Sch'!F50</f>
        <v>#DIV/0!</v>
      </c>
      <c r="E17" s="391" t="e">
        <f>'Loan Sch'!F62</f>
        <v>#DIV/0!</v>
      </c>
      <c r="F17" s="391" t="e">
        <f>'Loan Sch'!F74</f>
        <v>#DIV/0!</v>
      </c>
      <c r="G17" s="391" t="e">
        <f>'Loan Sch'!F86</f>
        <v>#DIV/0!</v>
      </c>
      <c r="H17" s="391" t="e">
        <f>'Loan Sch'!F98</f>
        <v>#DIV/0!</v>
      </c>
      <c r="I17" s="391">
        <f>'Loan Sch'!F110</f>
        <v>0</v>
      </c>
    </row>
    <row r="18" spans="1:9" ht="32.25" customHeight="1" x14ac:dyDescent="0.3">
      <c r="A18" s="393" t="s">
        <v>316</v>
      </c>
      <c r="B18" s="390" t="e">
        <f>'Loan Sch'!F27</f>
        <v>#DIV/0!</v>
      </c>
      <c r="C18" s="390" t="e">
        <f>'Loan Sch'!F39</f>
        <v>#DIV/0!</v>
      </c>
      <c r="D18" s="391" t="e">
        <f>'Loan Sch'!F51</f>
        <v>#DIV/0!</v>
      </c>
      <c r="E18" s="391" t="e">
        <f>'Loan Sch'!F63</f>
        <v>#DIV/0!</v>
      </c>
      <c r="F18" s="391" t="e">
        <f>'Loan Sch'!F75</f>
        <v>#DIV/0!</v>
      </c>
      <c r="G18" s="391" t="e">
        <f>'Loan Sch'!F87</f>
        <v>#DIV/0!</v>
      </c>
      <c r="H18" s="391" t="e">
        <f>'Loan Sch'!F99</f>
        <v>#DIV/0!</v>
      </c>
      <c r="I18" s="391">
        <f>'Loan Sch'!F111</f>
        <v>0</v>
      </c>
    </row>
    <row r="19" spans="1:9" ht="32.25" customHeight="1" x14ac:dyDescent="0.3">
      <c r="A19" s="393" t="s">
        <v>317</v>
      </c>
      <c r="B19" s="390" t="e">
        <f>'Loan Sch'!F28</f>
        <v>#DIV/0!</v>
      </c>
      <c r="C19" s="390" t="e">
        <f>'Loan Sch'!F40</f>
        <v>#DIV/0!</v>
      </c>
      <c r="D19" s="391" t="e">
        <f>'Loan Sch'!F52</f>
        <v>#DIV/0!</v>
      </c>
      <c r="E19" s="391" t="e">
        <f>'Loan Sch'!F64</f>
        <v>#DIV/0!</v>
      </c>
      <c r="F19" s="391" t="e">
        <f>'Loan Sch'!F76</f>
        <v>#DIV/0!</v>
      </c>
      <c r="G19" s="391" t="e">
        <f>'Loan Sch'!F88</f>
        <v>#DIV/0!</v>
      </c>
      <c r="H19" s="391" t="e">
        <f>'Loan Sch'!F100</f>
        <v>#DIV/0!</v>
      </c>
      <c r="I19" s="391">
        <f>'Loan Sch'!F112</f>
        <v>0</v>
      </c>
    </row>
    <row r="20" spans="1:9" ht="30.75" customHeight="1" x14ac:dyDescent="0.3">
      <c r="A20" s="393" t="s">
        <v>318</v>
      </c>
      <c r="B20" s="390" t="e">
        <f>'Loan Sch'!F29</f>
        <v>#DIV/0!</v>
      </c>
      <c r="C20" s="390" t="e">
        <f>'Loan Sch'!F41</f>
        <v>#DIV/0!</v>
      </c>
      <c r="D20" s="391" t="e">
        <f>'Loan Sch'!F53</f>
        <v>#DIV/0!</v>
      </c>
      <c r="E20" s="391" t="e">
        <f>'Loan Sch'!F65</f>
        <v>#DIV/0!</v>
      </c>
      <c r="F20" s="391" t="e">
        <f>'Loan Sch'!F77</f>
        <v>#DIV/0!</v>
      </c>
      <c r="G20" s="391" t="e">
        <f>'Loan Sch'!F89</f>
        <v>#DIV/0!</v>
      </c>
      <c r="H20" s="391" t="e">
        <f>'Loan Sch'!F101</f>
        <v>#DIV/0!</v>
      </c>
      <c r="I20" s="391">
        <f>'Loan Sch'!F113</f>
        <v>0</v>
      </c>
    </row>
    <row r="21" spans="1:9" ht="39.75" customHeight="1" x14ac:dyDescent="0.3">
      <c r="A21" s="296" t="s">
        <v>378</v>
      </c>
      <c r="B21" s="392" t="e">
        <f t="shared" ref="B21:G21" si="0">SUM(B9:B20)</f>
        <v>#DIV/0!</v>
      </c>
      <c r="C21" s="392" t="e">
        <f t="shared" si="0"/>
        <v>#DIV/0!</v>
      </c>
      <c r="D21" s="392" t="e">
        <f t="shared" si="0"/>
        <v>#DIV/0!</v>
      </c>
      <c r="E21" s="392" t="e">
        <f t="shared" si="0"/>
        <v>#DIV/0!</v>
      </c>
      <c r="F21" s="392" t="e">
        <f t="shared" si="0"/>
        <v>#DIV/0!</v>
      </c>
      <c r="G21" s="392" t="e">
        <f t="shared" si="0"/>
        <v>#DIV/0!</v>
      </c>
      <c r="H21" s="392" t="e">
        <f>SUM(H9:H20)</f>
        <v>#DIV/0!</v>
      </c>
      <c r="I21" s="392" t="e">
        <f>SUM(I9:I20)</f>
        <v>#DIV/0!</v>
      </c>
    </row>
    <row r="22" spans="1:9" ht="38.25" customHeight="1" x14ac:dyDescent="0.3">
      <c r="A22" s="296" t="s">
        <v>319</v>
      </c>
      <c r="B22" s="392" t="e">
        <f t="shared" ref="B22:H22" si="1">C21</f>
        <v>#DIV/0!</v>
      </c>
      <c r="C22" s="392" t="e">
        <f t="shared" si="1"/>
        <v>#DIV/0!</v>
      </c>
      <c r="D22" s="392" t="e">
        <f t="shared" si="1"/>
        <v>#DIV/0!</v>
      </c>
      <c r="E22" s="392" t="e">
        <f t="shared" si="1"/>
        <v>#DIV/0!</v>
      </c>
      <c r="F22" s="392" t="e">
        <f t="shared" si="1"/>
        <v>#DIV/0!</v>
      </c>
      <c r="G22" s="392" t="e">
        <f t="shared" si="1"/>
        <v>#DIV/0!</v>
      </c>
      <c r="H22" s="392" t="e">
        <f t="shared" si="1"/>
        <v>#DIV/0!</v>
      </c>
      <c r="I22" s="392">
        <v>0</v>
      </c>
    </row>
  </sheetData>
  <mergeCells count="4">
    <mergeCell ref="A1:I1"/>
    <mergeCell ref="A2:I2"/>
    <mergeCell ref="A3:I3"/>
    <mergeCell ref="A6:I6"/>
  </mergeCells>
  <pageMargins left="0.15748031496062992" right="0.15748031496062992" top="0.35433070866141736" bottom="0.74803149606299213" header="0.31496062992125984" footer="0.31496062992125984"/>
  <pageSetup scale="7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9</vt:i4>
      </vt:variant>
    </vt:vector>
  </HeadingPairs>
  <TitlesOfParts>
    <vt:vector size="26" baseType="lpstr">
      <vt:lpstr>Assumptions 1</vt:lpstr>
      <vt:lpstr>Assumptions.1</vt:lpstr>
      <vt:lpstr>Working for PL &amp; BS</vt:lpstr>
      <vt:lpstr>Workings for PLBS</vt:lpstr>
      <vt:lpstr>Final workings</vt:lpstr>
      <vt:lpstr>cover page</vt:lpstr>
      <vt:lpstr>PLBS</vt:lpstr>
      <vt:lpstr>RATIO</vt:lpstr>
      <vt:lpstr>CF's</vt:lpstr>
      <vt:lpstr>MPBF </vt:lpstr>
      <vt:lpstr>Nayak Committee Recommandation</vt:lpstr>
      <vt:lpstr>nayak</vt:lpstr>
      <vt:lpstr>Dep sch</vt:lpstr>
      <vt:lpstr>Sheet3</vt:lpstr>
      <vt:lpstr>Sheet2</vt:lpstr>
      <vt:lpstr>Loan Sch</vt:lpstr>
      <vt:lpstr>Repayment sch</vt:lpstr>
      <vt:lpstr>'CF''s'!Print_Area</vt:lpstr>
      <vt:lpstr>'cover page'!Print_Area</vt:lpstr>
      <vt:lpstr>'Final workings'!Print_Area</vt:lpstr>
      <vt:lpstr>'Loan Sch'!Print_Area</vt:lpstr>
      <vt:lpstr>'MPBF '!Print_Area</vt:lpstr>
      <vt:lpstr>PLBS!Print_Area</vt:lpstr>
      <vt:lpstr>RATIO!Print_Area</vt:lpstr>
      <vt:lpstr>'Working for PL &amp; BS'!Print_Area</vt:lpstr>
      <vt:lpstr>'Workings for PLBS'!Print_Area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2025-11-09T09:31:03Z</cp:lastPrinted>
  <dcterms:created xsi:type="dcterms:W3CDTF">2007-11-14T04:27:01Z</dcterms:created>
  <dcterms:modified xsi:type="dcterms:W3CDTF">2025-12-13T08:23:57Z</dcterms:modified>
</cp:coreProperties>
</file>